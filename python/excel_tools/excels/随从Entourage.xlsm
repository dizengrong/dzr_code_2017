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omments8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75" yWindow="255" windowWidth="23040" windowHeight="11520" tabRatio="681" activeTab="4"/>
  </bookViews>
  <sheets>
    <sheet name="sconfig" sheetId="1" r:id="rId1"/>
    <sheet name="Entourage" sheetId="2" r:id="rId2"/>
    <sheet name="sconfig1" sheetId="6" r:id="rId3"/>
    <sheet name="EntourageExp" sheetId="5" r:id="rId4"/>
    <sheet name="draft_all" sheetId="3" r:id="rId5"/>
    <sheet name="字段说明" sheetId="4" r:id="rId6"/>
    <sheet name="EntourageTalk" sheetId="7" r:id="rId7"/>
    <sheet name="sconfig2" sheetId="11" r:id="rId8"/>
    <sheet name="filiation" sheetId="9" r:id="rId9"/>
    <sheet name="sconfig3" sheetId="12" r:id="rId10"/>
    <sheet name="filiationLevel" sheetId="10" r:id="rId11"/>
    <sheet name="sconfig4" sheetId="14" r:id="rId12"/>
    <sheet name="soulLinkConfig" sheetId="13" r:id="rId13"/>
    <sheet name="exchange" sheetId="15" r:id="rId14"/>
  </sheets>
  <functionGroups/>
  <externalReferences>
    <externalReference r:id="rId15"/>
    <externalReference r:id="rId16"/>
    <externalReference r:id="rId17"/>
    <externalReference r:id="rId18"/>
  </externalReferences>
  <definedNames>
    <definedName name="_xlnm._FilterDatabase" localSheetId="1" hidden="1">Entourage!$A$1:$BC$33</definedName>
    <definedName name="_xlnm._FilterDatabase" localSheetId="10" hidden="1">filiationLevel!$A$1:$T$921</definedName>
  </definedNames>
  <calcPr calcId="125725" concurrentCalc="0"/>
</workbook>
</file>

<file path=xl/calcChain.xml><?xml version="1.0" encoding="utf-8"?>
<calcChain xmlns="http://schemas.openxmlformats.org/spreadsheetml/2006/main">
  <c r="A3" i="10"/>
  <c r="B3"/>
  <c r="H3"/>
  <c r="A4"/>
  <c r="B4"/>
  <c r="H4"/>
  <c r="A5"/>
  <c r="B5"/>
  <c r="H5"/>
  <c r="A6"/>
  <c r="B6"/>
  <c r="H6"/>
  <c r="A7"/>
  <c r="B7"/>
  <c r="H7"/>
  <c r="A8"/>
  <c r="B8"/>
  <c r="H8"/>
  <c r="A9"/>
  <c r="B9"/>
  <c r="H9"/>
  <c r="A10"/>
  <c r="B10"/>
  <c r="H10"/>
  <c r="A11"/>
  <c r="B11"/>
  <c r="H11"/>
  <c r="A12"/>
  <c r="B12"/>
  <c r="H12"/>
  <c r="A13"/>
  <c r="B13"/>
  <c r="H13"/>
  <c r="A14"/>
  <c r="B14"/>
  <c r="H14"/>
  <c r="A15"/>
  <c r="B15"/>
  <c r="H15"/>
  <c r="A16"/>
  <c r="B16"/>
  <c r="H16"/>
  <c r="A17"/>
  <c r="B17"/>
  <c r="H17"/>
  <c r="A18"/>
  <c r="B18"/>
  <c r="H18"/>
  <c r="A19"/>
  <c r="B19"/>
  <c r="H19"/>
  <c r="A20"/>
  <c r="B20"/>
  <c r="H20"/>
  <c r="A21"/>
  <c r="B21"/>
  <c r="H21"/>
  <c r="A22"/>
  <c r="B22"/>
  <c r="H22"/>
  <c r="A23"/>
  <c r="B23"/>
  <c r="H23"/>
  <c r="A24"/>
  <c r="B24"/>
  <c r="H24"/>
  <c r="A25"/>
  <c r="B25"/>
  <c r="H25"/>
  <c r="A26"/>
  <c r="B26"/>
  <c r="H26"/>
  <c r="A27"/>
  <c r="B27"/>
  <c r="H27"/>
  <c r="A28"/>
  <c r="B28"/>
  <c r="H28"/>
  <c r="A29"/>
  <c r="B29"/>
  <c r="H29"/>
  <c r="A30"/>
  <c r="B30"/>
  <c r="H30"/>
  <c r="A31"/>
  <c r="B31"/>
  <c r="H31"/>
  <c r="A32"/>
  <c r="B32"/>
  <c r="H32"/>
  <c r="A33"/>
  <c r="B33"/>
  <c r="H33"/>
  <c r="A34"/>
  <c r="B34"/>
  <c r="H34"/>
  <c r="A35"/>
  <c r="B35"/>
  <c r="H35"/>
  <c r="A36"/>
  <c r="B36"/>
  <c r="H36"/>
  <c r="A37"/>
  <c r="B37"/>
  <c r="H37"/>
  <c r="A38"/>
  <c r="B38"/>
  <c r="H38"/>
  <c r="A39"/>
  <c r="B39"/>
  <c r="H39"/>
  <c r="A40"/>
  <c r="B40"/>
  <c r="H40"/>
  <c r="A41"/>
  <c r="B41"/>
  <c r="H41"/>
  <c r="A42"/>
  <c r="B42"/>
  <c r="H42"/>
  <c r="A43"/>
  <c r="B43"/>
  <c r="H43"/>
  <c r="A44"/>
  <c r="B44"/>
  <c r="H44"/>
  <c r="A45"/>
  <c r="B45"/>
  <c r="H45"/>
  <c r="A46"/>
  <c r="B46"/>
  <c r="H46"/>
  <c r="A47"/>
  <c r="B47"/>
  <c r="H47"/>
  <c r="A48"/>
  <c r="B48"/>
  <c r="H48"/>
  <c r="A49"/>
  <c r="B49"/>
  <c r="H49"/>
  <c r="A50"/>
  <c r="B50"/>
  <c r="H50"/>
  <c r="A51"/>
  <c r="B51"/>
  <c r="H51"/>
  <c r="A52"/>
  <c r="B52"/>
  <c r="H52"/>
  <c r="A53"/>
  <c r="B53"/>
  <c r="H53"/>
  <c r="A54"/>
  <c r="B54"/>
  <c r="H54"/>
  <c r="A55"/>
  <c r="B55"/>
  <c r="H55"/>
  <c r="A56"/>
  <c r="B56"/>
  <c r="H56"/>
  <c r="A57"/>
  <c r="B57"/>
  <c r="H57"/>
  <c r="A58"/>
  <c r="B58"/>
  <c r="H58"/>
  <c r="A59"/>
  <c r="B59"/>
  <c r="H59"/>
  <c r="A60"/>
  <c r="B60"/>
  <c r="H60"/>
  <c r="A61"/>
  <c r="B61"/>
  <c r="H61"/>
  <c r="A62"/>
  <c r="B62"/>
  <c r="H62"/>
  <c r="A63"/>
  <c r="B63"/>
  <c r="H63"/>
  <c r="A64"/>
  <c r="B64"/>
  <c r="H64"/>
  <c r="A65"/>
  <c r="B65"/>
  <c r="H65"/>
  <c r="A66"/>
  <c r="B66"/>
  <c r="H66"/>
  <c r="A67"/>
  <c r="B67"/>
  <c r="H67"/>
  <c r="A68"/>
  <c r="B68"/>
  <c r="H68"/>
  <c r="A69"/>
  <c r="B69"/>
  <c r="H69"/>
  <c r="A70"/>
  <c r="B70"/>
  <c r="H70"/>
  <c r="A71"/>
  <c r="B71"/>
  <c r="H71"/>
  <c r="A72"/>
  <c r="B72"/>
  <c r="H72"/>
  <c r="A73"/>
  <c r="B73"/>
  <c r="H73"/>
  <c r="A74"/>
  <c r="B74"/>
  <c r="H74"/>
  <c r="A75"/>
  <c r="B75"/>
  <c r="H75"/>
  <c r="A76"/>
  <c r="B76"/>
  <c r="H76"/>
  <c r="A77"/>
  <c r="B77"/>
  <c r="H77"/>
  <c r="A78"/>
  <c r="B78"/>
  <c r="H78"/>
  <c r="A79"/>
  <c r="B79"/>
  <c r="H79"/>
  <c r="A80"/>
  <c r="B80"/>
  <c r="H80"/>
  <c r="A81"/>
  <c r="B81"/>
  <c r="H81"/>
  <c r="A82"/>
  <c r="B82"/>
  <c r="H82"/>
  <c r="A83"/>
  <c r="B83"/>
  <c r="H83"/>
  <c r="A84"/>
  <c r="B84"/>
  <c r="H84"/>
  <c r="A85"/>
  <c r="B85"/>
  <c r="H85"/>
  <c r="A86"/>
  <c r="B86"/>
  <c r="H86"/>
  <c r="A87"/>
  <c r="B87"/>
  <c r="H87"/>
  <c r="A88"/>
  <c r="B88"/>
  <c r="H88"/>
  <c r="A89"/>
  <c r="B89"/>
  <c r="H89"/>
  <c r="A90"/>
  <c r="B90"/>
  <c r="H90"/>
  <c r="A91"/>
  <c r="B91"/>
  <c r="H91"/>
  <c r="A92"/>
  <c r="B92"/>
  <c r="H92"/>
  <c r="A93"/>
  <c r="B93"/>
  <c r="H93"/>
  <c r="A94"/>
  <c r="B94"/>
  <c r="H94"/>
  <c r="A95"/>
  <c r="B95"/>
  <c r="H95"/>
  <c r="A96"/>
  <c r="B96"/>
  <c r="H96"/>
  <c r="A97"/>
  <c r="B97"/>
  <c r="H97"/>
  <c r="A98"/>
  <c r="B98"/>
  <c r="H98"/>
  <c r="A99"/>
  <c r="B99"/>
  <c r="H99"/>
  <c r="A100"/>
  <c r="B100"/>
  <c r="H100"/>
  <c r="A101"/>
  <c r="B101"/>
  <c r="H101"/>
  <c r="A102"/>
  <c r="B102"/>
  <c r="H102"/>
  <c r="A103"/>
  <c r="B103"/>
  <c r="H103"/>
  <c r="A104"/>
  <c r="B104"/>
  <c r="H104"/>
  <c r="A105"/>
  <c r="B105"/>
  <c r="H105"/>
  <c r="A106"/>
  <c r="B106"/>
  <c r="H106"/>
  <c r="A107"/>
  <c r="B107"/>
  <c r="H107"/>
  <c r="A108"/>
  <c r="B108"/>
  <c r="H108"/>
  <c r="A109"/>
  <c r="B109"/>
  <c r="H109"/>
  <c r="A110"/>
  <c r="B110"/>
  <c r="H110"/>
  <c r="A111"/>
  <c r="B111"/>
  <c r="H111"/>
  <c r="A112"/>
  <c r="B112"/>
  <c r="H112"/>
  <c r="A113"/>
  <c r="B113"/>
  <c r="H113"/>
  <c r="A114"/>
  <c r="B114"/>
  <c r="H114"/>
  <c r="A115"/>
  <c r="B115"/>
  <c r="H115"/>
  <c r="A116"/>
  <c r="B116"/>
  <c r="H116"/>
  <c r="A117"/>
  <c r="B117"/>
  <c r="H117"/>
  <c r="A118"/>
  <c r="B118"/>
  <c r="H118"/>
  <c r="A119"/>
  <c r="B119"/>
  <c r="H119"/>
  <c r="A120"/>
  <c r="B120"/>
  <c r="H120"/>
  <c r="A121"/>
  <c r="B121"/>
  <c r="H121"/>
  <c r="A122"/>
  <c r="B122"/>
  <c r="H122"/>
  <c r="A123"/>
  <c r="B123"/>
  <c r="H123"/>
  <c r="A124"/>
  <c r="B124"/>
  <c r="H124"/>
  <c r="A125"/>
  <c r="B125"/>
  <c r="H125"/>
  <c r="A126"/>
  <c r="B126"/>
  <c r="H126"/>
  <c r="A127"/>
  <c r="B127"/>
  <c r="H127"/>
  <c r="A128"/>
  <c r="B128"/>
  <c r="H128"/>
  <c r="A129"/>
  <c r="B129"/>
  <c r="H129"/>
  <c r="A130"/>
  <c r="B130"/>
  <c r="H130"/>
  <c r="A131"/>
  <c r="B131"/>
  <c r="H131"/>
  <c r="A132"/>
  <c r="B132"/>
  <c r="H132"/>
  <c r="A133"/>
  <c r="B133"/>
  <c r="H133"/>
  <c r="A134"/>
  <c r="B134"/>
  <c r="H134"/>
  <c r="A135"/>
  <c r="B135"/>
  <c r="H135"/>
  <c r="A136"/>
  <c r="B136"/>
  <c r="H136"/>
  <c r="A137"/>
  <c r="B137"/>
  <c r="H137"/>
  <c r="A138"/>
  <c r="B138"/>
  <c r="H138"/>
  <c r="A139"/>
  <c r="B139"/>
  <c r="H139"/>
  <c r="A140"/>
  <c r="B140"/>
  <c r="H140"/>
  <c r="A141"/>
  <c r="B141"/>
  <c r="H141"/>
  <c r="A142"/>
  <c r="B142"/>
  <c r="H142"/>
  <c r="A143"/>
  <c r="B143"/>
  <c r="H143"/>
  <c r="A144"/>
  <c r="B144"/>
  <c r="H144"/>
  <c r="A145"/>
  <c r="B145"/>
  <c r="H145"/>
  <c r="A146"/>
  <c r="B146"/>
  <c r="H146"/>
  <c r="A147"/>
  <c r="B147"/>
  <c r="H147"/>
  <c r="A148"/>
  <c r="B148"/>
  <c r="H148"/>
  <c r="A149"/>
  <c r="B149"/>
  <c r="H149"/>
  <c r="A150"/>
  <c r="B150"/>
  <c r="H150"/>
  <c r="A151"/>
  <c r="B151"/>
  <c r="H151"/>
  <c r="A152"/>
  <c r="B152"/>
  <c r="H152"/>
  <c r="A153"/>
  <c r="B153"/>
  <c r="H153"/>
  <c r="A154"/>
  <c r="B154"/>
  <c r="H154"/>
  <c r="A155"/>
  <c r="B155"/>
  <c r="H155"/>
  <c r="A156"/>
  <c r="B156"/>
  <c r="H156"/>
  <c r="A157"/>
  <c r="B157"/>
  <c r="H157"/>
  <c r="A158"/>
  <c r="B158"/>
  <c r="H158"/>
  <c r="A159"/>
  <c r="B159"/>
  <c r="H159"/>
  <c r="A160"/>
  <c r="B160"/>
  <c r="H160"/>
  <c r="A161"/>
  <c r="B161"/>
  <c r="H161"/>
  <c r="A162"/>
  <c r="B162"/>
  <c r="H162"/>
  <c r="A163"/>
  <c r="B163"/>
  <c r="H163"/>
  <c r="A164"/>
  <c r="B164"/>
  <c r="H164"/>
  <c r="A165"/>
  <c r="B165"/>
  <c r="H165"/>
  <c r="A166"/>
  <c r="B166"/>
  <c r="H166"/>
  <c r="A167"/>
  <c r="B167"/>
  <c r="H167"/>
  <c r="A168"/>
  <c r="B168"/>
  <c r="H168"/>
  <c r="A169"/>
  <c r="B169"/>
  <c r="H169"/>
  <c r="A170"/>
  <c r="B170"/>
  <c r="H170"/>
  <c r="A171"/>
  <c r="B171"/>
  <c r="H171"/>
  <c r="A172"/>
  <c r="B172"/>
  <c r="H172"/>
  <c r="A173"/>
  <c r="B173"/>
  <c r="H173"/>
  <c r="A174"/>
  <c r="B174"/>
  <c r="H174"/>
  <c r="A175"/>
  <c r="B175"/>
  <c r="H175"/>
  <c r="A176"/>
  <c r="B176"/>
  <c r="H176"/>
  <c r="A177"/>
  <c r="B177"/>
  <c r="H177"/>
  <c r="A178"/>
  <c r="B178"/>
  <c r="H178"/>
  <c r="A179"/>
  <c r="B179"/>
  <c r="H179"/>
  <c r="A180"/>
  <c r="B180"/>
  <c r="H180"/>
  <c r="A181"/>
  <c r="B181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569"/>
  <c r="G570"/>
  <c r="G571"/>
  <c r="G572"/>
  <c r="G573"/>
  <c r="G574"/>
  <c r="G575"/>
  <c r="G576"/>
  <c r="G577"/>
  <c r="G578"/>
  <c r="G579"/>
  <c r="G580"/>
  <c r="G581"/>
  <c r="G582"/>
  <c r="G583"/>
  <c r="G584"/>
  <c r="G585"/>
  <c r="G586"/>
  <c r="G587"/>
  <c r="G588"/>
  <c r="G589"/>
  <c r="G590"/>
  <c r="G591"/>
  <c r="G592"/>
  <c r="G593"/>
  <c r="G594"/>
  <c r="G595"/>
  <c r="G596"/>
  <c r="G597"/>
  <c r="G598"/>
  <c r="G599"/>
  <c r="G600"/>
  <c r="G601"/>
  <c r="G602"/>
  <c r="G603"/>
  <c r="G604"/>
  <c r="G605"/>
  <c r="G606"/>
  <c r="G607"/>
  <c r="G608"/>
  <c r="G609"/>
  <c r="G610"/>
  <c r="G611"/>
  <c r="G612"/>
  <c r="G613"/>
  <c r="G614"/>
  <c r="G615"/>
  <c r="G616"/>
  <c r="G617"/>
  <c r="G618"/>
  <c r="G619"/>
  <c r="G620"/>
  <c r="G621"/>
  <c r="G622"/>
  <c r="G623"/>
  <c r="G624"/>
  <c r="G625"/>
  <c r="G626"/>
  <c r="G627"/>
  <c r="G628"/>
  <c r="G629"/>
  <c r="G630"/>
  <c r="G631"/>
  <c r="G632"/>
  <c r="G633"/>
  <c r="G634"/>
  <c r="G635"/>
  <c r="G636"/>
  <c r="G637"/>
  <c r="G638"/>
  <c r="G639"/>
  <c r="G640"/>
  <c r="G641"/>
  <c r="G642"/>
  <c r="G643"/>
  <c r="G644"/>
  <c r="G645"/>
  <c r="G646"/>
  <c r="G647"/>
  <c r="G648"/>
  <c r="G649"/>
  <c r="G650"/>
  <c r="G651"/>
  <c r="G652"/>
  <c r="G653"/>
  <c r="G654"/>
  <c r="G655"/>
  <c r="G656"/>
  <c r="G657"/>
  <c r="G658"/>
  <c r="G659"/>
  <c r="G660"/>
  <c r="G661"/>
  <c r="G662"/>
  <c r="G663"/>
  <c r="G664"/>
  <c r="G665"/>
  <c r="G666"/>
  <c r="G667"/>
  <c r="G668"/>
  <c r="G669"/>
  <c r="G670"/>
  <c r="G671"/>
  <c r="G672"/>
  <c r="G673"/>
  <c r="G674"/>
  <c r="G675"/>
  <c r="G676"/>
  <c r="G677"/>
  <c r="G678"/>
  <c r="G679"/>
  <c r="G680"/>
  <c r="G681"/>
  <c r="G682"/>
  <c r="G683"/>
  <c r="G684"/>
  <c r="G685"/>
  <c r="G686"/>
  <c r="G687"/>
  <c r="G688"/>
  <c r="G689"/>
  <c r="G690"/>
  <c r="G691"/>
  <c r="G692"/>
  <c r="G693"/>
  <c r="G694"/>
  <c r="G695"/>
  <c r="G696"/>
  <c r="G697"/>
  <c r="G698"/>
  <c r="G699"/>
  <c r="G700"/>
  <c r="G701"/>
  <c r="G702"/>
  <c r="G703"/>
  <c r="G704"/>
  <c r="G705"/>
  <c r="G706"/>
  <c r="G707"/>
  <c r="G708"/>
  <c r="G709"/>
  <c r="G710"/>
  <c r="G711"/>
  <c r="G712"/>
  <c r="G713"/>
  <c r="G714"/>
  <c r="G715"/>
  <c r="G716"/>
  <c r="G717"/>
  <c r="G718"/>
  <c r="G719"/>
  <c r="G720"/>
  <c r="G721"/>
  <c r="G722"/>
  <c r="G723"/>
  <c r="G724"/>
  <c r="G725"/>
  <c r="G726"/>
  <c r="G727"/>
  <c r="G728"/>
  <c r="G729"/>
  <c r="G730"/>
  <c r="G731"/>
  <c r="G732"/>
  <c r="G733"/>
  <c r="G734"/>
  <c r="G735"/>
  <c r="G736"/>
  <c r="G737"/>
  <c r="G738"/>
  <c r="G739"/>
  <c r="G740"/>
  <c r="G741"/>
  <c r="G742"/>
  <c r="G743"/>
  <c r="G744"/>
  <c r="G745"/>
  <c r="G746"/>
  <c r="G747"/>
  <c r="G748"/>
  <c r="G749"/>
  <c r="G750"/>
  <c r="G751"/>
  <c r="G752"/>
  <c r="G753"/>
  <c r="G754"/>
  <c r="G755"/>
  <c r="G756"/>
  <c r="G757"/>
  <c r="G758"/>
  <c r="G759"/>
  <c r="G760"/>
  <c r="G761"/>
  <c r="G762"/>
  <c r="G763"/>
  <c r="G764"/>
  <c r="G765"/>
  <c r="G766"/>
  <c r="G767"/>
  <c r="G768"/>
  <c r="G769"/>
  <c r="G770"/>
  <c r="G771"/>
  <c r="G772"/>
  <c r="G773"/>
  <c r="G774"/>
  <c r="G775"/>
  <c r="G776"/>
  <c r="G777"/>
  <c r="G778"/>
  <c r="G779"/>
  <c r="G780"/>
  <c r="G781"/>
  <c r="G782"/>
  <c r="G783"/>
  <c r="G784"/>
  <c r="G785"/>
  <c r="G786"/>
  <c r="G787"/>
  <c r="G788"/>
  <c r="G789"/>
  <c r="G790"/>
  <c r="G791"/>
  <c r="G792"/>
  <c r="G793"/>
  <c r="G794"/>
  <c r="G795"/>
  <c r="G796"/>
  <c r="G797"/>
  <c r="G798"/>
  <c r="G799"/>
  <c r="G800"/>
  <c r="G801"/>
  <c r="G802"/>
  <c r="G803"/>
  <c r="G804"/>
  <c r="G805"/>
  <c r="G806"/>
  <c r="G807"/>
  <c r="G808"/>
  <c r="G809"/>
  <c r="G810"/>
  <c r="G811"/>
  <c r="G812"/>
  <c r="G813"/>
  <c r="G814"/>
  <c r="G815"/>
  <c r="G816"/>
  <c r="G817"/>
  <c r="G818"/>
  <c r="G819"/>
  <c r="G820"/>
  <c r="G821"/>
  <c r="G822"/>
  <c r="G823"/>
  <c r="G824"/>
  <c r="G825"/>
  <c r="G826"/>
  <c r="G827"/>
  <c r="G828"/>
  <c r="G829"/>
  <c r="G830"/>
  <c r="G831"/>
  <c r="G832"/>
  <c r="G833"/>
  <c r="G834"/>
  <c r="G835"/>
  <c r="G836"/>
  <c r="G837"/>
  <c r="G838"/>
  <c r="G839"/>
  <c r="G840"/>
  <c r="G841"/>
  <c r="G842"/>
  <c r="G843"/>
  <c r="G844"/>
  <c r="G845"/>
  <c r="G846"/>
  <c r="G847"/>
  <c r="G848"/>
  <c r="G849"/>
  <c r="G850"/>
  <c r="G851"/>
  <c r="G852"/>
  <c r="G853"/>
  <c r="G854"/>
  <c r="G855"/>
  <c r="G856"/>
  <c r="G857"/>
  <c r="G858"/>
  <c r="G859"/>
  <c r="G860"/>
  <c r="G861"/>
  <c r="G862"/>
  <c r="G863"/>
  <c r="G864"/>
  <c r="G865"/>
  <c r="G866"/>
  <c r="G867"/>
  <c r="G868"/>
  <c r="G869"/>
  <c r="G870"/>
  <c r="G871"/>
  <c r="G872"/>
  <c r="G873"/>
  <c r="G874"/>
  <c r="G875"/>
  <c r="G876"/>
  <c r="G877"/>
  <c r="G878"/>
  <c r="G879"/>
  <c r="G880"/>
  <c r="G881"/>
  <c r="G882"/>
  <c r="G883"/>
  <c r="G884"/>
  <c r="G885"/>
  <c r="G886"/>
  <c r="G887"/>
  <c r="G888"/>
  <c r="G889"/>
  <c r="G890"/>
  <c r="G891"/>
  <c r="G892"/>
  <c r="G893"/>
  <c r="G894"/>
  <c r="G895"/>
  <c r="G896"/>
  <c r="G897"/>
  <c r="G898"/>
  <c r="G899"/>
  <c r="G900"/>
  <c r="G901"/>
  <c r="G902"/>
  <c r="G903"/>
  <c r="G904"/>
  <c r="G905"/>
  <c r="G906"/>
  <c r="G907"/>
  <c r="G908"/>
  <c r="G909"/>
  <c r="G910"/>
  <c r="G911"/>
  <c r="G912"/>
  <c r="G913"/>
  <c r="G914"/>
  <c r="G915"/>
  <c r="G916"/>
  <c r="G917"/>
  <c r="G918"/>
  <c r="G919"/>
  <c r="G920"/>
  <c r="G921"/>
  <c r="BU2" i="2"/>
  <c r="BU3"/>
  <c r="BU4"/>
  <c r="BU5"/>
  <c r="BU6"/>
  <c r="BU7"/>
  <c r="BU8"/>
  <c r="BU9"/>
  <c r="BU10"/>
  <c r="BU11"/>
  <c r="BU12"/>
  <c r="BU13"/>
  <c r="BU14"/>
  <c r="BU15"/>
  <c r="BU16"/>
  <c r="BU17"/>
  <c r="BU18"/>
  <c r="BU19"/>
  <c r="BU20"/>
  <c r="BU21"/>
  <c r="BU22"/>
  <c r="BU23"/>
  <c r="BU24"/>
  <c r="BU25"/>
  <c r="BU26"/>
  <c r="BU27"/>
  <c r="BU28"/>
  <c r="BU29"/>
  <c r="BU30"/>
  <c r="BU31"/>
  <c r="BU32"/>
  <c r="BU33"/>
  <c r="AC11" i="10"/>
  <c r="AC10"/>
  <c r="AC7"/>
  <c r="AC8"/>
  <c r="AC9"/>
  <c r="AC6"/>
  <c r="G3"/>
  <c r="G4"/>
  <c r="A2"/>
  <c r="B2"/>
  <c r="M2"/>
  <c r="N2"/>
  <c r="P2"/>
  <c r="C2"/>
  <c r="M3"/>
  <c r="N3"/>
  <c r="P3"/>
  <c r="C3"/>
  <c r="M4"/>
  <c r="N4"/>
  <c r="P4"/>
  <c r="C4"/>
  <c r="M5"/>
  <c r="N5"/>
  <c r="P5"/>
  <c r="C5"/>
  <c r="M6"/>
  <c r="N6"/>
  <c r="P6"/>
  <c r="C6"/>
  <c r="M7"/>
  <c r="N7"/>
  <c r="P7"/>
  <c r="C7"/>
  <c r="M8"/>
  <c r="N8"/>
  <c r="P8"/>
  <c r="C8"/>
  <c r="M9"/>
  <c r="N9"/>
  <c r="P9"/>
  <c r="C9"/>
  <c r="M10"/>
  <c r="N10"/>
  <c r="P10"/>
  <c r="C10"/>
  <c r="M11"/>
  <c r="N11"/>
  <c r="P11"/>
  <c r="C11"/>
  <c r="M12"/>
  <c r="N12"/>
  <c r="P12"/>
  <c r="C12"/>
  <c r="M13"/>
  <c r="N13"/>
  <c r="P13"/>
  <c r="C13"/>
  <c r="M14"/>
  <c r="N14"/>
  <c r="P14"/>
  <c r="C14"/>
  <c r="M15"/>
  <c r="N15"/>
  <c r="P15"/>
  <c r="C15"/>
  <c r="M16"/>
  <c r="N16"/>
  <c r="P16"/>
  <c r="C16"/>
  <c r="M17"/>
  <c r="N17"/>
  <c r="P17"/>
  <c r="C17"/>
  <c r="M18"/>
  <c r="N18"/>
  <c r="P18"/>
  <c r="C18"/>
  <c r="M19"/>
  <c r="N19"/>
  <c r="P19"/>
  <c r="C19"/>
  <c r="M20"/>
  <c r="N20"/>
  <c r="P20"/>
  <c r="C20"/>
  <c r="M21"/>
  <c r="N21"/>
  <c r="P21"/>
  <c r="C21"/>
  <c r="M22"/>
  <c r="N22"/>
  <c r="P22"/>
  <c r="C22"/>
  <c r="M23"/>
  <c r="N23"/>
  <c r="P23"/>
  <c r="C23"/>
  <c r="M24"/>
  <c r="N24"/>
  <c r="P24"/>
  <c r="C24"/>
  <c r="M25"/>
  <c r="N25"/>
  <c r="P25"/>
  <c r="C25"/>
  <c r="M26"/>
  <c r="N26"/>
  <c r="P26"/>
  <c r="C26"/>
  <c r="M27"/>
  <c r="N27"/>
  <c r="P27"/>
  <c r="C27"/>
  <c r="M28"/>
  <c r="N28"/>
  <c r="P28"/>
  <c r="C28"/>
  <c r="M29"/>
  <c r="N29"/>
  <c r="P29"/>
  <c r="C29"/>
  <c r="M30"/>
  <c r="N30"/>
  <c r="P30"/>
  <c r="C30"/>
  <c r="M31"/>
  <c r="N31"/>
  <c r="P31"/>
  <c r="C31"/>
  <c r="M32"/>
  <c r="N32"/>
  <c r="P32"/>
  <c r="C32"/>
  <c r="M33"/>
  <c r="N33"/>
  <c r="P33"/>
  <c r="C33"/>
  <c r="M34"/>
  <c r="N34"/>
  <c r="P34"/>
  <c r="C34"/>
  <c r="M35"/>
  <c r="N35"/>
  <c r="P35"/>
  <c r="C35"/>
  <c r="M36"/>
  <c r="N36"/>
  <c r="P36"/>
  <c r="C36"/>
  <c r="M37"/>
  <c r="N37"/>
  <c r="P37"/>
  <c r="C37"/>
  <c r="M38"/>
  <c r="N38"/>
  <c r="P38"/>
  <c r="C38"/>
  <c r="M39"/>
  <c r="N39"/>
  <c r="P39"/>
  <c r="C39"/>
  <c r="M40"/>
  <c r="N40"/>
  <c r="P40"/>
  <c r="C40"/>
  <c r="M41"/>
  <c r="N41"/>
  <c r="P41"/>
  <c r="C41"/>
  <c r="M42"/>
  <c r="N42"/>
  <c r="P42"/>
  <c r="C42"/>
  <c r="M43"/>
  <c r="N43"/>
  <c r="P43"/>
  <c r="C43"/>
  <c r="M44"/>
  <c r="N44"/>
  <c r="P44"/>
  <c r="C44"/>
  <c r="M45"/>
  <c r="N45"/>
  <c r="P45"/>
  <c r="C45"/>
  <c r="M46"/>
  <c r="N46"/>
  <c r="P46"/>
  <c r="C46"/>
  <c r="M47"/>
  <c r="N47"/>
  <c r="P47"/>
  <c r="C47"/>
  <c r="M48"/>
  <c r="N48"/>
  <c r="P48"/>
  <c r="C48"/>
  <c r="M49"/>
  <c r="N49"/>
  <c r="P49"/>
  <c r="C49"/>
  <c r="M50"/>
  <c r="N50"/>
  <c r="P50"/>
  <c r="C50"/>
  <c r="M51"/>
  <c r="N51"/>
  <c r="P51"/>
  <c r="C51"/>
  <c r="M52"/>
  <c r="N52"/>
  <c r="P52"/>
  <c r="C52"/>
  <c r="M53"/>
  <c r="N53"/>
  <c r="P53"/>
  <c r="C53"/>
  <c r="M54"/>
  <c r="N54"/>
  <c r="P54"/>
  <c r="C54"/>
  <c r="M55"/>
  <c r="N55"/>
  <c r="P55"/>
  <c r="C55"/>
  <c r="M56"/>
  <c r="N56"/>
  <c r="P56"/>
  <c r="C56"/>
  <c r="M57"/>
  <c r="N57"/>
  <c r="P57"/>
  <c r="C57"/>
  <c r="M58"/>
  <c r="N58"/>
  <c r="P58"/>
  <c r="C58"/>
  <c r="M59"/>
  <c r="N59"/>
  <c r="P59"/>
  <c r="C59"/>
  <c r="M60"/>
  <c r="N60"/>
  <c r="P60"/>
  <c r="C60"/>
  <c r="M61"/>
  <c r="N61"/>
  <c r="P61"/>
  <c r="C61"/>
  <c r="M62"/>
  <c r="N62"/>
  <c r="P62"/>
  <c r="C62"/>
  <c r="M63"/>
  <c r="N63"/>
  <c r="P63"/>
  <c r="C63"/>
  <c r="M64"/>
  <c r="N64"/>
  <c r="P64"/>
  <c r="C64"/>
  <c r="M65"/>
  <c r="N65"/>
  <c r="P65"/>
  <c r="C65"/>
  <c r="M66"/>
  <c r="N66"/>
  <c r="P66"/>
  <c r="C66"/>
  <c r="M67"/>
  <c r="N67"/>
  <c r="P67"/>
  <c r="C67"/>
  <c r="M68"/>
  <c r="N68"/>
  <c r="P68"/>
  <c r="C68"/>
  <c r="M69"/>
  <c r="N69"/>
  <c r="P69"/>
  <c r="C69"/>
  <c r="M70"/>
  <c r="N70"/>
  <c r="P70"/>
  <c r="C70"/>
  <c r="M71"/>
  <c r="N71"/>
  <c r="P71"/>
  <c r="C71"/>
  <c r="M72"/>
  <c r="N72"/>
  <c r="P72"/>
  <c r="C72"/>
  <c r="M73"/>
  <c r="N73"/>
  <c r="P73"/>
  <c r="C73"/>
  <c r="M74"/>
  <c r="N74"/>
  <c r="P74"/>
  <c r="C74"/>
  <c r="M75"/>
  <c r="N75"/>
  <c r="P75"/>
  <c r="C75"/>
  <c r="M76"/>
  <c r="N76"/>
  <c r="P76"/>
  <c r="C76"/>
  <c r="M77"/>
  <c r="N77"/>
  <c r="P77"/>
  <c r="C77"/>
  <c r="M78"/>
  <c r="N78"/>
  <c r="P78"/>
  <c r="C78"/>
  <c r="M79"/>
  <c r="N79"/>
  <c r="P79"/>
  <c r="C79"/>
  <c r="M80"/>
  <c r="N80"/>
  <c r="P80"/>
  <c r="C80"/>
  <c r="M81"/>
  <c r="N81"/>
  <c r="P81"/>
  <c r="C81"/>
  <c r="M82"/>
  <c r="N82"/>
  <c r="P82"/>
  <c r="C82"/>
  <c r="M83"/>
  <c r="N83"/>
  <c r="P83"/>
  <c r="C83"/>
  <c r="M84"/>
  <c r="N84"/>
  <c r="P84"/>
  <c r="C84"/>
  <c r="M85"/>
  <c r="N85"/>
  <c r="P85"/>
  <c r="C85"/>
  <c r="M86"/>
  <c r="N86"/>
  <c r="P86"/>
  <c r="C86"/>
  <c r="M87"/>
  <c r="N87"/>
  <c r="P87"/>
  <c r="C87"/>
  <c r="M88"/>
  <c r="N88"/>
  <c r="P88"/>
  <c r="C88"/>
  <c r="M89"/>
  <c r="N89"/>
  <c r="P89"/>
  <c r="C89"/>
  <c r="M90"/>
  <c r="N90"/>
  <c r="P90"/>
  <c r="C90"/>
  <c r="M91"/>
  <c r="N91"/>
  <c r="P91"/>
  <c r="C91"/>
  <c r="M92"/>
  <c r="N92"/>
  <c r="P92"/>
  <c r="C92"/>
  <c r="M93"/>
  <c r="N93"/>
  <c r="P93"/>
  <c r="C93"/>
  <c r="M94"/>
  <c r="N94"/>
  <c r="P94"/>
  <c r="C94"/>
  <c r="M95"/>
  <c r="N95"/>
  <c r="P95"/>
  <c r="C95"/>
  <c r="M96"/>
  <c r="N96"/>
  <c r="P96"/>
  <c r="C96"/>
  <c r="M97"/>
  <c r="N97"/>
  <c r="P97"/>
  <c r="C97"/>
  <c r="M98"/>
  <c r="N98"/>
  <c r="P98"/>
  <c r="C98"/>
  <c r="M99"/>
  <c r="N99"/>
  <c r="P99"/>
  <c r="C99"/>
  <c r="M100"/>
  <c r="N100"/>
  <c r="P100"/>
  <c r="C100"/>
  <c r="M101"/>
  <c r="N101"/>
  <c r="P101"/>
  <c r="C101"/>
  <c r="M102"/>
  <c r="N102"/>
  <c r="P102"/>
  <c r="C102"/>
  <c r="M103"/>
  <c r="N103"/>
  <c r="P103"/>
  <c r="C103"/>
  <c r="M104"/>
  <c r="N104"/>
  <c r="P104"/>
  <c r="C104"/>
  <c r="M105"/>
  <c r="N105"/>
  <c r="P105"/>
  <c r="C105"/>
  <c r="M106"/>
  <c r="N106"/>
  <c r="P106"/>
  <c r="C106"/>
  <c r="M107"/>
  <c r="N107"/>
  <c r="P107"/>
  <c r="C107"/>
  <c r="M108"/>
  <c r="N108"/>
  <c r="P108"/>
  <c r="C108"/>
  <c r="M109"/>
  <c r="N109"/>
  <c r="P109"/>
  <c r="C109"/>
  <c r="M110"/>
  <c r="N110"/>
  <c r="P110"/>
  <c r="C110"/>
  <c r="M111"/>
  <c r="N111"/>
  <c r="P111"/>
  <c r="C111"/>
  <c r="M112"/>
  <c r="N112"/>
  <c r="P112"/>
  <c r="C112"/>
  <c r="M113"/>
  <c r="N113"/>
  <c r="P113"/>
  <c r="C113"/>
  <c r="M114"/>
  <c r="N114"/>
  <c r="P114"/>
  <c r="C114"/>
  <c r="M115"/>
  <c r="N115"/>
  <c r="P115"/>
  <c r="C115"/>
  <c r="M116"/>
  <c r="N116"/>
  <c r="P116"/>
  <c r="C116"/>
  <c r="M117"/>
  <c r="N117"/>
  <c r="P117"/>
  <c r="C117"/>
  <c r="M118"/>
  <c r="N118"/>
  <c r="P118"/>
  <c r="C118"/>
  <c r="M119"/>
  <c r="N119"/>
  <c r="P119"/>
  <c r="C119"/>
  <c r="M120"/>
  <c r="N120"/>
  <c r="P120"/>
  <c r="C120"/>
  <c r="M121"/>
  <c r="N121"/>
  <c r="P121"/>
  <c r="C121"/>
  <c r="M122"/>
  <c r="N122"/>
  <c r="P122"/>
  <c r="C122"/>
  <c r="M123"/>
  <c r="N123"/>
  <c r="P123"/>
  <c r="C123"/>
  <c r="M124"/>
  <c r="N124"/>
  <c r="P124"/>
  <c r="C124"/>
  <c r="M125"/>
  <c r="N125"/>
  <c r="P125"/>
  <c r="C125"/>
  <c r="M126"/>
  <c r="N126"/>
  <c r="P126"/>
  <c r="C126"/>
  <c r="M127"/>
  <c r="N127"/>
  <c r="P127"/>
  <c r="C127"/>
  <c r="M128"/>
  <c r="N128"/>
  <c r="P128"/>
  <c r="C128"/>
  <c r="M129"/>
  <c r="N129"/>
  <c r="P129"/>
  <c r="C129"/>
  <c r="M130"/>
  <c r="N130"/>
  <c r="P130"/>
  <c r="C130"/>
  <c r="M131"/>
  <c r="N131"/>
  <c r="P131"/>
  <c r="C131"/>
  <c r="M132"/>
  <c r="N132"/>
  <c r="P132"/>
  <c r="C132"/>
  <c r="M133"/>
  <c r="N133"/>
  <c r="P133"/>
  <c r="C133"/>
  <c r="M134"/>
  <c r="N134"/>
  <c r="P134"/>
  <c r="C134"/>
  <c r="M135"/>
  <c r="N135"/>
  <c r="P135"/>
  <c r="C135"/>
  <c r="M136"/>
  <c r="N136"/>
  <c r="P136"/>
  <c r="C136"/>
  <c r="M137"/>
  <c r="N137"/>
  <c r="P137"/>
  <c r="C137"/>
  <c r="M138"/>
  <c r="N138"/>
  <c r="P138"/>
  <c r="C138"/>
  <c r="M139"/>
  <c r="N139"/>
  <c r="P139"/>
  <c r="C139"/>
  <c r="M140"/>
  <c r="N140"/>
  <c r="P140"/>
  <c r="C140"/>
  <c r="M141"/>
  <c r="N141"/>
  <c r="P141"/>
  <c r="C141"/>
  <c r="M142"/>
  <c r="N142"/>
  <c r="P142"/>
  <c r="C142"/>
  <c r="M143"/>
  <c r="N143"/>
  <c r="P143"/>
  <c r="C143"/>
  <c r="M144"/>
  <c r="N144"/>
  <c r="P144"/>
  <c r="C144"/>
  <c r="M145"/>
  <c r="N145"/>
  <c r="P145"/>
  <c r="C145"/>
  <c r="M146"/>
  <c r="N146"/>
  <c r="P146"/>
  <c r="C146"/>
  <c r="M147"/>
  <c r="N147"/>
  <c r="P147"/>
  <c r="C147"/>
  <c r="M148"/>
  <c r="N148"/>
  <c r="P148"/>
  <c r="C148"/>
  <c r="M149"/>
  <c r="N149"/>
  <c r="P149"/>
  <c r="C149"/>
  <c r="M150"/>
  <c r="N150"/>
  <c r="P150"/>
  <c r="C150"/>
  <c r="M151"/>
  <c r="N151"/>
  <c r="P151"/>
  <c r="C151"/>
  <c r="M152"/>
  <c r="N152"/>
  <c r="P152"/>
  <c r="C152"/>
  <c r="M153"/>
  <c r="N153"/>
  <c r="P153"/>
  <c r="C153"/>
  <c r="M154"/>
  <c r="N154"/>
  <c r="P154"/>
  <c r="C154"/>
  <c r="M155"/>
  <c r="N155"/>
  <c r="P155"/>
  <c r="C155"/>
  <c r="M156"/>
  <c r="N156"/>
  <c r="P156"/>
  <c r="C156"/>
  <c r="M157"/>
  <c r="N157"/>
  <c r="P157"/>
  <c r="C157"/>
  <c r="M158"/>
  <c r="N158"/>
  <c r="P158"/>
  <c r="C158"/>
  <c r="M159"/>
  <c r="N159"/>
  <c r="P159"/>
  <c r="C159"/>
  <c r="M160"/>
  <c r="N160"/>
  <c r="P160"/>
  <c r="C160"/>
  <c r="M161"/>
  <c r="N161"/>
  <c r="P161"/>
  <c r="C161"/>
  <c r="M162"/>
  <c r="N162"/>
  <c r="P162"/>
  <c r="C162"/>
  <c r="M163"/>
  <c r="N163"/>
  <c r="P163"/>
  <c r="C163"/>
  <c r="M164"/>
  <c r="N164"/>
  <c r="P164"/>
  <c r="C164"/>
  <c r="M165"/>
  <c r="N165"/>
  <c r="P165"/>
  <c r="C165"/>
  <c r="M166"/>
  <c r="N166"/>
  <c r="P166"/>
  <c r="C166"/>
  <c r="M167"/>
  <c r="N167"/>
  <c r="P167"/>
  <c r="C167"/>
  <c r="M168"/>
  <c r="N168"/>
  <c r="P168"/>
  <c r="C168"/>
  <c r="M169"/>
  <c r="N169"/>
  <c r="P169"/>
  <c r="C169"/>
  <c r="M170"/>
  <c r="N170"/>
  <c r="P170"/>
  <c r="C170"/>
  <c r="M171"/>
  <c r="N171"/>
  <c r="P171"/>
  <c r="C171"/>
  <c r="M172"/>
  <c r="N172"/>
  <c r="P172"/>
  <c r="C172"/>
  <c r="M173"/>
  <c r="N173"/>
  <c r="P173"/>
  <c r="C173"/>
  <c r="M174"/>
  <c r="N174"/>
  <c r="P174"/>
  <c r="C174"/>
  <c r="M175"/>
  <c r="N175"/>
  <c r="P175"/>
  <c r="C175"/>
  <c r="M176"/>
  <c r="N176"/>
  <c r="P176"/>
  <c r="C176"/>
  <c r="M177"/>
  <c r="N177"/>
  <c r="P177"/>
  <c r="C177"/>
  <c r="M178"/>
  <c r="N178"/>
  <c r="P178"/>
  <c r="C178"/>
  <c r="M179"/>
  <c r="N179"/>
  <c r="P179"/>
  <c r="C179"/>
  <c r="M180"/>
  <c r="N180"/>
  <c r="P180"/>
  <c r="C180"/>
  <c r="M181"/>
  <c r="N181"/>
  <c r="P181"/>
  <c r="C181"/>
  <c r="W8"/>
  <c r="W9"/>
  <c r="W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2"/>
  <c r="M93" i="9"/>
  <c r="L93"/>
  <c r="H93"/>
  <c r="G93"/>
  <c r="M92"/>
  <c r="L92"/>
  <c r="H92"/>
  <c r="G92"/>
  <c r="M91"/>
  <c r="L91"/>
  <c r="H91"/>
  <c r="G91"/>
  <c r="M90"/>
  <c r="L90"/>
  <c r="H90"/>
  <c r="G90"/>
  <c r="M89"/>
  <c r="L89"/>
  <c r="H89"/>
  <c r="G89"/>
  <c r="M88"/>
  <c r="L88"/>
  <c r="H88"/>
  <c r="G88"/>
  <c r="M87"/>
  <c r="L87"/>
  <c r="H87"/>
  <c r="G87"/>
  <c r="M86"/>
  <c r="L86"/>
  <c r="H86"/>
  <c r="G86"/>
  <c r="M85"/>
  <c r="L85"/>
  <c r="H85"/>
  <c r="G85"/>
  <c r="M84"/>
  <c r="L84"/>
  <c r="H84"/>
  <c r="G84"/>
  <c r="M83"/>
  <c r="L83"/>
  <c r="H83"/>
  <c r="G83"/>
  <c r="M82"/>
  <c r="L82"/>
  <c r="H82"/>
  <c r="G82"/>
  <c r="M81"/>
  <c r="L81"/>
  <c r="H81"/>
  <c r="G81"/>
  <c r="M80"/>
  <c r="L80"/>
  <c r="H80"/>
  <c r="G80"/>
  <c r="M79"/>
  <c r="L79"/>
  <c r="H79"/>
  <c r="G79"/>
  <c r="M78"/>
  <c r="L78"/>
  <c r="H78"/>
  <c r="G78"/>
  <c r="M77"/>
  <c r="L77"/>
  <c r="H77"/>
  <c r="G77"/>
  <c r="M76"/>
  <c r="L76"/>
  <c r="H76"/>
  <c r="G76"/>
  <c r="M75"/>
  <c r="L75"/>
  <c r="H75"/>
  <c r="G75"/>
  <c r="M74"/>
  <c r="L74"/>
  <c r="H74"/>
  <c r="G74"/>
  <c r="M73"/>
  <c r="L73"/>
  <c r="H73"/>
  <c r="G73"/>
  <c r="M72"/>
  <c r="L72"/>
  <c r="H72"/>
  <c r="G72"/>
  <c r="M71"/>
  <c r="L71"/>
  <c r="H71"/>
  <c r="G71"/>
  <c r="M70"/>
  <c r="L70"/>
  <c r="H70"/>
  <c r="G70"/>
  <c r="M69"/>
  <c r="L69"/>
  <c r="H69"/>
  <c r="G69"/>
  <c r="M68"/>
  <c r="L68"/>
  <c r="H68"/>
  <c r="G68"/>
  <c r="M67"/>
  <c r="L67"/>
  <c r="H67"/>
  <c r="G67"/>
  <c r="M66"/>
  <c r="L66"/>
  <c r="H66"/>
  <c r="G66"/>
  <c r="M65"/>
  <c r="L65"/>
  <c r="H65"/>
  <c r="G65"/>
  <c r="M64"/>
  <c r="L64"/>
  <c r="H64"/>
  <c r="G64"/>
  <c r="M63"/>
  <c r="L63"/>
  <c r="H63"/>
  <c r="G63"/>
  <c r="M62"/>
  <c r="L62"/>
  <c r="H62"/>
  <c r="G62"/>
  <c r="M61"/>
  <c r="L61"/>
  <c r="H61"/>
  <c r="G61"/>
  <c r="M60"/>
  <c r="L60"/>
  <c r="H60"/>
  <c r="G60"/>
  <c r="M59"/>
  <c r="L59"/>
  <c r="H59"/>
  <c r="G59"/>
  <c r="M58"/>
  <c r="L58"/>
  <c r="H58"/>
  <c r="G58"/>
  <c r="M57"/>
  <c r="L57"/>
  <c r="H57"/>
  <c r="G57"/>
  <c r="M56"/>
  <c r="L56"/>
  <c r="H56"/>
  <c r="G56"/>
  <c r="M55"/>
  <c r="L55"/>
  <c r="H55"/>
  <c r="G55"/>
  <c r="M54"/>
  <c r="L54"/>
  <c r="H54"/>
  <c r="G54"/>
  <c r="M53"/>
  <c r="L53"/>
  <c r="H53"/>
  <c r="G53"/>
  <c r="M52"/>
  <c r="L52"/>
  <c r="H52"/>
  <c r="G52"/>
  <c r="M51"/>
  <c r="L51"/>
  <c r="H51"/>
  <c r="G51"/>
  <c r="M50"/>
  <c r="L50"/>
  <c r="H50"/>
  <c r="G50"/>
  <c r="M49"/>
  <c r="L49"/>
  <c r="H49"/>
  <c r="G49"/>
  <c r="M48"/>
  <c r="L48"/>
  <c r="H48"/>
  <c r="G48"/>
  <c r="M47"/>
  <c r="L47"/>
  <c r="H47"/>
  <c r="G47"/>
  <c r="M46"/>
  <c r="L46"/>
  <c r="H46"/>
  <c r="G46"/>
  <c r="M45"/>
  <c r="L45"/>
  <c r="H45"/>
  <c r="G45"/>
  <c r="M44"/>
  <c r="L44"/>
  <c r="H44"/>
  <c r="G44"/>
  <c r="M43"/>
  <c r="L43"/>
  <c r="H43"/>
  <c r="G43"/>
  <c r="M42"/>
  <c r="L42"/>
  <c r="H42"/>
  <c r="G42"/>
  <c r="M41"/>
  <c r="L41"/>
  <c r="H41"/>
  <c r="G41"/>
  <c r="M40"/>
  <c r="L40"/>
  <c r="H40"/>
  <c r="G40"/>
  <c r="M39"/>
  <c r="L39"/>
  <c r="H39"/>
  <c r="G39"/>
  <c r="M38"/>
  <c r="L38"/>
  <c r="H38"/>
  <c r="G38"/>
  <c r="M37"/>
  <c r="L37"/>
  <c r="H37"/>
  <c r="G37"/>
  <c r="M36"/>
  <c r="L36"/>
  <c r="H36"/>
  <c r="G36"/>
  <c r="M35"/>
  <c r="L35"/>
  <c r="H35"/>
  <c r="G35"/>
  <c r="M34"/>
  <c r="L34"/>
  <c r="H34"/>
  <c r="G34"/>
  <c r="M33"/>
  <c r="L33"/>
  <c r="H33"/>
  <c r="G33"/>
  <c r="M32"/>
  <c r="L32"/>
  <c r="H32"/>
  <c r="G32"/>
  <c r="M31"/>
  <c r="L31"/>
  <c r="H31"/>
  <c r="G31"/>
  <c r="M30"/>
  <c r="L30"/>
  <c r="H30"/>
  <c r="G30"/>
  <c r="M29"/>
  <c r="L29"/>
  <c r="H29"/>
  <c r="G29"/>
  <c r="M28"/>
  <c r="L28"/>
  <c r="H28"/>
  <c r="G28"/>
  <c r="M27"/>
  <c r="L27"/>
  <c r="H27"/>
  <c r="G27"/>
  <c r="M26"/>
  <c r="L26"/>
  <c r="H26"/>
  <c r="G26"/>
  <c r="M25"/>
  <c r="L25"/>
  <c r="H25"/>
  <c r="G25"/>
  <c r="M24"/>
  <c r="L24"/>
  <c r="H24"/>
  <c r="G24"/>
  <c r="M23"/>
  <c r="L23"/>
  <c r="H23"/>
  <c r="G23"/>
  <c r="M22"/>
  <c r="L22"/>
  <c r="H22"/>
  <c r="G22"/>
  <c r="M21"/>
  <c r="L21"/>
  <c r="H21"/>
  <c r="G21"/>
  <c r="M20"/>
  <c r="L20"/>
  <c r="H20"/>
  <c r="G20"/>
  <c r="M19"/>
  <c r="L19"/>
  <c r="H19"/>
  <c r="G19"/>
  <c r="M18"/>
  <c r="L18"/>
  <c r="H18"/>
  <c r="G18"/>
  <c r="M17"/>
  <c r="L17"/>
  <c r="H17"/>
  <c r="G17"/>
  <c r="M16"/>
  <c r="L16"/>
  <c r="H16"/>
  <c r="G16"/>
  <c r="M15"/>
  <c r="L15"/>
  <c r="H15"/>
  <c r="G15"/>
  <c r="M14"/>
  <c r="L14"/>
  <c r="H14"/>
  <c r="G14"/>
  <c r="M13"/>
  <c r="L13"/>
  <c r="H13"/>
  <c r="G13"/>
  <c r="M12"/>
  <c r="L12"/>
  <c r="H12"/>
  <c r="G12"/>
  <c r="M11"/>
  <c r="L11"/>
  <c r="H11"/>
  <c r="G11"/>
  <c r="M10"/>
  <c r="L10"/>
  <c r="H10"/>
  <c r="G10"/>
  <c r="M9"/>
  <c r="L9"/>
  <c r="H9"/>
  <c r="G9"/>
  <c r="M8"/>
  <c r="L8"/>
  <c r="H8"/>
  <c r="G8"/>
  <c r="M7"/>
  <c r="L7"/>
  <c r="H7"/>
  <c r="G7"/>
  <c r="M6"/>
  <c r="L6"/>
  <c r="H6"/>
  <c r="G6"/>
  <c r="M5"/>
  <c r="L5"/>
  <c r="H5"/>
  <c r="G5"/>
  <c r="M4"/>
  <c r="L4"/>
  <c r="H4"/>
  <c r="G4"/>
  <c r="M3"/>
  <c r="L3"/>
  <c r="H3"/>
  <c r="G3"/>
  <c r="M2"/>
  <c r="L2"/>
  <c r="H2"/>
  <c r="G2"/>
  <c r="T181" i="10"/>
  <c r="J181"/>
  <c r="S181"/>
  <c r="R181"/>
  <c r="Q181"/>
  <c r="O181"/>
  <c r="K181"/>
  <c r="L181"/>
  <c r="F181"/>
  <c r="E181"/>
  <c r="T180"/>
  <c r="J180"/>
  <c r="S180"/>
  <c r="R180"/>
  <c r="Q180"/>
  <c r="O180"/>
  <c r="K180"/>
  <c r="L180"/>
  <c r="F180"/>
  <c r="E180"/>
  <c r="T179"/>
  <c r="J179"/>
  <c r="S179"/>
  <c r="R179"/>
  <c r="Q179"/>
  <c r="O179"/>
  <c r="K179"/>
  <c r="L179"/>
  <c r="F179"/>
  <c r="E179"/>
  <c r="T178"/>
  <c r="J178"/>
  <c r="S178"/>
  <c r="R178"/>
  <c r="Q178"/>
  <c r="O178"/>
  <c r="K178"/>
  <c r="L178"/>
  <c r="F178"/>
  <c r="E178"/>
  <c r="T177"/>
  <c r="J177"/>
  <c r="S177"/>
  <c r="R177"/>
  <c r="Q177"/>
  <c r="O177"/>
  <c r="K177"/>
  <c r="L177"/>
  <c r="F177"/>
  <c r="E177"/>
  <c r="T176"/>
  <c r="J176"/>
  <c r="S176"/>
  <c r="R176"/>
  <c r="Q176"/>
  <c r="O176"/>
  <c r="K176"/>
  <c r="L176"/>
  <c r="F176"/>
  <c r="E176"/>
  <c r="T175"/>
  <c r="J175"/>
  <c r="S175"/>
  <c r="R175"/>
  <c r="Q175"/>
  <c r="O175"/>
  <c r="K175"/>
  <c r="L175"/>
  <c r="F175"/>
  <c r="E175"/>
  <c r="T174"/>
  <c r="J174"/>
  <c r="S174"/>
  <c r="R174"/>
  <c r="Q174"/>
  <c r="O174"/>
  <c r="K174"/>
  <c r="L174"/>
  <c r="F174"/>
  <c r="E174"/>
  <c r="T173"/>
  <c r="J173"/>
  <c r="S173"/>
  <c r="R173"/>
  <c r="Q173"/>
  <c r="O173"/>
  <c r="K173"/>
  <c r="L173"/>
  <c r="F173"/>
  <c r="E173"/>
  <c r="T172"/>
  <c r="J172"/>
  <c r="S172"/>
  <c r="R172"/>
  <c r="Q172"/>
  <c r="O172"/>
  <c r="K172"/>
  <c r="L172"/>
  <c r="F172"/>
  <c r="E172"/>
  <c r="T171"/>
  <c r="J171"/>
  <c r="S171"/>
  <c r="R171"/>
  <c r="Q171"/>
  <c r="O171"/>
  <c r="K171"/>
  <c r="L171"/>
  <c r="F171"/>
  <c r="E171"/>
  <c r="T170"/>
  <c r="J170"/>
  <c r="S170"/>
  <c r="R170"/>
  <c r="Q170"/>
  <c r="O170"/>
  <c r="K170"/>
  <c r="L170"/>
  <c r="F170"/>
  <c r="E170"/>
  <c r="T169"/>
  <c r="J169"/>
  <c r="S169"/>
  <c r="R169"/>
  <c r="Q169"/>
  <c r="O169"/>
  <c r="K169"/>
  <c r="L169"/>
  <c r="F169"/>
  <c r="E169"/>
  <c r="T168"/>
  <c r="J168"/>
  <c r="S168"/>
  <c r="R168"/>
  <c r="Q168"/>
  <c r="O168"/>
  <c r="K168"/>
  <c r="L168"/>
  <c r="F168"/>
  <c r="E168"/>
  <c r="T167"/>
  <c r="J167"/>
  <c r="S167"/>
  <c r="R167"/>
  <c r="Q167"/>
  <c r="O167"/>
  <c r="K167"/>
  <c r="L167"/>
  <c r="F167"/>
  <c r="E167"/>
  <c r="T166"/>
  <c r="J166"/>
  <c r="S166"/>
  <c r="R166"/>
  <c r="Q166"/>
  <c r="O166"/>
  <c r="K166"/>
  <c r="L166"/>
  <c r="F166"/>
  <c r="E166"/>
  <c r="T165"/>
  <c r="J165"/>
  <c r="S165"/>
  <c r="R165"/>
  <c r="Q165"/>
  <c r="O165"/>
  <c r="K165"/>
  <c r="L165"/>
  <c r="F165"/>
  <c r="E165"/>
  <c r="T164"/>
  <c r="J164"/>
  <c r="S164"/>
  <c r="R164"/>
  <c r="Q164"/>
  <c r="O164"/>
  <c r="K164"/>
  <c r="L164"/>
  <c r="F164"/>
  <c r="E164"/>
  <c r="T163"/>
  <c r="J163"/>
  <c r="S163"/>
  <c r="R163"/>
  <c r="Q163"/>
  <c r="O163"/>
  <c r="K163"/>
  <c r="L163"/>
  <c r="F163"/>
  <c r="E163"/>
  <c r="T162"/>
  <c r="J162"/>
  <c r="S162"/>
  <c r="R162"/>
  <c r="Q162"/>
  <c r="O162"/>
  <c r="K162"/>
  <c r="L162"/>
  <c r="F162"/>
  <c r="E162"/>
  <c r="T161"/>
  <c r="J161"/>
  <c r="S161"/>
  <c r="R161"/>
  <c r="Q161"/>
  <c r="O161"/>
  <c r="K161"/>
  <c r="L161"/>
  <c r="F161"/>
  <c r="E161"/>
  <c r="T160"/>
  <c r="J160"/>
  <c r="S160"/>
  <c r="R160"/>
  <c r="Q160"/>
  <c r="O160"/>
  <c r="K160"/>
  <c r="L160"/>
  <c r="F160"/>
  <c r="E160"/>
  <c r="T159"/>
  <c r="J159"/>
  <c r="S159"/>
  <c r="R159"/>
  <c r="Q159"/>
  <c r="O159"/>
  <c r="K159"/>
  <c r="L159"/>
  <c r="F159"/>
  <c r="E159"/>
  <c r="T158"/>
  <c r="J158"/>
  <c r="S158"/>
  <c r="R158"/>
  <c r="Q158"/>
  <c r="O158"/>
  <c r="K158"/>
  <c r="L158"/>
  <c r="F158"/>
  <c r="E158"/>
  <c r="T157"/>
  <c r="J157"/>
  <c r="S157"/>
  <c r="R157"/>
  <c r="Q157"/>
  <c r="O157"/>
  <c r="K157"/>
  <c r="L157"/>
  <c r="F157"/>
  <c r="E157"/>
  <c r="T156"/>
  <c r="J156"/>
  <c r="S156"/>
  <c r="R156"/>
  <c r="Q156"/>
  <c r="O156"/>
  <c r="K156"/>
  <c r="L156"/>
  <c r="F156"/>
  <c r="E156"/>
  <c r="T155"/>
  <c r="J155"/>
  <c r="S155"/>
  <c r="R155"/>
  <c r="Q155"/>
  <c r="O155"/>
  <c r="K155"/>
  <c r="L155"/>
  <c r="F155"/>
  <c r="E155"/>
  <c r="T154"/>
  <c r="J154"/>
  <c r="S154"/>
  <c r="R154"/>
  <c r="Q154"/>
  <c r="O154"/>
  <c r="K154"/>
  <c r="L154"/>
  <c r="F154"/>
  <c r="E154"/>
  <c r="T153"/>
  <c r="J153"/>
  <c r="S153"/>
  <c r="R153"/>
  <c r="Q153"/>
  <c r="O153"/>
  <c r="K153"/>
  <c r="L153"/>
  <c r="F153"/>
  <c r="E153"/>
  <c r="T152"/>
  <c r="J152"/>
  <c r="S152"/>
  <c r="R152"/>
  <c r="Q152"/>
  <c r="O152"/>
  <c r="K152"/>
  <c r="L152"/>
  <c r="F152"/>
  <c r="E152"/>
  <c r="T151"/>
  <c r="J151"/>
  <c r="S151"/>
  <c r="R151"/>
  <c r="Q151"/>
  <c r="O151"/>
  <c r="K151"/>
  <c r="L151"/>
  <c r="F151"/>
  <c r="E151"/>
  <c r="T150"/>
  <c r="J150"/>
  <c r="S150"/>
  <c r="R150"/>
  <c r="Q150"/>
  <c r="O150"/>
  <c r="K150"/>
  <c r="L150"/>
  <c r="F150"/>
  <c r="E150"/>
  <c r="T149"/>
  <c r="J149"/>
  <c r="S149"/>
  <c r="R149"/>
  <c r="Q149"/>
  <c r="O149"/>
  <c r="K149"/>
  <c r="L149"/>
  <c r="F149"/>
  <c r="E149"/>
  <c r="T148"/>
  <c r="J148"/>
  <c r="S148"/>
  <c r="R148"/>
  <c r="Q148"/>
  <c r="O148"/>
  <c r="K148"/>
  <c r="L148"/>
  <c r="F148"/>
  <c r="E148"/>
  <c r="T147"/>
  <c r="J147"/>
  <c r="S147"/>
  <c r="R147"/>
  <c r="Q147"/>
  <c r="O147"/>
  <c r="K147"/>
  <c r="L147"/>
  <c r="F147"/>
  <c r="E147"/>
  <c r="T146"/>
  <c r="J146"/>
  <c r="S146"/>
  <c r="R146"/>
  <c r="Q146"/>
  <c r="O146"/>
  <c r="K146"/>
  <c r="L146"/>
  <c r="F146"/>
  <c r="E146"/>
  <c r="T145"/>
  <c r="J145"/>
  <c r="S145"/>
  <c r="R145"/>
  <c r="Q145"/>
  <c r="O145"/>
  <c r="K145"/>
  <c r="L145"/>
  <c r="F145"/>
  <c r="E145"/>
  <c r="T144"/>
  <c r="J144"/>
  <c r="S144"/>
  <c r="R144"/>
  <c r="Q144"/>
  <c r="O144"/>
  <c r="K144"/>
  <c r="L144"/>
  <c r="F144"/>
  <c r="E144"/>
  <c r="T143"/>
  <c r="J143"/>
  <c r="S143"/>
  <c r="R143"/>
  <c r="Q143"/>
  <c r="O143"/>
  <c r="K143"/>
  <c r="L143"/>
  <c r="F143"/>
  <c r="E143"/>
  <c r="T142"/>
  <c r="J142"/>
  <c r="S142"/>
  <c r="R142"/>
  <c r="Q142"/>
  <c r="O142"/>
  <c r="K142"/>
  <c r="L142"/>
  <c r="F142"/>
  <c r="E142"/>
  <c r="T141"/>
  <c r="J141"/>
  <c r="S141"/>
  <c r="R141"/>
  <c r="Q141"/>
  <c r="O141"/>
  <c r="K141"/>
  <c r="L141"/>
  <c r="F141"/>
  <c r="E141"/>
  <c r="T140"/>
  <c r="J140"/>
  <c r="S140"/>
  <c r="R140"/>
  <c r="Q140"/>
  <c r="O140"/>
  <c r="K140"/>
  <c r="L140"/>
  <c r="F140"/>
  <c r="E140"/>
  <c r="T139"/>
  <c r="J139"/>
  <c r="S139"/>
  <c r="R139"/>
  <c r="Q139"/>
  <c r="O139"/>
  <c r="K139"/>
  <c r="L139"/>
  <c r="F139"/>
  <c r="E139"/>
  <c r="T138"/>
  <c r="J138"/>
  <c r="S138"/>
  <c r="R138"/>
  <c r="Q138"/>
  <c r="O138"/>
  <c r="K138"/>
  <c r="L138"/>
  <c r="F138"/>
  <c r="E138"/>
  <c r="T137"/>
  <c r="J137"/>
  <c r="S137"/>
  <c r="R137"/>
  <c r="Q137"/>
  <c r="O137"/>
  <c r="K137"/>
  <c r="L137"/>
  <c r="F137"/>
  <c r="E137"/>
  <c r="T136"/>
  <c r="J136"/>
  <c r="S136"/>
  <c r="R136"/>
  <c r="Q136"/>
  <c r="O136"/>
  <c r="K136"/>
  <c r="L136"/>
  <c r="F136"/>
  <c r="E136"/>
  <c r="T135"/>
  <c r="J135"/>
  <c r="S135"/>
  <c r="R135"/>
  <c r="Q135"/>
  <c r="O135"/>
  <c r="K135"/>
  <c r="L135"/>
  <c r="F135"/>
  <c r="E135"/>
  <c r="T134"/>
  <c r="J134"/>
  <c r="S134"/>
  <c r="R134"/>
  <c r="Q134"/>
  <c r="O134"/>
  <c r="K134"/>
  <c r="L134"/>
  <c r="F134"/>
  <c r="E134"/>
  <c r="T133"/>
  <c r="J133"/>
  <c r="S133"/>
  <c r="R133"/>
  <c r="Q133"/>
  <c r="O133"/>
  <c r="K133"/>
  <c r="L133"/>
  <c r="F133"/>
  <c r="E133"/>
  <c r="T132"/>
  <c r="J132"/>
  <c r="S132"/>
  <c r="R132"/>
  <c r="Q132"/>
  <c r="O132"/>
  <c r="K132"/>
  <c r="L132"/>
  <c r="F132"/>
  <c r="E132"/>
  <c r="T131"/>
  <c r="J131"/>
  <c r="S131"/>
  <c r="R131"/>
  <c r="Q131"/>
  <c r="O131"/>
  <c r="K131"/>
  <c r="L131"/>
  <c r="F131"/>
  <c r="E131"/>
  <c r="T130"/>
  <c r="J130"/>
  <c r="S130"/>
  <c r="R130"/>
  <c r="Q130"/>
  <c r="O130"/>
  <c r="K130"/>
  <c r="L130"/>
  <c r="F130"/>
  <c r="E130"/>
  <c r="T129"/>
  <c r="J129"/>
  <c r="S129"/>
  <c r="R129"/>
  <c r="Q129"/>
  <c r="O129"/>
  <c r="K129"/>
  <c r="L129"/>
  <c r="F129"/>
  <c r="E129"/>
  <c r="T128"/>
  <c r="J128"/>
  <c r="S128"/>
  <c r="R128"/>
  <c r="Q128"/>
  <c r="O128"/>
  <c r="K128"/>
  <c r="L128"/>
  <c r="F128"/>
  <c r="E128"/>
  <c r="T127"/>
  <c r="J127"/>
  <c r="S127"/>
  <c r="R127"/>
  <c r="Q127"/>
  <c r="O127"/>
  <c r="K127"/>
  <c r="L127"/>
  <c r="F127"/>
  <c r="E127"/>
  <c r="T126"/>
  <c r="J126"/>
  <c r="S126"/>
  <c r="R126"/>
  <c r="Q126"/>
  <c r="O126"/>
  <c r="K126"/>
  <c r="L126"/>
  <c r="F126"/>
  <c r="E126"/>
  <c r="T125"/>
  <c r="J125"/>
  <c r="S125"/>
  <c r="R125"/>
  <c r="Q125"/>
  <c r="O125"/>
  <c r="K125"/>
  <c r="L125"/>
  <c r="F125"/>
  <c r="E125"/>
  <c r="T124"/>
  <c r="J124"/>
  <c r="S124"/>
  <c r="R124"/>
  <c r="Q124"/>
  <c r="O124"/>
  <c r="K124"/>
  <c r="L124"/>
  <c r="F124"/>
  <c r="E124"/>
  <c r="T123"/>
  <c r="J123"/>
  <c r="S123"/>
  <c r="R123"/>
  <c r="Q123"/>
  <c r="O123"/>
  <c r="K123"/>
  <c r="L123"/>
  <c r="F123"/>
  <c r="E123"/>
  <c r="T122"/>
  <c r="J122"/>
  <c r="S122"/>
  <c r="R122"/>
  <c r="Q122"/>
  <c r="O122"/>
  <c r="K122"/>
  <c r="L122"/>
  <c r="F122"/>
  <c r="E122"/>
  <c r="T121"/>
  <c r="J121"/>
  <c r="S121"/>
  <c r="R121"/>
  <c r="Q121"/>
  <c r="O121"/>
  <c r="K121"/>
  <c r="L121"/>
  <c r="F121"/>
  <c r="E121"/>
  <c r="T120"/>
  <c r="J120"/>
  <c r="S120"/>
  <c r="R120"/>
  <c r="Q120"/>
  <c r="O120"/>
  <c r="K120"/>
  <c r="L120"/>
  <c r="F120"/>
  <c r="E120"/>
  <c r="T119"/>
  <c r="J119"/>
  <c r="S119"/>
  <c r="R119"/>
  <c r="Q119"/>
  <c r="O119"/>
  <c r="K119"/>
  <c r="L119"/>
  <c r="F119"/>
  <c r="E119"/>
  <c r="T118"/>
  <c r="J118"/>
  <c r="S118"/>
  <c r="R118"/>
  <c r="Q118"/>
  <c r="O118"/>
  <c r="K118"/>
  <c r="L118"/>
  <c r="F118"/>
  <c r="E118"/>
  <c r="T117"/>
  <c r="J117"/>
  <c r="S117"/>
  <c r="R117"/>
  <c r="Q117"/>
  <c r="O117"/>
  <c r="K117"/>
  <c r="L117"/>
  <c r="F117"/>
  <c r="E117"/>
  <c r="Q116"/>
  <c r="T116"/>
  <c r="J116"/>
  <c r="S116"/>
  <c r="R116"/>
  <c r="O116"/>
  <c r="K116"/>
  <c r="L116"/>
  <c r="F116"/>
  <c r="E116"/>
  <c r="T115"/>
  <c r="J115"/>
  <c r="S115"/>
  <c r="R115"/>
  <c r="Q115"/>
  <c r="O115"/>
  <c r="K115"/>
  <c r="L115"/>
  <c r="F115"/>
  <c r="E115"/>
  <c r="T114"/>
  <c r="J114"/>
  <c r="S114"/>
  <c r="R114"/>
  <c r="Q114"/>
  <c r="O114"/>
  <c r="K114"/>
  <c r="L114"/>
  <c r="F114"/>
  <c r="E114"/>
  <c r="T113"/>
  <c r="J113"/>
  <c r="S113"/>
  <c r="R113"/>
  <c r="Q113"/>
  <c r="O113"/>
  <c r="K113"/>
  <c r="L113"/>
  <c r="F113"/>
  <c r="E113"/>
  <c r="T112"/>
  <c r="J112"/>
  <c r="S112"/>
  <c r="R112"/>
  <c r="Q112"/>
  <c r="O112"/>
  <c r="K112"/>
  <c r="L112"/>
  <c r="F112"/>
  <c r="E112"/>
  <c r="Q111"/>
  <c r="T111"/>
  <c r="J111"/>
  <c r="S111"/>
  <c r="R111"/>
  <c r="O111"/>
  <c r="K111"/>
  <c r="L111"/>
  <c r="F111"/>
  <c r="E111"/>
  <c r="T110"/>
  <c r="J110"/>
  <c r="S110"/>
  <c r="R110"/>
  <c r="Q110"/>
  <c r="O110"/>
  <c r="K110"/>
  <c r="L110"/>
  <c r="F110"/>
  <c r="E110"/>
  <c r="T109"/>
  <c r="J109"/>
  <c r="S109"/>
  <c r="R109"/>
  <c r="Q109"/>
  <c r="O109"/>
  <c r="K109"/>
  <c r="L109"/>
  <c r="F109"/>
  <c r="E109"/>
  <c r="T108"/>
  <c r="J108"/>
  <c r="S108"/>
  <c r="R108"/>
  <c r="Q108"/>
  <c r="O108"/>
  <c r="K108"/>
  <c r="L108"/>
  <c r="F108"/>
  <c r="E108"/>
  <c r="T107"/>
  <c r="J107"/>
  <c r="S107"/>
  <c r="R107"/>
  <c r="Q107"/>
  <c r="O107"/>
  <c r="K107"/>
  <c r="L107"/>
  <c r="F107"/>
  <c r="E107"/>
  <c r="Q106"/>
  <c r="T106"/>
  <c r="J106"/>
  <c r="S106"/>
  <c r="R106"/>
  <c r="O106"/>
  <c r="K106"/>
  <c r="L106"/>
  <c r="F106"/>
  <c r="E106"/>
  <c r="T105"/>
  <c r="J105"/>
  <c r="S105"/>
  <c r="R105"/>
  <c r="Q105"/>
  <c r="O105"/>
  <c r="K105"/>
  <c r="L105"/>
  <c r="F105"/>
  <c r="E105"/>
  <c r="T104"/>
  <c r="J104"/>
  <c r="S104"/>
  <c r="R104"/>
  <c r="Q104"/>
  <c r="O104"/>
  <c r="K104"/>
  <c r="L104"/>
  <c r="F104"/>
  <c r="E104"/>
  <c r="T103"/>
  <c r="J103"/>
  <c r="S103"/>
  <c r="R103"/>
  <c r="Q103"/>
  <c r="O103"/>
  <c r="K103"/>
  <c r="L103"/>
  <c r="F103"/>
  <c r="E103"/>
  <c r="T102"/>
  <c r="J102"/>
  <c r="S102"/>
  <c r="R102"/>
  <c r="Q102"/>
  <c r="O102"/>
  <c r="K102"/>
  <c r="L102"/>
  <c r="F102"/>
  <c r="E102"/>
  <c r="Q101"/>
  <c r="T101"/>
  <c r="J101"/>
  <c r="S101"/>
  <c r="R101"/>
  <c r="O101"/>
  <c r="K101"/>
  <c r="L101"/>
  <c r="F101"/>
  <c r="E101"/>
  <c r="T100"/>
  <c r="J100"/>
  <c r="S100"/>
  <c r="R100"/>
  <c r="Q100"/>
  <c r="O100"/>
  <c r="K100"/>
  <c r="L100"/>
  <c r="F100"/>
  <c r="E100"/>
  <c r="T99"/>
  <c r="J99"/>
  <c r="S99"/>
  <c r="R99"/>
  <c r="Q99"/>
  <c r="O99"/>
  <c r="K99"/>
  <c r="L99"/>
  <c r="F99"/>
  <c r="E99"/>
  <c r="T98"/>
  <c r="J98"/>
  <c r="S98"/>
  <c r="R98"/>
  <c r="Q98"/>
  <c r="O98"/>
  <c r="K98"/>
  <c r="L98"/>
  <c r="F98"/>
  <c r="E98"/>
  <c r="T97"/>
  <c r="J97"/>
  <c r="S97"/>
  <c r="R97"/>
  <c r="Q97"/>
  <c r="O97"/>
  <c r="K97"/>
  <c r="L97"/>
  <c r="F97"/>
  <c r="E97"/>
  <c r="Q96"/>
  <c r="T96"/>
  <c r="J96"/>
  <c r="S96"/>
  <c r="R96"/>
  <c r="O96"/>
  <c r="K96"/>
  <c r="L96"/>
  <c r="F96"/>
  <c r="E96"/>
  <c r="T95"/>
  <c r="J95"/>
  <c r="S95"/>
  <c r="R95"/>
  <c r="Q95"/>
  <c r="O95"/>
  <c r="K95"/>
  <c r="L95"/>
  <c r="F95"/>
  <c r="E95"/>
  <c r="T94"/>
  <c r="J94"/>
  <c r="S94"/>
  <c r="R94"/>
  <c r="Q94"/>
  <c r="O94"/>
  <c r="K94"/>
  <c r="L94"/>
  <c r="F94"/>
  <c r="E94"/>
  <c r="T93"/>
  <c r="J93"/>
  <c r="S93"/>
  <c r="R93"/>
  <c r="Q93"/>
  <c r="O93"/>
  <c r="K93"/>
  <c r="L93"/>
  <c r="F93"/>
  <c r="E93"/>
  <c r="T92"/>
  <c r="J92"/>
  <c r="S92"/>
  <c r="R92"/>
  <c r="Q92"/>
  <c r="O92"/>
  <c r="K92"/>
  <c r="L92"/>
  <c r="F92"/>
  <c r="E92"/>
  <c r="Q91"/>
  <c r="T91"/>
  <c r="J91"/>
  <c r="S91"/>
  <c r="R91"/>
  <c r="O91"/>
  <c r="K91"/>
  <c r="L91"/>
  <c r="F91"/>
  <c r="E91"/>
  <c r="T90"/>
  <c r="J90"/>
  <c r="S90"/>
  <c r="R90"/>
  <c r="Q90"/>
  <c r="O90"/>
  <c r="K90"/>
  <c r="L90"/>
  <c r="F90"/>
  <c r="E90"/>
  <c r="T89"/>
  <c r="J89"/>
  <c r="S89"/>
  <c r="R89"/>
  <c r="Q89"/>
  <c r="O89"/>
  <c r="K89"/>
  <c r="L89"/>
  <c r="F89"/>
  <c r="E89"/>
  <c r="T88"/>
  <c r="J88"/>
  <c r="S88"/>
  <c r="R88"/>
  <c r="Q88"/>
  <c r="O88"/>
  <c r="K88"/>
  <c r="L88"/>
  <c r="F88"/>
  <c r="E88"/>
  <c r="T87"/>
  <c r="J87"/>
  <c r="S87"/>
  <c r="R87"/>
  <c r="Q87"/>
  <c r="O87"/>
  <c r="K87"/>
  <c r="L87"/>
  <c r="F87"/>
  <c r="E87"/>
  <c r="Q86"/>
  <c r="T86"/>
  <c r="J86"/>
  <c r="S86"/>
  <c r="R86"/>
  <c r="O86"/>
  <c r="K86"/>
  <c r="L86"/>
  <c r="F86"/>
  <c r="E86"/>
  <c r="T85"/>
  <c r="J85"/>
  <c r="S85"/>
  <c r="R85"/>
  <c r="Q85"/>
  <c r="O85"/>
  <c r="K85"/>
  <c r="L85"/>
  <c r="F85"/>
  <c r="E85"/>
  <c r="T84"/>
  <c r="J84"/>
  <c r="S84"/>
  <c r="R84"/>
  <c r="Q84"/>
  <c r="O84"/>
  <c r="K84"/>
  <c r="L84"/>
  <c r="F84"/>
  <c r="E84"/>
  <c r="T83"/>
  <c r="J83"/>
  <c r="S83"/>
  <c r="R83"/>
  <c r="Q83"/>
  <c r="O83"/>
  <c r="K83"/>
  <c r="L83"/>
  <c r="F83"/>
  <c r="E83"/>
  <c r="T82"/>
  <c r="J82"/>
  <c r="S82"/>
  <c r="R82"/>
  <c r="Q82"/>
  <c r="O82"/>
  <c r="K82"/>
  <c r="L82"/>
  <c r="F82"/>
  <c r="E82"/>
  <c r="Q81"/>
  <c r="T81"/>
  <c r="J81"/>
  <c r="S81"/>
  <c r="R81"/>
  <c r="O81"/>
  <c r="K81"/>
  <c r="L81"/>
  <c r="F81"/>
  <c r="E81"/>
  <c r="T80"/>
  <c r="J80"/>
  <c r="S80"/>
  <c r="R80"/>
  <c r="Q80"/>
  <c r="O80"/>
  <c r="K80"/>
  <c r="L80"/>
  <c r="F80"/>
  <c r="E80"/>
  <c r="T79"/>
  <c r="J79"/>
  <c r="S79"/>
  <c r="R79"/>
  <c r="Q79"/>
  <c r="O79"/>
  <c r="K79"/>
  <c r="L79"/>
  <c r="F79"/>
  <c r="E79"/>
  <c r="T78"/>
  <c r="J78"/>
  <c r="S78"/>
  <c r="R78"/>
  <c r="Q78"/>
  <c r="O78"/>
  <c r="K78"/>
  <c r="L78"/>
  <c r="F78"/>
  <c r="E78"/>
  <c r="T77"/>
  <c r="J77"/>
  <c r="S77"/>
  <c r="R77"/>
  <c r="Q77"/>
  <c r="O77"/>
  <c r="K77"/>
  <c r="L77"/>
  <c r="F77"/>
  <c r="E77"/>
  <c r="Q76"/>
  <c r="T76"/>
  <c r="J76"/>
  <c r="S76"/>
  <c r="R76"/>
  <c r="O76"/>
  <c r="K76"/>
  <c r="L76"/>
  <c r="F76"/>
  <c r="E76"/>
  <c r="T75"/>
  <c r="J75"/>
  <c r="S75"/>
  <c r="R75"/>
  <c r="Q75"/>
  <c r="O75"/>
  <c r="K75"/>
  <c r="L75"/>
  <c r="F75"/>
  <c r="E75"/>
  <c r="T74"/>
  <c r="J74"/>
  <c r="S74"/>
  <c r="R74"/>
  <c r="Q74"/>
  <c r="O74"/>
  <c r="K74"/>
  <c r="L74"/>
  <c r="F74"/>
  <c r="E74"/>
  <c r="T73"/>
  <c r="J73"/>
  <c r="S73"/>
  <c r="R73"/>
  <c r="Q73"/>
  <c r="O73"/>
  <c r="K73"/>
  <c r="L73"/>
  <c r="F73"/>
  <c r="E73"/>
  <c r="T72"/>
  <c r="J72"/>
  <c r="S72"/>
  <c r="R72"/>
  <c r="Q72"/>
  <c r="O72"/>
  <c r="K72"/>
  <c r="L72"/>
  <c r="F72"/>
  <c r="E72"/>
  <c r="Q71"/>
  <c r="T71"/>
  <c r="J71"/>
  <c r="S71"/>
  <c r="R71"/>
  <c r="O71"/>
  <c r="K71"/>
  <c r="L71"/>
  <c r="F71"/>
  <c r="E71"/>
  <c r="T70"/>
  <c r="J70"/>
  <c r="S70"/>
  <c r="R70"/>
  <c r="Q70"/>
  <c r="O70"/>
  <c r="K70"/>
  <c r="L70"/>
  <c r="F70"/>
  <c r="E70"/>
  <c r="T69"/>
  <c r="J69"/>
  <c r="S69"/>
  <c r="R69"/>
  <c r="Q69"/>
  <c r="O69"/>
  <c r="K69"/>
  <c r="L69"/>
  <c r="F69"/>
  <c r="E69"/>
  <c r="T68"/>
  <c r="J68"/>
  <c r="S68"/>
  <c r="R68"/>
  <c r="Q68"/>
  <c r="O68"/>
  <c r="K68"/>
  <c r="L68"/>
  <c r="F68"/>
  <c r="E68"/>
  <c r="T67"/>
  <c r="J67"/>
  <c r="S67"/>
  <c r="R67"/>
  <c r="Q67"/>
  <c r="O67"/>
  <c r="K67"/>
  <c r="L67"/>
  <c r="F67"/>
  <c r="E67"/>
  <c r="T66"/>
  <c r="J66"/>
  <c r="S66"/>
  <c r="R66"/>
  <c r="Q66"/>
  <c r="O66"/>
  <c r="K66"/>
  <c r="L66"/>
  <c r="F66"/>
  <c r="E66"/>
  <c r="T65"/>
  <c r="J65"/>
  <c r="S65"/>
  <c r="R65"/>
  <c r="Q65"/>
  <c r="O65"/>
  <c r="K65"/>
  <c r="L65"/>
  <c r="F65"/>
  <c r="E65"/>
  <c r="T64"/>
  <c r="J64"/>
  <c r="S64"/>
  <c r="R64"/>
  <c r="Q64"/>
  <c r="O64"/>
  <c r="K64"/>
  <c r="L64"/>
  <c r="F64"/>
  <c r="E64"/>
  <c r="T63"/>
  <c r="J63"/>
  <c r="S63"/>
  <c r="R63"/>
  <c r="Q63"/>
  <c r="O63"/>
  <c r="K63"/>
  <c r="L63"/>
  <c r="F63"/>
  <c r="E63"/>
  <c r="T62"/>
  <c r="J62"/>
  <c r="S62"/>
  <c r="R62"/>
  <c r="Q62"/>
  <c r="O62"/>
  <c r="K62"/>
  <c r="L62"/>
  <c r="F62"/>
  <c r="E62"/>
  <c r="T61"/>
  <c r="J61"/>
  <c r="S61"/>
  <c r="R61"/>
  <c r="Q61"/>
  <c r="O61"/>
  <c r="K61"/>
  <c r="L61"/>
  <c r="F61"/>
  <c r="E61"/>
  <c r="T60"/>
  <c r="J60"/>
  <c r="S60"/>
  <c r="R60"/>
  <c r="Q60"/>
  <c r="O60"/>
  <c r="K60"/>
  <c r="L60"/>
  <c r="F60"/>
  <c r="E60"/>
  <c r="T59"/>
  <c r="J59"/>
  <c r="S59"/>
  <c r="R59"/>
  <c r="Q59"/>
  <c r="O59"/>
  <c r="K59"/>
  <c r="L59"/>
  <c r="F59"/>
  <c r="E59"/>
  <c r="T58"/>
  <c r="J58"/>
  <c r="S58"/>
  <c r="R58"/>
  <c r="Q58"/>
  <c r="O58"/>
  <c r="K58"/>
  <c r="L58"/>
  <c r="F58"/>
  <c r="E58"/>
  <c r="T57"/>
  <c r="J57"/>
  <c r="S57"/>
  <c r="R57"/>
  <c r="Q57"/>
  <c r="O57"/>
  <c r="K57"/>
  <c r="L57"/>
  <c r="F57"/>
  <c r="E57"/>
  <c r="T56"/>
  <c r="J56"/>
  <c r="S56"/>
  <c r="R56"/>
  <c r="Q56"/>
  <c r="O56"/>
  <c r="K56"/>
  <c r="L56"/>
  <c r="F56"/>
  <c r="E56"/>
  <c r="T55"/>
  <c r="J55"/>
  <c r="S55"/>
  <c r="R55"/>
  <c r="Q55"/>
  <c r="O55"/>
  <c r="K55"/>
  <c r="L55"/>
  <c r="F55"/>
  <c r="E55"/>
  <c r="T54"/>
  <c r="J54"/>
  <c r="S54"/>
  <c r="R54"/>
  <c r="Q54"/>
  <c r="O54"/>
  <c r="K54"/>
  <c r="L54"/>
  <c r="F54"/>
  <c r="E54"/>
  <c r="T53"/>
  <c r="J53"/>
  <c r="S53"/>
  <c r="R53"/>
  <c r="Q53"/>
  <c r="O53"/>
  <c r="K53"/>
  <c r="L53"/>
  <c r="F53"/>
  <c r="E53"/>
  <c r="T52"/>
  <c r="J52"/>
  <c r="S52"/>
  <c r="R52"/>
  <c r="Q52"/>
  <c r="O52"/>
  <c r="K52"/>
  <c r="L52"/>
  <c r="F52"/>
  <c r="E52"/>
  <c r="T51"/>
  <c r="J51"/>
  <c r="S51"/>
  <c r="R51"/>
  <c r="Q51"/>
  <c r="O51"/>
  <c r="K51"/>
  <c r="L51"/>
  <c r="F51"/>
  <c r="E51"/>
  <c r="T50"/>
  <c r="J50"/>
  <c r="S50"/>
  <c r="R50"/>
  <c r="Q50"/>
  <c r="O50"/>
  <c r="K50"/>
  <c r="L50"/>
  <c r="F50"/>
  <c r="E50"/>
  <c r="T49"/>
  <c r="J49"/>
  <c r="S49"/>
  <c r="R49"/>
  <c r="Q49"/>
  <c r="O49"/>
  <c r="K49"/>
  <c r="L49"/>
  <c r="F49"/>
  <c r="E49"/>
  <c r="T48"/>
  <c r="J48"/>
  <c r="S48"/>
  <c r="R48"/>
  <c r="Q48"/>
  <c r="O48"/>
  <c r="K48"/>
  <c r="L48"/>
  <c r="F48"/>
  <c r="E48"/>
  <c r="T47"/>
  <c r="J47"/>
  <c r="S47"/>
  <c r="R47"/>
  <c r="Q47"/>
  <c r="O47"/>
  <c r="K47"/>
  <c r="L47"/>
  <c r="F47"/>
  <c r="E47"/>
  <c r="T46"/>
  <c r="J46"/>
  <c r="S46"/>
  <c r="R46"/>
  <c r="Q46"/>
  <c r="O46"/>
  <c r="K46"/>
  <c r="L46"/>
  <c r="F46"/>
  <c r="E46"/>
  <c r="T45"/>
  <c r="J45"/>
  <c r="S45"/>
  <c r="R45"/>
  <c r="Q45"/>
  <c r="O45"/>
  <c r="K45"/>
  <c r="L45"/>
  <c r="F45"/>
  <c r="E45"/>
  <c r="T44"/>
  <c r="J44"/>
  <c r="S44"/>
  <c r="R44"/>
  <c r="Q44"/>
  <c r="O44"/>
  <c r="K44"/>
  <c r="L44"/>
  <c r="F44"/>
  <c r="E44"/>
  <c r="T43"/>
  <c r="J43"/>
  <c r="S43"/>
  <c r="R43"/>
  <c r="Q43"/>
  <c r="O43"/>
  <c r="K43"/>
  <c r="L43"/>
  <c r="F43"/>
  <c r="E43"/>
  <c r="T42"/>
  <c r="J42"/>
  <c r="S42"/>
  <c r="R42"/>
  <c r="Q42"/>
  <c r="O42"/>
  <c r="K42"/>
  <c r="L42"/>
  <c r="F42"/>
  <c r="E42"/>
  <c r="T41"/>
  <c r="J41"/>
  <c r="S41"/>
  <c r="R41"/>
  <c r="Q41"/>
  <c r="O41"/>
  <c r="K41"/>
  <c r="L41"/>
  <c r="F41"/>
  <c r="E41"/>
  <c r="T40"/>
  <c r="J40"/>
  <c r="S40"/>
  <c r="R40"/>
  <c r="Q40"/>
  <c r="O40"/>
  <c r="K40"/>
  <c r="L40"/>
  <c r="F40"/>
  <c r="E40"/>
  <c r="T39"/>
  <c r="J39"/>
  <c r="S39"/>
  <c r="R39"/>
  <c r="Q39"/>
  <c r="O39"/>
  <c r="K39"/>
  <c r="L39"/>
  <c r="F39"/>
  <c r="E39"/>
  <c r="T38"/>
  <c r="J38"/>
  <c r="S38"/>
  <c r="R38"/>
  <c r="Q38"/>
  <c r="O38"/>
  <c r="K38"/>
  <c r="L38"/>
  <c r="F38"/>
  <c r="E38"/>
  <c r="T37"/>
  <c r="J37"/>
  <c r="S37"/>
  <c r="R37"/>
  <c r="Q37"/>
  <c r="O37"/>
  <c r="K37"/>
  <c r="L37"/>
  <c r="F37"/>
  <c r="E37"/>
  <c r="T36"/>
  <c r="J36"/>
  <c r="S36"/>
  <c r="R36"/>
  <c r="Q36"/>
  <c r="O36"/>
  <c r="K36"/>
  <c r="L36"/>
  <c r="F36"/>
  <c r="E36"/>
  <c r="T35"/>
  <c r="J35"/>
  <c r="S35"/>
  <c r="R35"/>
  <c r="Q35"/>
  <c r="O35"/>
  <c r="K35"/>
  <c r="L35"/>
  <c r="F35"/>
  <c r="E35"/>
  <c r="T34"/>
  <c r="J34"/>
  <c r="S34"/>
  <c r="R34"/>
  <c r="Q34"/>
  <c r="O34"/>
  <c r="K34"/>
  <c r="L34"/>
  <c r="F34"/>
  <c r="E34"/>
  <c r="T33"/>
  <c r="J33"/>
  <c r="S33"/>
  <c r="R33"/>
  <c r="Q33"/>
  <c r="O33"/>
  <c r="K33"/>
  <c r="L33"/>
  <c r="F33"/>
  <c r="E33"/>
  <c r="T32"/>
  <c r="J32"/>
  <c r="S32"/>
  <c r="R32"/>
  <c r="Q32"/>
  <c r="O32"/>
  <c r="K32"/>
  <c r="L32"/>
  <c r="F32"/>
  <c r="E32"/>
  <c r="T31"/>
  <c r="J31"/>
  <c r="S31"/>
  <c r="R31"/>
  <c r="Q31"/>
  <c r="O31"/>
  <c r="K31"/>
  <c r="L31"/>
  <c r="F31"/>
  <c r="E31"/>
  <c r="T30"/>
  <c r="J30"/>
  <c r="S30"/>
  <c r="R30"/>
  <c r="Q30"/>
  <c r="O30"/>
  <c r="K30"/>
  <c r="L30"/>
  <c r="F30"/>
  <c r="E30"/>
  <c r="T29"/>
  <c r="J29"/>
  <c r="S29"/>
  <c r="R29"/>
  <c r="Q29"/>
  <c r="O29"/>
  <c r="K29"/>
  <c r="L29"/>
  <c r="F29"/>
  <c r="E29"/>
  <c r="T28"/>
  <c r="J28"/>
  <c r="S28"/>
  <c r="R28"/>
  <c r="Q28"/>
  <c r="O28"/>
  <c r="K28"/>
  <c r="L28"/>
  <c r="F28"/>
  <c r="E28"/>
  <c r="T27"/>
  <c r="J27"/>
  <c r="S27"/>
  <c r="R27"/>
  <c r="Q27"/>
  <c r="O27"/>
  <c r="K27"/>
  <c r="L27"/>
  <c r="F27"/>
  <c r="E27"/>
  <c r="T26"/>
  <c r="J26"/>
  <c r="S26"/>
  <c r="R26"/>
  <c r="Q26"/>
  <c r="O26"/>
  <c r="K26"/>
  <c r="L26"/>
  <c r="F26"/>
  <c r="E26"/>
  <c r="T25"/>
  <c r="J25"/>
  <c r="S25"/>
  <c r="R25"/>
  <c r="Q25"/>
  <c r="O25"/>
  <c r="K25"/>
  <c r="L25"/>
  <c r="F25"/>
  <c r="E25"/>
  <c r="T24"/>
  <c r="J24"/>
  <c r="S24"/>
  <c r="R24"/>
  <c r="Q24"/>
  <c r="O24"/>
  <c r="K24"/>
  <c r="L24"/>
  <c r="F24"/>
  <c r="E24"/>
  <c r="T23"/>
  <c r="J23"/>
  <c r="S23"/>
  <c r="R23"/>
  <c r="Q23"/>
  <c r="O23"/>
  <c r="K23"/>
  <c r="L23"/>
  <c r="F23"/>
  <c r="E23"/>
  <c r="T22"/>
  <c r="J22"/>
  <c r="S22"/>
  <c r="R22"/>
  <c r="Q22"/>
  <c r="O22"/>
  <c r="K22"/>
  <c r="L22"/>
  <c r="F22"/>
  <c r="E22"/>
  <c r="T21"/>
  <c r="J21"/>
  <c r="S21"/>
  <c r="R21"/>
  <c r="Q21"/>
  <c r="O21"/>
  <c r="K21"/>
  <c r="L21"/>
  <c r="F21"/>
  <c r="E21"/>
  <c r="T20"/>
  <c r="J20"/>
  <c r="S20"/>
  <c r="R20"/>
  <c r="Q20"/>
  <c r="O20"/>
  <c r="K20"/>
  <c r="L20"/>
  <c r="F20"/>
  <c r="E20"/>
  <c r="T19"/>
  <c r="J19"/>
  <c r="S19"/>
  <c r="R19"/>
  <c r="Q19"/>
  <c r="O19"/>
  <c r="K19"/>
  <c r="L19"/>
  <c r="F19"/>
  <c r="E19"/>
  <c r="T18"/>
  <c r="J18"/>
  <c r="S18"/>
  <c r="R18"/>
  <c r="Q18"/>
  <c r="O18"/>
  <c r="K18"/>
  <c r="L18"/>
  <c r="F18"/>
  <c r="E18"/>
  <c r="T17"/>
  <c r="J17"/>
  <c r="S17"/>
  <c r="R17"/>
  <c r="Q17"/>
  <c r="O17"/>
  <c r="K17"/>
  <c r="L17"/>
  <c r="F17"/>
  <c r="E17"/>
  <c r="T16"/>
  <c r="J16"/>
  <c r="S16"/>
  <c r="R16"/>
  <c r="Q16"/>
  <c r="O16"/>
  <c r="K16"/>
  <c r="L16"/>
  <c r="F16"/>
  <c r="E16"/>
  <c r="T15"/>
  <c r="J15"/>
  <c r="S15"/>
  <c r="R15"/>
  <c r="Q15"/>
  <c r="O15"/>
  <c r="K15"/>
  <c r="L15"/>
  <c r="F15"/>
  <c r="E15"/>
  <c r="T14"/>
  <c r="J14"/>
  <c r="S14"/>
  <c r="R14"/>
  <c r="Q14"/>
  <c r="O14"/>
  <c r="K14"/>
  <c r="L14"/>
  <c r="F14"/>
  <c r="E14"/>
  <c r="T13"/>
  <c r="J13"/>
  <c r="S13"/>
  <c r="R13"/>
  <c r="Q13"/>
  <c r="O13"/>
  <c r="K13"/>
  <c r="L13"/>
  <c r="F13"/>
  <c r="E13"/>
  <c r="T12"/>
  <c r="J12"/>
  <c r="S12"/>
  <c r="R12"/>
  <c r="Q12"/>
  <c r="O12"/>
  <c r="K12"/>
  <c r="L12"/>
  <c r="F12"/>
  <c r="E12"/>
  <c r="T11"/>
  <c r="J11"/>
  <c r="S11"/>
  <c r="R11"/>
  <c r="Q11"/>
  <c r="O11"/>
  <c r="K11"/>
  <c r="L11"/>
  <c r="F11"/>
  <c r="E11"/>
  <c r="AH10"/>
  <c r="T10"/>
  <c r="J10"/>
  <c r="S10"/>
  <c r="R10"/>
  <c r="Q10"/>
  <c r="O10"/>
  <c r="K10"/>
  <c r="L10"/>
  <c r="F10"/>
  <c r="E10"/>
  <c r="T9"/>
  <c r="J9"/>
  <c r="S9"/>
  <c r="R9"/>
  <c r="Q9"/>
  <c r="O9"/>
  <c r="K9"/>
  <c r="L9"/>
  <c r="F9"/>
  <c r="E9"/>
  <c r="T8"/>
  <c r="J8"/>
  <c r="S8"/>
  <c r="R8"/>
  <c r="Q8"/>
  <c r="O8"/>
  <c r="K8"/>
  <c r="L8"/>
  <c r="F8"/>
  <c r="E8"/>
  <c r="T7"/>
  <c r="J7"/>
  <c r="S7"/>
  <c r="R7"/>
  <c r="Q7"/>
  <c r="O7"/>
  <c r="K7"/>
  <c r="L7"/>
  <c r="F7"/>
  <c r="E7"/>
  <c r="T6"/>
  <c r="J6"/>
  <c r="S6"/>
  <c r="R6"/>
  <c r="Q6"/>
  <c r="O6"/>
  <c r="K6"/>
  <c r="L6"/>
  <c r="F6"/>
  <c r="E6"/>
  <c r="T5"/>
  <c r="J5"/>
  <c r="S5"/>
  <c r="R5"/>
  <c r="Q5"/>
  <c r="O5"/>
  <c r="K5"/>
  <c r="L5"/>
  <c r="F5"/>
  <c r="E5"/>
  <c r="T4"/>
  <c r="J4"/>
  <c r="S4"/>
  <c r="R4"/>
  <c r="Q4"/>
  <c r="O4"/>
  <c r="K4"/>
  <c r="L4"/>
  <c r="F4"/>
  <c r="E4"/>
  <c r="T3"/>
  <c r="J3"/>
  <c r="S3"/>
  <c r="R3"/>
  <c r="Q3"/>
  <c r="O3"/>
  <c r="K3"/>
  <c r="L3"/>
  <c r="F3"/>
  <c r="E3"/>
  <c r="T2"/>
  <c r="J2"/>
  <c r="S2"/>
  <c r="G2"/>
  <c r="H2"/>
  <c r="R2"/>
  <c r="Q2"/>
  <c r="O2"/>
  <c r="K2"/>
  <c r="L2"/>
  <c r="F2"/>
  <c r="E2"/>
  <c r="E102" i="5"/>
  <c r="C102"/>
  <c r="E2"/>
  <c r="C2"/>
  <c r="D2"/>
  <c r="E3"/>
  <c r="C3"/>
  <c r="D3"/>
  <c r="E4"/>
  <c r="C4"/>
  <c r="D4"/>
  <c r="E5"/>
  <c r="C5"/>
  <c r="D5"/>
  <c r="E6"/>
  <c r="C6"/>
  <c r="D6"/>
  <c r="E7"/>
  <c r="C7"/>
  <c r="D7"/>
  <c r="E8"/>
  <c r="C8"/>
  <c r="D8"/>
  <c r="E9"/>
  <c r="C9"/>
  <c r="D9"/>
  <c r="E10"/>
  <c r="C10"/>
  <c r="D10"/>
  <c r="E11"/>
  <c r="C11"/>
  <c r="D11"/>
  <c r="E12"/>
  <c r="C12"/>
  <c r="D12"/>
  <c r="E13"/>
  <c r="C13"/>
  <c r="D13"/>
  <c r="E14"/>
  <c r="C14"/>
  <c r="D14"/>
  <c r="E15"/>
  <c r="C15"/>
  <c r="D15"/>
  <c r="E16"/>
  <c r="C16"/>
  <c r="D16"/>
  <c r="E17"/>
  <c r="C17"/>
  <c r="D17"/>
  <c r="E18"/>
  <c r="C18"/>
  <c r="D18"/>
  <c r="E19"/>
  <c r="C19"/>
  <c r="D19"/>
  <c r="E20"/>
  <c r="C20"/>
  <c r="D20"/>
  <c r="E21"/>
  <c r="C21"/>
  <c r="D21"/>
  <c r="E22"/>
  <c r="C22"/>
  <c r="D22"/>
  <c r="E23"/>
  <c r="C23"/>
  <c r="D23"/>
  <c r="E24"/>
  <c r="C24"/>
  <c r="D24"/>
  <c r="E25"/>
  <c r="C25"/>
  <c r="D25"/>
  <c r="E26"/>
  <c r="C26"/>
  <c r="D26"/>
  <c r="E27"/>
  <c r="C27"/>
  <c r="D27"/>
  <c r="E28"/>
  <c r="C28"/>
  <c r="D28"/>
  <c r="E29"/>
  <c r="C29"/>
  <c r="D29"/>
  <c r="E30"/>
  <c r="C30"/>
  <c r="D30"/>
  <c r="E31"/>
  <c r="C31"/>
  <c r="D31"/>
  <c r="E32"/>
  <c r="C32"/>
  <c r="D32"/>
  <c r="E33"/>
  <c r="C33"/>
  <c r="D33"/>
  <c r="E34"/>
  <c r="C34"/>
  <c r="D34"/>
  <c r="E35"/>
  <c r="C35"/>
  <c r="D35"/>
  <c r="E36"/>
  <c r="C36"/>
  <c r="D36"/>
  <c r="E37"/>
  <c r="C37"/>
  <c r="D37"/>
  <c r="E38"/>
  <c r="C38"/>
  <c r="D38"/>
  <c r="E39"/>
  <c r="C39"/>
  <c r="D39"/>
  <c r="E40"/>
  <c r="C40"/>
  <c r="D40"/>
  <c r="E41"/>
  <c r="C41"/>
  <c r="D41"/>
  <c r="E42"/>
  <c r="C42"/>
  <c r="D42"/>
  <c r="E43"/>
  <c r="C43"/>
  <c r="D43"/>
  <c r="E44"/>
  <c r="C44"/>
  <c r="D44"/>
  <c r="E45"/>
  <c r="C45"/>
  <c r="D45"/>
  <c r="E46"/>
  <c r="C46"/>
  <c r="D46"/>
  <c r="E47"/>
  <c r="C47"/>
  <c r="D47"/>
  <c r="E48"/>
  <c r="C48"/>
  <c r="D48"/>
  <c r="E49"/>
  <c r="C49"/>
  <c r="D49"/>
  <c r="E50"/>
  <c r="C50"/>
  <c r="D50"/>
  <c r="E51"/>
  <c r="C51"/>
  <c r="D51"/>
  <c r="E52"/>
  <c r="C52"/>
  <c r="D52"/>
  <c r="E53"/>
  <c r="C53"/>
  <c r="D53"/>
  <c r="E54"/>
  <c r="C54"/>
  <c r="D54"/>
  <c r="E55"/>
  <c r="C55"/>
  <c r="D55"/>
  <c r="E56"/>
  <c r="C56"/>
  <c r="D56"/>
  <c r="E57"/>
  <c r="C57"/>
  <c r="D57"/>
  <c r="E58"/>
  <c r="C58"/>
  <c r="D58"/>
  <c r="E59"/>
  <c r="C59"/>
  <c r="D59"/>
  <c r="E60"/>
  <c r="C60"/>
  <c r="D60"/>
  <c r="E61"/>
  <c r="C61"/>
  <c r="D61"/>
  <c r="E62"/>
  <c r="C62"/>
  <c r="D62"/>
  <c r="E63"/>
  <c r="C63"/>
  <c r="D63"/>
  <c r="E64"/>
  <c r="C64"/>
  <c r="D64"/>
  <c r="E65"/>
  <c r="C65"/>
  <c r="D65"/>
  <c r="E66"/>
  <c r="C66"/>
  <c r="D66"/>
  <c r="E67"/>
  <c r="C67"/>
  <c r="D67"/>
  <c r="E68"/>
  <c r="C68"/>
  <c r="D68"/>
  <c r="E69"/>
  <c r="C69"/>
  <c r="D69"/>
  <c r="E70"/>
  <c r="C70"/>
  <c r="D70"/>
  <c r="E71"/>
  <c r="C71"/>
  <c r="D71"/>
  <c r="E72"/>
  <c r="C72"/>
  <c r="D72"/>
  <c r="E73"/>
  <c r="C73"/>
  <c r="D73"/>
  <c r="E74"/>
  <c r="C74"/>
  <c r="D74"/>
  <c r="E75"/>
  <c r="C75"/>
  <c r="D75"/>
  <c r="E76"/>
  <c r="C76"/>
  <c r="D76"/>
  <c r="E77"/>
  <c r="C77"/>
  <c r="D77"/>
  <c r="E78"/>
  <c r="C78"/>
  <c r="D78"/>
  <c r="E79"/>
  <c r="C79"/>
  <c r="D79"/>
  <c r="E80"/>
  <c r="C80"/>
  <c r="D80"/>
  <c r="E81"/>
  <c r="C81"/>
  <c r="D81"/>
  <c r="E82"/>
  <c r="C82"/>
  <c r="D82"/>
  <c r="E83"/>
  <c r="C83"/>
  <c r="D83"/>
  <c r="E84"/>
  <c r="C84"/>
  <c r="D84"/>
  <c r="E85"/>
  <c r="C85"/>
  <c r="D85"/>
  <c r="E86"/>
  <c r="C86"/>
  <c r="D86"/>
  <c r="E87"/>
  <c r="C87"/>
  <c r="D87"/>
  <c r="E88"/>
  <c r="C88"/>
  <c r="D88"/>
  <c r="E89"/>
  <c r="C89"/>
  <c r="D89"/>
  <c r="E90"/>
  <c r="C90"/>
  <c r="D90"/>
  <c r="E91"/>
  <c r="C91"/>
  <c r="D91"/>
  <c r="E92"/>
  <c r="C92"/>
  <c r="D92"/>
  <c r="E93"/>
  <c r="C93"/>
  <c r="D93"/>
  <c r="E94"/>
  <c r="C94"/>
  <c r="D94"/>
  <c r="E95"/>
  <c r="C95"/>
  <c r="D95"/>
  <c r="E96"/>
  <c r="C96"/>
  <c r="D96"/>
  <c r="E97"/>
  <c r="C97"/>
  <c r="D97"/>
  <c r="E98"/>
  <c r="C98"/>
  <c r="D98"/>
  <c r="E99"/>
  <c r="C99"/>
  <c r="D99"/>
  <c r="E100"/>
  <c r="C100"/>
  <c r="D100"/>
  <c r="E101"/>
  <c r="C101"/>
  <c r="D101"/>
  <c r="D102"/>
  <c r="F102"/>
  <c r="G102"/>
  <c r="I102"/>
  <c r="J102"/>
  <c r="E103"/>
  <c r="C103"/>
  <c r="D103"/>
  <c r="F103"/>
  <c r="G103"/>
  <c r="I103"/>
  <c r="J103"/>
  <c r="E104"/>
  <c r="C104"/>
  <c r="D104"/>
  <c r="F104"/>
  <c r="G104"/>
  <c r="I104"/>
  <c r="J104"/>
  <c r="E105"/>
  <c r="C105"/>
  <c r="D105"/>
  <c r="F105"/>
  <c r="G105"/>
  <c r="I105"/>
  <c r="J105"/>
  <c r="E106"/>
  <c r="C106"/>
  <c r="D106"/>
  <c r="F106"/>
  <c r="G106"/>
  <c r="I106"/>
  <c r="J106"/>
  <c r="E107"/>
  <c r="C107"/>
  <c r="D107"/>
  <c r="F107"/>
  <c r="G107"/>
  <c r="I107"/>
  <c r="J107"/>
  <c r="E108"/>
  <c r="C108"/>
  <c r="D108"/>
  <c r="F108"/>
  <c r="G108"/>
  <c r="I108"/>
  <c r="J108"/>
  <c r="E109"/>
  <c r="C109"/>
  <c r="D109"/>
  <c r="F109"/>
  <c r="G109"/>
  <c r="I109"/>
  <c r="J109"/>
  <c r="E110"/>
  <c r="C110"/>
  <c r="D110"/>
  <c r="F110"/>
  <c r="G110"/>
  <c r="I110"/>
  <c r="J110"/>
  <c r="E111"/>
  <c r="C111"/>
  <c r="D111"/>
  <c r="F111"/>
  <c r="G111"/>
  <c r="I111"/>
  <c r="J111"/>
  <c r="E112"/>
  <c r="C112"/>
  <c r="D112"/>
  <c r="F112"/>
  <c r="G112"/>
  <c r="I112"/>
  <c r="J112"/>
  <c r="E113"/>
  <c r="C113"/>
  <c r="D113"/>
  <c r="F113"/>
  <c r="G113"/>
  <c r="I113"/>
  <c r="J113"/>
  <c r="E114"/>
  <c r="C114"/>
  <c r="D114"/>
  <c r="F114"/>
  <c r="G114"/>
  <c r="I114"/>
  <c r="J114"/>
  <c r="E115"/>
  <c r="C115"/>
  <c r="D115"/>
  <c r="F115"/>
  <c r="G115"/>
  <c r="I115"/>
  <c r="J115"/>
  <c r="E116"/>
  <c r="C116"/>
  <c r="D116"/>
  <c r="F116"/>
  <c r="G116"/>
  <c r="I116"/>
  <c r="J116"/>
  <c r="E117"/>
  <c r="C117"/>
  <c r="D117"/>
  <c r="F117"/>
  <c r="G117"/>
  <c r="I117"/>
  <c r="J117"/>
  <c r="E118"/>
  <c r="C118"/>
  <c r="D118"/>
  <c r="F118"/>
  <c r="G118"/>
  <c r="I118"/>
  <c r="J118"/>
  <c r="E119"/>
  <c r="C119"/>
  <c r="D119"/>
  <c r="F119"/>
  <c r="G119"/>
  <c r="I119"/>
  <c r="J119"/>
  <c r="E120"/>
  <c r="C120"/>
  <c r="D120"/>
  <c r="F120"/>
  <c r="G120"/>
  <c r="I120"/>
  <c r="J120"/>
  <c r="E121"/>
  <c r="C121"/>
  <c r="D121"/>
  <c r="F121"/>
  <c r="G121"/>
  <c r="I121"/>
  <c r="J121"/>
  <c r="E122"/>
  <c r="C122"/>
  <c r="D122"/>
  <c r="F122"/>
  <c r="G122"/>
  <c r="I122"/>
  <c r="J122"/>
  <c r="E123"/>
  <c r="C123"/>
  <c r="D123"/>
  <c r="F123"/>
  <c r="G123"/>
  <c r="I123"/>
  <c r="J123"/>
  <c r="E124"/>
  <c r="C124"/>
  <c r="D124"/>
  <c r="F124"/>
  <c r="G124"/>
  <c r="I124"/>
  <c r="J124"/>
  <c r="E125"/>
  <c r="C125"/>
  <c r="D125"/>
  <c r="F125"/>
  <c r="G125"/>
  <c r="I125"/>
  <c r="J125"/>
  <c r="E126"/>
  <c r="C126"/>
  <c r="D126"/>
  <c r="F126"/>
  <c r="G126"/>
  <c r="I126"/>
  <c r="J126"/>
  <c r="E127"/>
  <c r="C127"/>
  <c r="D127"/>
  <c r="F127"/>
  <c r="G127"/>
  <c r="I127"/>
  <c r="J127"/>
  <c r="E128"/>
  <c r="C128"/>
  <c r="D128"/>
  <c r="F128"/>
  <c r="G128"/>
  <c r="I128"/>
  <c r="J128"/>
  <c r="E129"/>
  <c r="C129"/>
  <c r="D129"/>
  <c r="F129"/>
  <c r="G129"/>
  <c r="I129"/>
  <c r="J129"/>
  <c r="E130"/>
  <c r="C130"/>
  <c r="D130"/>
  <c r="F130"/>
  <c r="G130"/>
  <c r="I130"/>
  <c r="J130"/>
  <c r="E131"/>
  <c r="C131"/>
  <c r="D131"/>
  <c r="F131"/>
  <c r="G131"/>
  <c r="I131"/>
  <c r="J131"/>
  <c r="E132"/>
  <c r="C132"/>
  <c r="D132"/>
  <c r="F132"/>
  <c r="G132"/>
  <c r="I132"/>
  <c r="J132"/>
  <c r="E133"/>
  <c r="C133"/>
  <c r="D133"/>
  <c r="F133"/>
  <c r="G133"/>
  <c r="I133"/>
  <c r="J133"/>
  <c r="E134"/>
  <c r="C134"/>
  <c r="D134"/>
  <c r="F134"/>
  <c r="G134"/>
  <c r="I134"/>
  <c r="J134"/>
  <c r="E135"/>
  <c r="C135"/>
  <c r="D135"/>
  <c r="F135"/>
  <c r="G135"/>
  <c r="I135"/>
  <c r="J135"/>
  <c r="E136"/>
  <c r="C136"/>
  <c r="D136"/>
  <c r="F136"/>
  <c r="G136"/>
  <c r="I136"/>
  <c r="J136"/>
  <c r="E137"/>
  <c r="C137"/>
  <c r="D137"/>
  <c r="F137"/>
  <c r="G137"/>
  <c r="I137"/>
  <c r="J137"/>
  <c r="E138"/>
  <c r="C138"/>
  <c r="D138"/>
  <c r="F138"/>
  <c r="G138"/>
  <c r="I138"/>
  <c r="J138"/>
  <c r="E139"/>
  <c r="C139"/>
  <c r="D139"/>
  <c r="F139"/>
  <c r="G139"/>
  <c r="I139"/>
  <c r="J139"/>
  <c r="E140"/>
  <c r="C140"/>
  <c r="D140"/>
  <c r="F140"/>
  <c r="G140"/>
  <c r="I140"/>
  <c r="J140"/>
  <c r="E141"/>
  <c r="C141"/>
  <c r="D141"/>
  <c r="F141"/>
  <c r="G141"/>
  <c r="I141"/>
  <c r="J141"/>
  <c r="E142"/>
  <c r="C142"/>
  <c r="D142"/>
  <c r="F142"/>
  <c r="G142"/>
  <c r="I142"/>
  <c r="J142"/>
  <c r="E143"/>
  <c r="C143"/>
  <c r="D143"/>
  <c r="F143"/>
  <c r="G143"/>
  <c r="I143"/>
  <c r="J143"/>
  <c r="E144"/>
  <c r="C144"/>
  <c r="D144"/>
  <c r="F144"/>
  <c r="G144"/>
  <c r="I144"/>
  <c r="J144"/>
  <c r="E145"/>
  <c r="C145"/>
  <c r="D145"/>
  <c r="F145"/>
  <c r="G145"/>
  <c r="I145"/>
  <c r="J145"/>
  <c r="E146"/>
  <c r="C146"/>
  <c r="D146"/>
  <c r="F146"/>
  <c r="G146"/>
  <c r="I146"/>
  <c r="J146"/>
  <c r="E147"/>
  <c r="C147"/>
  <c r="D147"/>
  <c r="F147"/>
  <c r="G147"/>
  <c r="I147"/>
  <c r="J147"/>
  <c r="E148"/>
  <c r="C148"/>
  <c r="D148"/>
  <c r="F148"/>
  <c r="G148"/>
  <c r="I148"/>
  <c r="J148"/>
  <c r="E149"/>
  <c r="C149"/>
  <c r="D149"/>
  <c r="F149"/>
  <c r="G149"/>
  <c r="I149"/>
  <c r="J149"/>
  <c r="E150"/>
  <c r="C150"/>
  <c r="D150"/>
  <c r="F150"/>
  <c r="G150"/>
  <c r="I150"/>
  <c r="J150"/>
  <c r="E151"/>
  <c r="C151"/>
  <c r="D151"/>
  <c r="F151"/>
  <c r="G151"/>
  <c r="I151"/>
  <c r="J151"/>
  <c r="E152"/>
  <c r="C152"/>
  <c r="D152"/>
  <c r="F152"/>
  <c r="G152"/>
  <c r="I152"/>
  <c r="J152"/>
  <c r="E153"/>
  <c r="C153"/>
  <c r="D153"/>
  <c r="F153"/>
  <c r="G153"/>
  <c r="I153"/>
  <c r="J153"/>
  <c r="E154"/>
  <c r="C154"/>
  <c r="D154"/>
  <c r="F154"/>
  <c r="G154"/>
  <c r="I154"/>
  <c r="J154"/>
  <c r="E155"/>
  <c r="C155"/>
  <c r="D155"/>
  <c r="F155"/>
  <c r="G155"/>
  <c r="I155"/>
  <c r="J155"/>
  <c r="E156"/>
  <c r="C156"/>
  <c r="D156"/>
  <c r="F156"/>
  <c r="G156"/>
  <c r="I156"/>
  <c r="J156"/>
  <c r="E157"/>
  <c r="C157"/>
  <c r="D157"/>
  <c r="F157"/>
  <c r="G157"/>
  <c r="I157"/>
  <c r="J157"/>
  <c r="E158"/>
  <c r="C158"/>
  <c r="D158"/>
  <c r="F158"/>
  <c r="G158"/>
  <c r="I158"/>
  <c r="J158"/>
  <c r="E159"/>
  <c r="C159"/>
  <c r="D159"/>
  <c r="F159"/>
  <c r="G159"/>
  <c r="I159"/>
  <c r="J159"/>
  <c r="E160"/>
  <c r="C160"/>
  <c r="D160"/>
  <c r="F160"/>
  <c r="G160"/>
  <c r="I160"/>
  <c r="J160"/>
  <c r="E161"/>
  <c r="C161"/>
  <c r="D161"/>
  <c r="F161"/>
  <c r="G161"/>
  <c r="I161"/>
  <c r="J161"/>
  <c r="E162"/>
  <c r="C162"/>
  <c r="D162"/>
  <c r="F162"/>
  <c r="G162"/>
  <c r="I162"/>
  <c r="J162"/>
  <c r="E163"/>
  <c r="C163"/>
  <c r="D163"/>
  <c r="F163"/>
  <c r="G163"/>
  <c r="I163"/>
  <c r="J163"/>
  <c r="E164"/>
  <c r="C164"/>
  <c r="D164"/>
  <c r="F164"/>
  <c r="G164"/>
  <c r="I164"/>
  <c r="J164"/>
  <c r="E165"/>
  <c r="C165"/>
  <c r="D165"/>
  <c r="F165"/>
  <c r="G165"/>
  <c r="I165"/>
  <c r="J165"/>
  <c r="E166"/>
  <c r="C166"/>
  <c r="D166"/>
  <c r="F166"/>
  <c r="G166"/>
  <c r="I166"/>
  <c r="J166"/>
  <c r="E167"/>
  <c r="C167"/>
  <c r="D167"/>
  <c r="F167"/>
  <c r="G167"/>
  <c r="I167"/>
  <c r="J167"/>
  <c r="E168"/>
  <c r="C168"/>
  <c r="D168"/>
  <c r="F168"/>
  <c r="G168"/>
  <c r="I168"/>
  <c r="J168"/>
  <c r="E169"/>
  <c r="C169"/>
  <c r="D169"/>
  <c r="F169"/>
  <c r="G169"/>
  <c r="I169"/>
  <c r="J169"/>
  <c r="E170"/>
  <c r="C170"/>
  <c r="D170"/>
  <c r="F170"/>
  <c r="G170"/>
  <c r="I170"/>
  <c r="J170"/>
  <c r="E171"/>
  <c r="C171"/>
  <c r="D171"/>
  <c r="F171"/>
  <c r="G171"/>
  <c r="I171"/>
  <c r="J171"/>
  <c r="E172"/>
  <c r="C172"/>
  <c r="D172"/>
  <c r="F172"/>
  <c r="G172"/>
  <c r="I172"/>
  <c r="J172"/>
  <c r="E173"/>
  <c r="C173"/>
  <c r="D173"/>
  <c r="F173"/>
  <c r="G173"/>
  <c r="I173"/>
  <c r="J173"/>
  <c r="E174"/>
  <c r="C174"/>
  <c r="D174"/>
  <c r="F174"/>
  <c r="G174"/>
  <c r="I174"/>
  <c r="J174"/>
  <c r="E175"/>
  <c r="C175"/>
  <c r="D175"/>
  <c r="F175"/>
  <c r="G175"/>
  <c r="I175"/>
  <c r="J175"/>
  <c r="E176"/>
  <c r="C176"/>
  <c r="D176"/>
  <c r="F176"/>
  <c r="G176"/>
  <c r="I176"/>
  <c r="J176"/>
  <c r="E177"/>
  <c r="C177"/>
  <c r="D177"/>
  <c r="F177"/>
  <c r="G177"/>
  <c r="I177"/>
  <c r="J177"/>
  <c r="E178"/>
  <c r="C178"/>
  <c r="D178"/>
  <c r="F178"/>
  <c r="G178"/>
  <c r="I178"/>
  <c r="J178"/>
  <c r="E179"/>
  <c r="C179"/>
  <c r="D179"/>
  <c r="F179"/>
  <c r="G179"/>
  <c r="I179"/>
  <c r="J179"/>
  <c r="E180"/>
  <c r="C180"/>
  <c r="D180"/>
  <c r="F180"/>
  <c r="G180"/>
  <c r="I180"/>
  <c r="J180"/>
  <c r="E181"/>
  <c r="C181"/>
  <c r="D181"/>
  <c r="F181"/>
  <c r="G181"/>
  <c r="I181"/>
  <c r="J181"/>
  <c r="E182"/>
  <c r="C182"/>
  <c r="D182"/>
  <c r="F182"/>
  <c r="G182"/>
  <c r="I182"/>
  <c r="J182"/>
  <c r="E183"/>
  <c r="C183"/>
  <c r="D183"/>
  <c r="F183"/>
  <c r="G183"/>
  <c r="I183"/>
  <c r="J183"/>
  <c r="E184"/>
  <c r="C184"/>
  <c r="D184"/>
  <c r="F184"/>
  <c r="G184"/>
  <c r="I184"/>
  <c r="J184"/>
  <c r="E185"/>
  <c r="C185"/>
  <c r="D185"/>
  <c r="F185"/>
  <c r="G185"/>
  <c r="I185"/>
  <c r="J185"/>
  <c r="E186"/>
  <c r="C186"/>
  <c r="D186"/>
  <c r="F186"/>
  <c r="G186"/>
  <c r="I186"/>
  <c r="J186"/>
  <c r="E187"/>
  <c r="C187"/>
  <c r="D187"/>
  <c r="F187"/>
  <c r="G187"/>
  <c r="I187"/>
  <c r="J187"/>
  <c r="E188"/>
  <c r="C188"/>
  <c r="D188"/>
  <c r="F188"/>
  <c r="G188"/>
  <c r="I188"/>
  <c r="J188"/>
  <c r="E189"/>
  <c r="C189"/>
  <c r="D189"/>
  <c r="F189"/>
  <c r="G189"/>
  <c r="I189"/>
  <c r="J189"/>
  <c r="E190"/>
  <c r="C190"/>
  <c r="D190"/>
  <c r="F190"/>
  <c r="G190"/>
  <c r="I190"/>
  <c r="J190"/>
  <c r="E191"/>
  <c r="C191"/>
  <c r="D191"/>
  <c r="F191"/>
  <c r="G191"/>
  <c r="I191"/>
  <c r="J191"/>
  <c r="E192"/>
  <c r="C192"/>
  <c r="D192"/>
  <c r="F192"/>
  <c r="G192"/>
  <c r="I192"/>
  <c r="J192"/>
  <c r="E193"/>
  <c r="C193"/>
  <c r="D193"/>
  <c r="F193"/>
  <c r="G193"/>
  <c r="I193"/>
  <c r="J193"/>
  <c r="E194"/>
  <c r="C194"/>
  <c r="D194"/>
  <c r="F194"/>
  <c r="G194"/>
  <c r="I194"/>
  <c r="J194"/>
  <c r="E195"/>
  <c r="C195"/>
  <c r="D195"/>
  <c r="F195"/>
  <c r="G195"/>
  <c r="I195"/>
  <c r="J195"/>
  <c r="E196"/>
  <c r="C196"/>
  <c r="D196"/>
  <c r="F196"/>
  <c r="G196"/>
  <c r="I196"/>
  <c r="J196"/>
  <c r="E197"/>
  <c r="C197"/>
  <c r="D197"/>
  <c r="F197"/>
  <c r="G197"/>
  <c r="I197"/>
  <c r="J197"/>
  <c r="E198"/>
  <c r="C198"/>
  <c r="D198"/>
  <c r="F198"/>
  <c r="G198"/>
  <c r="I198"/>
  <c r="J198"/>
  <c r="E199"/>
  <c r="C199"/>
  <c r="D199"/>
  <c r="F199"/>
  <c r="G199"/>
  <c r="I199"/>
  <c r="J199"/>
  <c r="E200"/>
  <c r="C200"/>
  <c r="D200"/>
  <c r="F200"/>
  <c r="G200"/>
  <c r="I200"/>
  <c r="J200"/>
  <c r="E201"/>
  <c r="C201"/>
  <c r="D201"/>
  <c r="F201"/>
  <c r="G201"/>
  <c r="I201"/>
  <c r="J201"/>
  <c r="E202"/>
  <c r="C202"/>
  <c r="D202"/>
  <c r="F202"/>
  <c r="G202"/>
  <c r="I202"/>
  <c r="J202"/>
  <c r="E203"/>
  <c r="C203"/>
  <c r="D203"/>
  <c r="F203"/>
  <c r="G203"/>
  <c r="I203"/>
  <c r="J203"/>
  <c r="E204"/>
  <c r="C204"/>
  <c r="D204"/>
  <c r="F204"/>
  <c r="G204"/>
  <c r="I204"/>
  <c r="J204"/>
  <c r="E205"/>
  <c r="C205"/>
  <c r="D205"/>
  <c r="F205"/>
  <c r="G205"/>
  <c r="I205"/>
  <c r="J205"/>
  <c r="E206"/>
  <c r="C206"/>
  <c r="D206"/>
  <c r="F206"/>
  <c r="G206"/>
  <c r="I206"/>
  <c r="J206"/>
  <c r="E207"/>
  <c r="C207"/>
  <c r="D207"/>
  <c r="F207"/>
  <c r="G207"/>
  <c r="I207"/>
  <c r="J207"/>
  <c r="E208"/>
  <c r="C208"/>
  <c r="D208"/>
  <c r="F208"/>
  <c r="G208"/>
  <c r="I208"/>
  <c r="J208"/>
  <c r="E209"/>
  <c r="C209"/>
  <c r="D209"/>
  <c r="F209"/>
  <c r="G209"/>
  <c r="I209"/>
  <c r="J209"/>
  <c r="E210"/>
  <c r="C210"/>
  <c r="D210"/>
  <c r="F210"/>
  <c r="G210"/>
  <c r="I210"/>
  <c r="J210"/>
  <c r="E211"/>
  <c r="C211"/>
  <c r="D211"/>
  <c r="F211"/>
  <c r="G211"/>
  <c r="I211"/>
  <c r="J211"/>
  <c r="E212"/>
  <c r="C212"/>
  <c r="D212"/>
  <c r="F212"/>
  <c r="G212"/>
  <c r="I212"/>
  <c r="J212"/>
  <c r="E213"/>
  <c r="C213"/>
  <c r="D213"/>
  <c r="F213"/>
  <c r="G213"/>
  <c r="I213"/>
  <c r="J213"/>
  <c r="E214"/>
  <c r="C214"/>
  <c r="D214"/>
  <c r="F214"/>
  <c r="G214"/>
  <c r="I214"/>
  <c r="J214"/>
  <c r="E215"/>
  <c r="C215"/>
  <c r="D215"/>
  <c r="F215"/>
  <c r="G215"/>
  <c r="I215"/>
  <c r="J215"/>
  <c r="E216"/>
  <c r="C216"/>
  <c r="D216"/>
  <c r="F216"/>
  <c r="G216"/>
  <c r="I216"/>
  <c r="J216"/>
  <c r="E217"/>
  <c r="C217"/>
  <c r="D217"/>
  <c r="F217"/>
  <c r="G217"/>
  <c r="I217"/>
  <c r="J217"/>
  <c r="E218"/>
  <c r="C218"/>
  <c r="D218"/>
  <c r="F218"/>
  <c r="G218"/>
  <c r="I218"/>
  <c r="J218"/>
  <c r="E219"/>
  <c r="C219"/>
  <c r="D219"/>
  <c r="F219"/>
  <c r="G219"/>
  <c r="I219"/>
  <c r="J219"/>
  <c r="E220"/>
  <c r="C220"/>
  <c r="D220"/>
  <c r="F220"/>
  <c r="G220"/>
  <c r="I220"/>
  <c r="J220"/>
  <c r="E221"/>
  <c r="C221"/>
  <c r="D221"/>
  <c r="F221"/>
  <c r="G221"/>
  <c r="I221"/>
  <c r="J221"/>
  <c r="E222"/>
  <c r="C222"/>
  <c r="D222"/>
  <c r="F222"/>
  <c r="G222"/>
  <c r="I222"/>
  <c r="J222"/>
  <c r="E223"/>
  <c r="C223"/>
  <c r="D223"/>
  <c r="F223"/>
  <c r="G223"/>
  <c r="I223"/>
  <c r="J223"/>
  <c r="E224"/>
  <c r="C224"/>
  <c r="D224"/>
  <c r="F224"/>
  <c r="G224"/>
  <c r="I224"/>
  <c r="J224"/>
  <c r="E225"/>
  <c r="C225"/>
  <c r="D225"/>
  <c r="F225"/>
  <c r="G225"/>
  <c r="I225"/>
  <c r="J225"/>
  <c r="E226"/>
  <c r="C226"/>
  <c r="D226"/>
  <c r="F226"/>
  <c r="G226"/>
  <c r="I226"/>
  <c r="J226"/>
  <c r="E227"/>
  <c r="C227"/>
  <c r="D227"/>
  <c r="F227"/>
  <c r="G227"/>
  <c r="I227"/>
  <c r="J227"/>
  <c r="E228"/>
  <c r="C228"/>
  <c r="D228"/>
  <c r="F228"/>
  <c r="G228"/>
  <c r="I228"/>
  <c r="J228"/>
  <c r="E229"/>
  <c r="C229"/>
  <c r="D229"/>
  <c r="F229"/>
  <c r="G229"/>
  <c r="I229"/>
  <c r="J229"/>
  <c r="E230"/>
  <c r="C230"/>
  <c r="D230"/>
  <c r="F230"/>
  <c r="G230"/>
  <c r="I230"/>
  <c r="J230"/>
  <c r="E231"/>
  <c r="C231"/>
  <c r="D231"/>
  <c r="F231"/>
  <c r="G231"/>
  <c r="I231"/>
  <c r="J231"/>
  <c r="E232"/>
  <c r="C232"/>
  <c r="D232"/>
  <c r="F232"/>
  <c r="G232"/>
  <c r="I232"/>
  <c r="J232"/>
  <c r="E233"/>
  <c r="C233"/>
  <c r="D233"/>
  <c r="F233"/>
  <c r="G233"/>
  <c r="I233"/>
  <c r="J233"/>
  <c r="E234"/>
  <c r="C234"/>
  <c r="D234"/>
  <c r="F234"/>
  <c r="G234"/>
  <c r="I234"/>
  <c r="J234"/>
  <c r="E235"/>
  <c r="C235"/>
  <c r="D235"/>
  <c r="F235"/>
  <c r="G235"/>
  <c r="I235"/>
  <c r="J235"/>
  <c r="E236"/>
  <c r="C236"/>
  <c r="D236"/>
  <c r="F236"/>
  <c r="G236"/>
  <c r="I236"/>
  <c r="J236"/>
  <c r="E237"/>
  <c r="C237"/>
  <c r="D237"/>
  <c r="F237"/>
  <c r="G237"/>
  <c r="I237"/>
  <c r="J237"/>
  <c r="E238"/>
  <c r="C238"/>
  <c r="D238"/>
  <c r="F238"/>
  <c r="G238"/>
  <c r="I238"/>
  <c r="J238"/>
  <c r="E239"/>
  <c r="C239"/>
  <c r="D239"/>
  <c r="F239"/>
  <c r="G239"/>
  <c r="I239"/>
  <c r="J239"/>
  <c r="E240"/>
  <c r="C240"/>
  <c r="D240"/>
  <c r="F240"/>
  <c r="G240"/>
  <c r="I240"/>
  <c r="J240"/>
  <c r="E241"/>
  <c r="C241"/>
  <c r="D241"/>
  <c r="F241"/>
  <c r="G241"/>
  <c r="I241"/>
  <c r="J241"/>
  <c r="E242"/>
  <c r="C242"/>
  <c r="D242"/>
  <c r="F242"/>
  <c r="G242"/>
  <c r="I242"/>
  <c r="J242"/>
  <c r="E243"/>
  <c r="C243"/>
  <c r="D243"/>
  <c r="F243"/>
  <c r="G243"/>
  <c r="I243"/>
  <c r="J243"/>
  <c r="E244"/>
  <c r="C244"/>
  <c r="D244"/>
  <c r="F244"/>
  <c r="G244"/>
  <c r="I244"/>
  <c r="J244"/>
  <c r="E245"/>
  <c r="C245"/>
  <c r="D245"/>
  <c r="F245"/>
  <c r="G245"/>
  <c r="I245"/>
  <c r="J245"/>
  <c r="E246"/>
  <c r="C246"/>
  <c r="D246"/>
  <c r="F246"/>
  <c r="G246"/>
  <c r="I246"/>
  <c r="J246"/>
  <c r="E247"/>
  <c r="C247"/>
  <c r="D247"/>
  <c r="F247"/>
  <c r="G247"/>
  <c r="I247"/>
  <c r="J247"/>
  <c r="E248"/>
  <c r="C248"/>
  <c r="D248"/>
  <c r="F248"/>
  <c r="G248"/>
  <c r="I248"/>
  <c r="J248"/>
  <c r="E249"/>
  <c r="C249"/>
  <c r="D249"/>
  <c r="F249"/>
  <c r="G249"/>
  <c r="I249"/>
  <c r="J249"/>
  <c r="E250"/>
  <c r="C250"/>
  <c r="D250"/>
  <c r="F250"/>
  <c r="G250"/>
  <c r="I250"/>
  <c r="J250"/>
  <c r="E251"/>
  <c r="C251"/>
  <c r="D251"/>
  <c r="F251"/>
  <c r="G251"/>
  <c r="I251"/>
  <c r="J251"/>
  <c r="E252"/>
  <c r="C252"/>
  <c r="D252"/>
  <c r="F252"/>
  <c r="G252"/>
  <c r="I252"/>
  <c r="J252"/>
  <c r="E253"/>
  <c r="C253"/>
  <c r="D253"/>
  <c r="F253"/>
  <c r="G253"/>
  <c r="I253"/>
  <c r="J253"/>
  <c r="E254"/>
  <c r="C254"/>
  <c r="D254"/>
  <c r="F254"/>
  <c r="G254"/>
  <c r="I254"/>
  <c r="J254"/>
  <c r="E255"/>
  <c r="C255"/>
  <c r="D255"/>
  <c r="F255"/>
  <c r="G255"/>
  <c r="I255"/>
  <c r="J255"/>
  <c r="E256"/>
  <c r="C256"/>
  <c r="D256"/>
  <c r="F256"/>
  <c r="G256"/>
  <c r="I256"/>
  <c r="J256"/>
  <c r="E257"/>
  <c r="C257"/>
  <c r="D257"/>
  <c r="F257"/>
  <c r="G257"/>
  <c r="I257"/>
  <c r="J257"/>
  <c r="E258"/>
  <c r="C258"/>
  <c r="D258"/>
  <c r="F258"/>
  <c r="G258"/>
  <c r="I258"/>
  <c r="J258"/>
  <c r="E259"/>
  <c r="C259"/>
  <c r="D259"/>
  <c r="F259"/>
  <c r="G259"/>
  <c r="I259"/>
  <c r="J259"/>
  <c r="E260"/>
  <c r="C260"/>
  <c r="D260"/>
  <c r="F260"/>
  <c r="G260"/>
  <c r="I260"/>
  <c r="J260"/>
  <c r="E261"/>
  <c r="C261"/>
  <c r="D261"/>
  <c r="F261"/>
  <c r="G261"/>
  <c r="I261"/>
  <c r="J261"/>
  <c r="E262"/>
  <c r="C262"/>
  <c r="D262"/>
  <c r="F262"/>
  <c r="G262"/>
  <c r="I262"/>
  <c r="J262"/>
  <c r="E263"/>
  <c r="C263"/>
  <c r="D263"/>
  <c r="F263"/>
  <c r="G263"/>
  <c r="I263"/>
  <c r="J263"/>
  <c r="E264"/>
  <c r="C264"/>
  <c r="D264"/>
  <c r="F264"/>
  <c r="G264"/>
  <c r="I264"/>
  <c r="J264"/>
  <c r="E265"/>
  <c r="C265"/>
  <c r="D265"/>
  <c r="F265"/>
  <c r="G265"/>
  <c r="I265"/>
  <c r="J265"/>
  <c r="E266"/>
  <c r="C266"/>
  <c r="D266"/>
  <c r="F266"/>
  <c r="G266"/>
  <c r="I266"/>
  <c r="J266"/>
  <c r="E267"/>
  <c r="C267"/>
  <c r="D267"/>
  <c r="F267"/>
  <c r="G267"/>
  <c r="I267"/>
  <c r="J267"/>
  <c r="E268"/>
  <c r="C268"/>
  <c r="D268"/>
  <c r="F268"/>
  <c r="G268"/>
  <c r="I268"/>
  <c r="J268"/>
  <c r="E269"/>
  <c r="C269"/>
  <c r="D269"/>
  <c r="F269"/>
  <c r="G269"/>
  <c r="I269"/>
  <c r="J269"/>
  <c r="E270"/>
  <c r="C270"/>
  <c r="D270"/>
  <c r="F270"/>
  <c r="G270"/>
  <c r="I270"/>
  <c r="J270"/>
  <c r="E271"/>
  <c r="C271"/>
  <c r="D271"/>
  <c r="F271"/>
  <c r="G271"/>
  <c r="I271"/>
  <c r="J271"/>
  <c r="E272"/>
  <c r="C272"/>
  <c r="D272"/>
  <c r="F272"/>
  <c r="G272"/>
  <c r="I272"/>
  <c r="J272"/>
  <c r="E273"/>
  <c r="C273"/>
  <c r="D273"/>
  <c r="F273"/>
  <c r="G273"/>
  <c r="I273"/>
  <c r="J273"/>
  <c r="E274"/>
  <c r="C274"/>
  <c r="D274"/>
  <c r="F274"/>
  <c r="G274"/>
  <c r="I274"/>
  <c r="J274"/>
  <c r="E275"/>
  <c r="C275"/>
  <c r="D275"/>
  <c r="F275"/>
  <c r="G275"/>
  <c r="I275"/>
  <c r="J275"/>
  <c r="E276"/>
  <c r="C276"/>
  <c r="D276"/>
  <c r="F276"/>
  <c r="G276"/>
  <c r="I276"/>
  <c r="J276"/>
  <c r="E277"/>
  <c r="C277"/>
  <c r="D277"/>
  <c r="F277"/>
  <c r="G277"/>
  <c r="I277"/>
  <c r="J277"/>
  <c r="E278"/>
  <c r="C278"/>
  <c r="D278"/>
  <c r="F278"/>
  <c r="G278"/>
  <c r="I278"/>
  <c r="J278"/>
  <c r="E279"/>
  <c r="C279"/>
  <c r="D279"/>
  <c r="F279"/>
  <c r="G279"/>
  <c r="I279"/>
  <c r="J279"/>
  <c r="E280"/>
  <c r="C280"/>
  <c r="D280"/>
  <c r="F280"/>
  <c r="G280"/>
  <c r="I280"/>
  <c r="J280"/>
  <c r="E281"/>
  <c r="C281"/>
  <c r="D281"/>
  <c r="F281"/>
  <c r="G281"/>
  <c r="I281"/>
  <c r="J281"/>
  <c r="E282"/>
  <c r="C282"/>
  <c r="D282"/>
  <c r="F282"/>
  <c r="G282"/>
  <c r="I282"/>
  <c r="J282"/>
  <c r="E283"/>
  <c r="C283"/>
  <c r="D283"/>
  <c r="F283"/>
  <c r="G283"/>
  <c r="I283"/>
  <c r="J283"/>
  <c r="E284"/>
  <c r="C284"/>
  <c r="D284"/>
  <c r="F284"/>
  <c r="G284"/>
  <c r="I284"/>
  <c r="J284"/>
  <c r="E285"/>
  <c r="C285"/>
  <c r="D285"/>
  <c r="F285"/>
  <c r="G285"/>
  <c r="I285"/>
  <c r="J285"/>
  <c r="E286"/>
  <c r="C286"/>
  <c r="D286"/>
  <c r="F286"/>
  <c r="G286"/>
  <c r="I286"/>
  <c r="J286"/>
  <c r="E287"/>
  <c r="C287"/>
  <c r="D287"/>
  <c r="F287"/>
  <c r="G287"/>
  <c r="I287"/>
  <c r="J287"/>
  <c r="E288"/>
  <c r="C288"/>
  <c r="D288"/>
  <c r="F288"/>
  <c r="G288"/>
  <c r="I288"/>
  <c r="J288"/>
  <c r="E289"/>
  <c r="C289"/>
  <c r="D289"/>
  <c r="F289"/>
  <c r="G289"/>
  <c r="I289"/>
  <c r="J289"/>
  <c r="E290"/>
  <c r="C290"/>
  <c r="D290"/>
  <c r="F290"/>
  <c r="G290"/>
  <c r="I290"/>
  <c r="J290"/>
  <c r="E291"/>
  <c r="C291"/>
  <c r="D291"/>
  <c r="F291"/>
  <c r="G291"/>
  <c r="I291"/>
  <c r="J291"/>
  <c r="E292"/>
  <c r="C292"/>
  <c r="D292"/>
  <c r="F292"/>
  <c r="G292"/>
  <c r="I292"/>
  <c r="J292"/>
  <c r="E293"/>
  <c r="C293"/>
  <c r="D293"/>
  <c r="F293"/>
  <c r="G293"/>
  <c r="I293"/>
  <c r="J293"/>
  <c r="E294"/>
  <c r="C294"/>
  <c r="D294"/>
  <c r="F294"/>
  <c r="G294"/>
  <c r="I294"/>
  <c r="J294"/>
  <c r="E295"/>
  <c r="C295"/>
  <c r="D295"/>
  <c r="F295"/>
  <c r="G295"/>
  <c r="I295"/>
  <c r="J295"/>
  <c r="E296"/>
  <c r="C296"/>
  <c r="D296"/>
  <c r="F296"/>
  <c r="G296"/>
  <c r="I296"/>
  <c r="J296"/>
  <c r="E297"/>
  <c r="C297"/>
  <c r="D297"/>
  <c r="F297"/>
  <c r="G297"/>
  <c r="I297"/>
  <c r="J297"/>
  <c r="E298"/>
  <c r="C298"/>
  <c r="D298"/>
  <c r="F298"/>
  <c r="G298"/>
  <c r="I298"/>
  <c r="J298"/>
  <c r="E299"/>
  <c r="C299"/>
  <c r="D299"/>
  <c r="F299"/>
  <c r="G299"/>
  <c r="I299"/>
  <c r="J299"/>
  <c r="E300"/>
  <c r="C300"/>
  <c r="D300"/>
  <c r="F300"/>
  <c r="G300"/>
  <c r="I300"/>
  <c r="J300"/>
  <c r="E301"/>
  <c r="C301"/>
  <c r="D301"/>
  <c r="F301"/>
  <c r="G301"/>
  <c r="I301"/>
  <c r="J301"/>
  <c r="E302"/>
  <c r="C302"/>
  <c r="D302"/>
  <c r="F302"/>
  <c r="G302"/>
  <c r="I302"/>
  <c r="J302"/>
  <c r="E303"/>
  <c r="C303"/>
  <c r="D303"/>
  <c r="F303"/>
  <c r="G303"/>
  <c r="I303"/>
  <c r="J303"/>
  <c r="E304"/>
  <c r="C304"/>
  <c r="D304"/>
  <c r="F304"/>
  <c r="G304"/>
  <c r="I304"/>
  <c r="J304"/>
  <c r="E305"/>
  <c r="C305"/>
  <c r="D305"/>
  <c r="F305"/>
  <c r="G305"/>
  <c r="I305"/>
  <c r="J305"/>
  <c r="E306"/>
  <c r="C306"/>
  <c r="D306"/>
  <c r="F306"/>
  <c r="G306"/>
  <c r="I306"/>
  <c r="J306"/>
  <c r="E307"/>
  <c r="C307"/>
  <c r="D307"/>
  <c r="F307"/>
  <c r="G307"/>
  <c r="I307"/>
  <c r="J307"/>
  <c r="E308"/>
  <c r="C308"/>
  <c r="D308"/>
  <c r="F308"/>
  <c r="G308"/>
  <c r="I308"/>
  <c r="J308"/>
  <c r="E309"/>
  <c r="C309"/>
  <c r="D309"/>
  <c r="F309"/>
  <c r="G309"/>
  <c r="I309"/>
  <c r="J309"/>
  <c r="E310"/>
  <c r="C310"/>
  <c r="D310"/>
  <c r="F310"/>
  <c r="G310"/>
  <c r="I310"/>
  <c r="J310"/>
  <c r="E311"/>
  <c r="C311"/>
  <c r="D311"/>
  <c r="F311"/>
  <c r="G311"/>
  <c r="I311"/>
  <c r="J311"/>
  <c r="E312"/>
  <c r="C312"/>
  <c r="D312"/>
  <c r="F312"/>
  <c r="G312"/>
  <c r="I312"/>
  <c r="J312"/>
  <c r="E313"/>
  <c r="C313"/>
  <c r="D313"/>
  <c r="F313"/>
  <c r="G313"/>
  <c r="I313"/>
  <c r="J313"/>
  <c r="E314"/>
  <c r="C314"/>
  <c r="D314"/>
  <c r="F314"/>
  <c r="G314"/>
  <c r="I314"/>
  <c r="J314"/>
  <c r="E315"/>
  <c r="C315"/>
  <c r="D315"/>
  <c r="F315"/>
  <c r="G315"/>
  <c r="I315"/>
  <c r="J315"/>
  <c r="E316"/>
  <c r="C316"/>
  <c r="D316"/>
  <c r="F316"/>
  <c r="G316"/>
  <c r="I316"/>
  <c r="J316"/>
  <c r="E317"/>
  <c r="C317"/>
  <c r="D317"/>
  <c r="F317"/>
  <c r="G317"/>
  <c r="I317"/>
  <c r="J317"/>
  <c r="E318"/>
  <c r="C318"/>
  <c r="D318"/>
  <c r="F318"/>
  <c r="G318"/>
  <c r="I318"/>
  <c r="J318"/>
  <c r="E319"/>
  <c r="C319"/>
  <c r="D319"/>
  <c r="F319"/>
  <c r="G319"/>
  <c r="I319"/>
  <c r="J319"/>
  <c r="E320"/>
  <c r="C320"/>
  <c r="D320"/>
  <c r="F320"/>
  <c r="G320"/>
  <c r="I320"/>
  <c r="J320"/>
  <c r="E321"/>
  <c r="C321"/>
  <c r="D321"/>
  <c r="F321"/>
  <c r="G321"/>
  <c r="I321"/>
  <c r="J321"/>
  <c r="E322"/>
  <c r="C322"/>
  <c r="D322"/>
  <c r="F322"/>
  <c r="G322"/>
  <c r="I322"/>
  <c r="J322"/>
  <c r="E323"/>
  <c r="C323"/>
  <c r="D323"/>
  <c r="F323"/>
  <c r="G323"/>
  <c r="I323"/>
  <c r="J323"/>
  <c r="E324"/>
  <c r="C324"/>
  <c r="D324"/>
  <c r="F324"/>
  <c r="G324"/>
  <c r="I324"/>
  <c r="J324"/>
  <c r="E325"/>
  <c r="C325"/>
  <c r="D325"/>
  <c r="F325"/>
  <c r="G325"/>
  <c r="I325"/>
  <c r="J325"/>
  <c r="E326"/>
  <c r="C326"/>
  <c r="D326"/>
  <c r="F326"/>
  <c r="G326"/>
  <c r="I326"/>
  <c r="J326"/>
  <c r="E327"/>
  <c r="C327"/>
  <c r="D327"/>
  <c r="F327"/>
  <c r="G327"/>
  <c r="I327"/>
  <c r="J327"/>
  <c r="E328"/>
  <c r="C328"/>
  <c r="D328"/>
  <c r="F328"/>
  <c r="G328"/>
  <c r="I328"/>
  <c r="J328"/>
  <c r="E329"/>
  <c r="C329"/>
  <c r="D329"/>
  <c r="F329"/>
  <c r="G329"/>
  <c r="I329"/>
  <c r="J329"/>
  <c r="E330"/>
  <c r="C330"/>
  <c r="D330"/>
  <c r="F330"/>
  <c r="G330"/>
  <c r="I330"/>
  <c r="J330"/>
  <c r="E331"/>
  <c r="C331"/>
  <c r="D331"/>
  <c r="F331"/>
  <c r="G331"/>
  <c r="I331"/>
  <c r="J331"/>
  <c r="E332"/>
  <c r="C332"/>
  <c r="D332"/>
  <c r="F332"/>
  <c r="G332"/>
  <c r="I332"/>
  <c r="J332"/>
  <c r="E333"/>
  <c r="C333"/>
  <c r="D333"/>
  <c r="F333"/>
  <c r="G333"/>
  <c r="I333"/>
  <c r="J333"/>
  <c r="E334"/>
  <c r="C334"/>
  <c r="D334"/>
  <c r="F334"/>
  <c r="G334"/>
  <c r="I334"/>
  <c r="J334"/>
  <c r="E335"/>
  <c r="C335"/>
  <c r="D335"/>
  <c r="F335"/>
  <c r="G335"/>
  <c r="I335"/>
  <c r="J335"/>
  <c r="E336"/>
  <c r="C336"/>
  <c r="D336"/>
  <c r="F336"/>
  <c r="G336"/>
  <c r="I336"/>
  <c r="J336"/>
  <c r="E337"/>
  <c r="C337"/>
  <c r="D337"/>
  <c r="F337"/>
  <c r="G337"/>
  <c r="I337"/>
  <c r="J337"/>
  <c r="E338"/>
  <c r="C338"/>
  <c r="D338"/>
  <c r="F338"/>
  <c r="G338"/>
  <c r="I338"/>
  <c r="J338"/>
  <c r="E339"/>
  <c r="C339"/>
  <c r="D339"/>
  <c r="F339"/>
  <c r="G339"/>
  <c r="I339"/>
  <c r="J339"/>
  <c r="E340"/>
  <c r="C340"/>
  <c r="D340"/>
  <c r="F340"/>
  <c r="G340"/>
  <c r="I340"/>
  <c r="J340"/>
  <c r="E341"/>
  <c r="C341"/>
  <c r="D341"/>
  <c r="F341"/>
  <c r="G341"/>
  <c r="I341"/>
  <c r="J341"/>
  <c r="E342"/>
  <c r="C342"/>
  <c r="D342"/>
  <c r="F342"/>
  <c r="G342"/>
  <c r="I342"/>
  <c r="J342"/>
  <c r="E343"/>
  <c r="C343"/>
  <c r="D343"/>
  <c r="F343"/>
  <c r="G343"/>
  <c r="I343"/>
  <c r="J343"/>
  <c r="E344"/>
  <c r="C344"/>
  <c r="D344"/>
  <c r="F344"/>
  <c r="G344"/>
  <c r="I344"/>
  <c r="J344"/>
  <c r="E345"/>
  <c r="C345"/>
  <c r="D345"/>
  <c r="F345"/>
  <c r="G345"/>
  <c r="I345"/>
  <c r="J345"/>
  <c r="E346"/>
  <c r="C346"/>
  <c r="D346"/>
  <c r="F346"/>
  <c r="G346"/>
  <c r="I346"/>
  <c r="J346"/>
  <c r="E347"/>
  <c r="C347"/>
  <c r="D347"/>
  <c r="F347"/>
  <c r="G347"/>
  <c r="I347"/>
  <c r="J347"/>
  <c r="E348"/>
  <c r="C348"/>
  <c r="D348"/>
  <c r="F348"/>
  <c r="G348"/>
  <c r="I348"/>
  <c r="J348"/>
  <c r="E349"/>
  <c r="C349"/>
  <c r="D349"/>
  <c r="F349"/>
  <c r="G349"/>
  <c r="I349"/>
  <c r="J349"/>
  <c r="E350"/>
  <c r="C350"/>
  <c r="D350"/>
  <c r="F350"/>
  <c r="G350"/>
  <c r="I350"/>
  <c r="J350"/>
  <c r="E351"/>
  <c r="C351"/>
  <c r="D351"/>
  <c r="F351"/>
  <c r="G351"/>
  <c r="I351"/>
  <c r="J351"/>
  <c r="E352"/>
  <c r="C352"/>
  <c r="D352"/>
  <c r="F352"/>
  <c r="G352"/>
  <c r="I352"/>
  <c r="J352"/>
  <c r="E353"/>
  <c r="C353"/>
  <c r="D353"/>
  <c r="F353"/>
  <c r="G353"/>
  <c r="I353"/>
  <c r="J353"/>
  <c r="E354"/>
  <c r="C354"/>
  <c r="D354"/>
  <c r="F354"/>
  <c r="G354"/>
  <c r="I354"/>
  <c r="J354"/>
  <c r="E355"/>
  <c r="C355"/>
  <c r="D355"/>
  <c r="F355"/>
  <c r="G355"/>
  <c r="I355"/>
  <c r="J355"/>
  <c r="E356"/>
  <c r="C356"/>
  <c r="D356"/>
  <c r="F356"/>
  <c r="G356"/>
  <c r="I356"/>
  <c r="J356"/>
  <c r="E357"/>
  <c r="C357"/>
  <c r="D357"/>
  <c r="F357"/>
  <c r="G357"/>
  <c r="I357"/>
  <c r="J357"/>
  <c r="E358"/>
  <c r="C358"/>
  <c r="D358"/>
  <c r="F358"/>
  <c r="G358"/>
  <c r="I358"/>
  <c r="J358"/>
  <c r="E359"/>
  <c r="C359"/>
  <c r="D359"/>
  <c r="F359"/>
  <c r="G359"/>
  <c r="I359"/>
  <c r="J359"/>
  <c r="E360"/>
  <c r="C360"/>
  <c r="D360"/>
  <c r="F360"/>
  <c r="G360"/>
  <c r="I360"/>
  <c r="J360"/>
  <c r="E361"/>
  <c r="C361"/>
  <c r="D361"/>
  <c r="F361"/>
  <c r="G361"/>
  <c r="I361"/>
  <c r="J361"/>
  <c r="E362"/>
  <c r="C362"/>
  <c r="D362"/>
  <c r="F362"/>
  <c r="G362"/>
  <c r="I362"/>
  <c r="J362"/>
  <c r="E363"/>
  <c r="C363"/>
  <c r="D363"/>
  <c r="F363"/>
  <c r="G363"/>
  <c r="I363"/>
  <c r="J363"/>
  <c r="E364"/>
  <c r="C364"/>
  <c r="D364"/>
  <c r="F364"/>
  <c r="G364"/>
  <c r="I364"/>
  <c r="J364"/>
  <c r="E365"/>
  <c r="C365"/>
  <c r="D365"/>
  <c r="F365"/>
  <c r="G365"/>
  <c r="I365"/>
  <c r="J365"/>
  <c r="E366"/>
  <c r="C366"/>
  <c r="D366"/>
  <c r="F366"/>
  <c r="G366"/>
  <c r="I366"/>
  <c r="J366"/>
  <c r="E367"/>
  <c r="C367"/>
  <c r="D367"/>
  <c r="F367"/>
  <c r="G367"/>
  <c r="I367"/>
  <c r="J367"/>
  <c r="E368"/>
  <c r="C368"/>
  <c r="D368"/>
  <c r="F368"/>
  <c r="G368"/>
  <c r="I368"/>
  <c r="J368"/>
  <c r="E369"/>
  <c r="C369"/>
  <c r="D369"/>
  <c r="F369"/>
  <c r="G369"/>
  <c r="I369"/>
  <c r="J369"/>
  <c r="E370"/>
  <c r="C370"/>
  <c r="D370"/>
  <c r="F370"/>
  <c r="G370"/>
  <c r="I370"/>
  <c r="J370"/>
  <c r="E371"/>
  <c r="C371"/>
  <c r="D371"/>
  <c r="F371"/>
  <c r="G371"/>
  <c r="I371"/>
  <c r="J371"/>
  <c r="E372"/>
  <c r="C372"/>
  <c r="D372"/>
  <c r="F372"/>
  <c r="G372"/>
  <c r="I372"/>
  <c r="J372"/>
  <c r="E373"/>
  <c r="C373"/>
  <c r="D373"/>
  <c r="F373"/>
  <c r="G373"/>
  <c r="I373"/>
  <c r="J373"/>
  <c r="E374"/>
  <c r="C374"/>
  <c r="D374"/>
  <c r="F374"/>
  <c r="G374"/>
  <c r="I374"/>
  <c r="J374"/>
  <c r="E375"/>
  <c r="C375"/>
  <c r="D375"/>
  <c r="F375"/>
  <c r="G375"/>
  <c r="I375"/>
  <c r="J375"/>
  <c r="E376"/>
  <c r="C376"/>
  <c r="D376"/>
  <c r="F376"/>
  <c r="G376"/>
  <c r="I376"/>
  <c r="J376"/>
  <c r="E377"/>
  <c r="C377"/>
  <c r="D377"/>
  <c r="F377"/>
  <c r="G377"/>
  <c r="I377"/>
  <c r="J377"/>
  <c r="E378"/>
  <c r="C378"/>
  <c r="D378"/>
  <c r="F378"/>
  <c r="G378"/>
  <c r="I378"/>
  <c r="J378"/>
  <c r="E379"/>
  <c r="C379"/>
  <c r="D379"/>
  <c r="F379"/>
  <c r="G379"/>
  <c r="I379"/>
  <c r="J379"/>
  <c r="E380"/>
  <c r="C380"/>
  <c r="D380"/>
  <c r="F380"/>
  <c r="G380"/>
  <c r="I380"/>
  <c r="J380"/>
  <c r="E381"/>
  <c r="C381"/>
  <c r="D381"/>
  <c r="F381"/>
  <c r="G381"/>
  <c r="I381"/>
  <c r="J381"/>
  <c r="E382"/>
  <c r="C382"/>
  <c r="D382"/>
  <c r="F382"/>
  <c r="G382"/>
  <c r="I382"/>
  <c r="J382"/>
  <c r="E383"/>
  <c r="C383"/>
  <c r="D383"/>
  <c r="F383"/>
  <c r="G383"/>
  <c r="I383"/>
  <c r="J383"/>
  <c r="E384"/>
  <c r="C384"/>
  <c r="D384"/>
  <c r="F384"/>
  <c r="G384"/>
  <c r="I384"/>
  <c r="J384"/>
  <c r="E385"/>
  <c r="C385"/>
  <c r="D385"/>
  <c r="F385"/>
  <c r="G385"/>
  <c r="I385"/>
  <c r="J385"/>
  <c r="E386"/>
  <c r="C386"/>
  <c r="D386"/>
  <c r="F386"/>
  <c r="G386"/>
  <c r="I386"/>
  <c r="J386"/>
  <c r="E387"/>
  <c r="C387"/>
  <c r="D387"/>
  <c r="F387"/>
  <c r="G387"/>
  <c r="I387"/>
  <c r="J387"/>
  <c r="E388"/>
  <c r="C388"/>
  <c r="D388"/>
  <c r="F388"/>
  <c r="G388"/>
  <c r="I388"/>
  <c r="J388"/>
  <c r="E389"/>
  <c r="C389"/>
  <c r="D389"/>
  <c r="F389"/>
  <c r="G389"/>
  <c r="I389"/>
  <c r="J389"/>
  <c r="E390"/>
  <c r="C390"/>
  <c r="D390"/>
  <c r="F390"/>
  <c r="G390"/>
  <c r="I390"/>
  <c r="J390"/>
  <c r="E391"/>
  <c r="C391"/>
  <c r="D391"/>
  <c r="F391"/>
  <c r="G391"/>
  <c r="I391"/>
  <c r="J391"/>
  <c r="E392"/>
  <c r="C392"/>
  <c r="D392"/>
  <c r="F392"/>
  <c r="G392"/>
  <c r="I392"/>
  <c r="J392"/>
  <c r="E393"/>
  <c r="C393"/>
  <c r="D393"/>
  <c r="F393"/>
  <c r="G393"/>
  <c r="I393"/>
  <c r="J393"/>
  <c r="E394"/>
  <c r="C394"/>
  <c r="D394"/>
  <c r="F394"/>
  <c r="G394"/>
  <c r="I394"/>
  <c r="J394"/>
  <c r="E395"/>
  <c r="C395"/>
  <c r="D395"/>
  <c r="F395"/>
  <c r="G395"/>
  <c r="I395"/>
  <c r="J395"/>
  <c r="E396"/>
  <c r="C396"/>
  <c r="D396"/>
  <c r="F396"/>
  <c r="G396"/>
  <c r="I396"/>
  <c r="J396"/>
  <c r="E397"/>
  <c r="C397"/>
  <c r="D397"/>
  <c r="F397"/>
  <c r="G397"/>
  <c r="I397"/>
  <c r="J397"/>
  <c r="E398"/>
  <c r="C398"/>
  <c r="D398"/>
  <c r="F398"/>
  <c r="G398"/>
  <c r="I398"/>
  <c r="J398"/>
  <c r="E399"/>
  <c r="C399"/>
  <c r="D399"/>
  <c r="F399"/>
  <c r="G399"/>
  <c r="I399"/>
  <c r="J399"/>
  <c r="E400"/>
  <c r="C400"/>
  <c r="D400"/>
  <c r="F400"/>
  <c r="G400"/>
  <c r="I400"/>
  <c r="J400"/>
  <c r="E401"/>
  <c r="C401"/>
  <c r="D401"/>
  <c r="F401"/>
  <c r="G401"/>
  <c r="I401"/>
  <c r="J401"/>
  <c r="E402"/>
  <c r="C402"/>
  <c r="D402"/>
  <c r="F402"/>
  <c r="G402"/>
  <c r="I402"/>
  <c r="J402"/>
  <c r="E403"/>
  <c r="C403"/>
  <c r="D403"/>
  <c r="F403"/>
  <c r="G403"/>
  <c r="I403"/>
  <c r="J403"/>
  <c r="E404"/>
  <c r="C404"/>
  <c r="D404"/>
  <c r="F404"/>
  <c r="G404"/>
  <c r="I404"/>
  <c r="J404"/>
  <c r="E405"/>
  <c r="C405"/>
  <c r="D405"/>
  <c r="F405"/>
  <c r="G405"/>
  <c r="I405"/>
  <c r="J405"/>
  <c r="E406"/>
  <c r="C406"/>
  <c r="D406"/>
  <c r="F406"/>
  <c r="G406"/>
  <c r="I406"/>
  <c r="J406"/>
  <c r="E407"/>
  <c r="C407"/>
  <c r="D407"/>
  <c r="F407"/>
  <c r="G407"/>
  <c r="I407"/>
  <c r="J407"/>
  <c r="E408"/>
  <c r="C408"/>
  <c r="D408"/>
  <c r="F408"/>
  <c r="G408"/>
  <c r="I408"/>
  <c r="J408"/>
  <c r="E409"/>
  <c r="C409"/>
  <c r="D409"/>
  <c r="F409"/>
  <c r="G409"/>
  <c r="I409"/>
  <c r="J409"/>
  <c r="E410"/>
  <c r="C410"/>
  <c r="D410"/>
  <c r="F410"/>
  <c r="G410"/>
  <c r="I410"/>
  <c r="J410"/>
  <c r="E411"/>
  <c r="C411"/>
  <c r="D411"/>
  <c r="F411"/>
  <c r="G411"/>
  <c r="I411"/>
  <c r="J411"/>
  <c r="E412"/>
  <c r="C412"/>
  <c r="D412"/>
  <c r="F412"/>
  <c r="G412"/>
  <c r="I412"/>
  <c r="J412"/>
  <c r="E413"/>
  <c r="C413"/>
  <c r="D413"/>
  <c r="F413"/>
  <c r="G413"/>
  <c r="I413"/>
  <c r="J413"/>
  <c r="E414"/>
  <c r="C414"/>
  <c r="D414"/>
  <c r="F414"/>
  <c r="G414"/>
  <c r="I414"/>
  <c r="J414"/>
  <c r="E415"/>
  <c r="C415"/>
  <c r="D415"/>
  <c r="F415"/>
  <c r="G415"/>
  <c r="I415"/>
  <c r="J415"/>
  <c r="E416"/>
  <c r="C416"/>
  <c r="D416"/>
  <c r="F416"/>
  <c r="G416"/>
  <c r="I416"/>
  <c r="J416"/>
  <c r="E417"/>
  <c r="C417"/>
  <c r="D417"/>
  <c r="F417"/>
  <c r="G417"/>
  <c r="I417"/>
  <c r="J417"/>
  <c r="E418"/>
  <c r="C418"/>
  <c r="D418"/>
  <c r="F418"/>
  <c r="G418"/>
  <c r="I418"/>
  <c r="J418"/>
  <c r="E419"/>
  <c r="C419"/>
  <c r="D419"/>
  <c r="F419"/>
  <c r="G419"/>
  <c r="I419"/>
  <c r="J419"/>
  <c r="E420"/>
  <c r="C420"/>
  <c r="D420"/>
  <c r="F420"/>
  <c r="G420"/>
  <c r="I420"/>
  <c r="J420"/>
  <c r="E421"/>
  <c r="C421"/>
  <c r="D421"/>
  <c r="F421"/>
  <c r="G421"/>
  <c r="I421"/>
  <c r="J421"/>
  <c r="E422"/>
  <c r="C422"/>
  <c r="D422"/>
  <c r="F422"/>
  <c r="G422"/>
  <c r="I422"/>
  <c r="J422"/>
  <c r="E423"/>
  <c r="C423"/>
  <c r="D423"/>
  <c r="F423"/>
  <c r="G423"/>
  <c r="I423"/>
  <c r="J423"/>
  <c r="E424"/>
  <c r="C424"/>
  <c r="D424"/>
  <c r="F424"/>
  <c r="G424"/>
  <c r="I424"/>
  <c r="J424"/>
  <c r="E425"/>
  <c r="C425"/>
  <c r="D425"/>
  <c r="F425"/>
  <c r="G425"/>
  <c r="I425"/>
  <c r="J425"/>
  <c r="E426"/>
  <c r="C426"/>
  <c r="D426"/>
  <c r="F426"/>
  <c r="G426"/>
  <c r="I426"/>
  <c r="J426"/>
  <c r="E427"/>
  <c r="C427"/>
  <c r="D427"/>
  <c r="F427"/>
  <c r="G427"/>
  <c r="I427"/>
  <c r="J427"/>
  <c r="E428"/>
  <c r="C428"/>
  <c r="D428"/>
  <c r="F428"/>
  <c r="G428"/>
  <c r="I428"/>
  <c r="J428"/>
  <c r="E429"/>
  <c r="C429"/>
  <c r="D429"/>
  <c r="F429"/>
  <c r="G429"/>
  <c r="I429"/>
  <c r="J429"/>
  <c r="E430"/>
  <c r="C430"/>
  <c r="D430"/>
  <c r="F430"/>
  <c r="G430"/>
  <c r="I430"/>
  <c r="J430"/>
  <c r="E431"/>
  <c r="C431"/>
  <c r="D431"/>
  <c r="F431"/>
  <c r="G431"/>
  <c r="I431"/>
  <c r="J431"/>
  <c r="E432"/>
  <c r="C432"/>
  <c r="D432"/>
  <c r="F432"/>
  <c r="G432"/>
  <c r="I432"/>
  <c r="J432"/>
  <c r="E433"/>
  <c r="C433"/>
  <c r="D433"/>
  <c r="F433"/>
  <c r="G433"/>
  <c r="I433"/>
  <c r="J433"/>
  <c r="E434"/>
  <c r="C434"/>
  <c r="D434"/>
  <c r="F434"/>
  <c r="G434"/>
  <c r="I434"/>
  <c r="J434"/>
  <c r="E435"/>
  <c r="C435"/>
  <c r="D435"/>
  <c r="F435"/>
  <c r="G435"/>
  <c r="I435"/>
  <c r="J435"/>
  <c r="E436"/>
  <c r="C436"/>
  <c r="D436"/>
  <c r="F436"/>
  <c r="G436"/>
  <c r="I436"/>
  <c r="J436"/>
  <c r="E437"/>
  <c r="C437"/>
  <c r="D437"/>
  <c r="F437"/>
  <c r="G437"/>
  <c r="I437"/>
  <c r="J437"/>
  <c r="E438"/>
  <c r="C438"/>
  <c r="D438"/>
  <c r="F438"/>
  <c r="G438"/>
  <c r="I438"/>
  <c r="J438"/>
  <c r="E439"/>
  <c r="C439"/>
  <c r="D439"/>
  <c r="F439"/>
  <c r="G439"/>
  <c r="I439"/>
  <c r="J439"/>
  <c r="E440"/>
  <c r="C440"/>
  <c r="D440"/>
  <c r="F440"/>
  <c r="G440"/>
  <c r="I440"/>
  <c r="J440"/>
  <c r="E441"/>
  <c r="C441"/>
  <c r="D441"/>
  <c r="F441"/>
  <c r="G441"/>
  <c r="I441"/>
  <c r="J441"/>
  <c r="E442"/>
  <c r="C442"/>
  <c r="D442"/>
  <c r="F442"/>
  <c r="G442"/>
  <c r="I442"/>
  <c r="J442"/>
  <c r="E443"/>
  <c r="C443"/>
  <c r="D443"/>
  <c r="F443"/>
  <c r="G443"/>
  <c r="I443"/>
  <c r="J443"/>
  <c r="E444"/>
  <c r="C444"/>
  <c r="D444"/>
  <c r="F444"/>
  <c r="G444"/>
  <c r="I444"/>
  <c r="J444"/>
  <c r="E445"/>
  <c r="C445"/>
  <c r="D445"/>
  <c r="F445"/>
  <c r="G445"/>
  <c r="I445"/>
  <c r="J445"/>
  <c r="E446"/>
  <c r="C446"/>
  <c r="D446"/>
  <c r="F446"/>
  <c r="G446"/>
  <c r="I446"/>
  <c r="J446"/>
  <c r="E447"/>
  <c r="C447"/>
  <c r="D447"/>
  <c r="F447"/>
  <c r="G447"/>
  <c r="I447"/>
  <c r="J447"/>
  <c r="E448"/>
  <c r="C448"/>
  <c r="D448"/>
  <c r="F448"/>
  <c r="G448"/>
  <c r="I448"/>
  <c r="J448"/>
  <c r="E449"/>
  <c r="C449"/>
  <c r="D449"/>
  <c r="F449"/>
  <c r="G449"/>
  <c r="I449"/>
  <c r="J449"/>
  <c r="E450"/>
  <c r="C450"/>
  <c r="D450"/>
  <c r="F450"/>
  <c r="G450"/>
  <c r="I450"/>
  <c r="J450"/>
  <c r="E451"/>
  <c r="C451"/>
  <c r="D451"/>
  <c r="F451"/>
  <c r="G451"/>
  <c r="I451"/>
  <c r="J451"/>
  <c r="E452"/>
  <c r="C452"/>
  <c r="D452"/>
  <c r="F452"/>
  <c r="G452"/>
  <c r="I452"/>
  <c r="J452"/>
  <c r="E453"/>
  <c r="C453"/>
  <c r="D453"/>
  <c r="F453"/>
  <c r="G453"/>
  <c r="I453"/>
  <c r="J453"/>
  <c r="E454"/>
  <c r="C454"/>
  <c r="D454"/>
  <c r="F454"/>
  <c r="G454"/>
  <c r="I454"/>
  <c r="J454"/>
  <c r="E455"/>
  <c r="C455"/>
  <c r="D455"/>
  <c r="F455"/>
  <c r="G455"/>
  <c r="I455"/>
  <c r="J455"/>
  <c r="E456"/>
  <c r="C456"/>
  <c r="D456"/>
  <c r="F456"/>
  <c r="G456"/>
  <c r="I456"/>
  <c r="J456"/>
  <c r="E457"/>
  <c r="C457"/>
  <c r="D457"/>
  <c r="F457"/>
  <c r="G457"/>
  <c r="I457"/>
  <c r="J457"/>
  <c r="E458"/>
  <c r="C458"/>
  <c r="D458"/>
  <c r="F458"/>
  <c r="G458"/>
  <c r="I458"/>
  <c r="J458"/>
  <c r="E459"/>
  <c r="C459"/>
  <c r="D459"/>
  <c r="F459"/>
  <c r="G459"/>
  <c r="I459"/>
  <c r="J459"/>
  <c r="E460"/>
  <c r="C460"/>
  <c r="D460"/>
  <c r="F460"/>
  <c r="G460"/>
  <c r="I460"/>
  <c r="J460"/>
  <c r="E461"/>
  <c r="C461"/>
  <c r="D461"/>
  <c r="F461"/>
  <c r="G461"/>
  <c r="I461"/>
  <c r="J461"/>
  <c r="E462"/>
  <c r="C462"/>
  <c r="D462"/>
  <c r="F462"/>
  <c r="G462"/>
  <c r="I462"/>
  <c r="J462"/>
  <c r="E463"/>
  <c r="C463"/>
  <c r="D463"/>
  <c r="F463"/>
  <c r="G463"/>
  <c r="I463"/>
  <c r="J463"/>
  <c r="E464"/>
  <c r="C464"/>
  <c r="D464"/>
  <c r="F464"/>
  <c r="G464"/>
  <c r="I464"/>
  <c r="J464"/>
  <c r="E465"/>
  <c r="C465"/>
  <c r="D465"/>
  <c r="F465"/>
  <c r="G465"/>
  <c r="I465"/>
  <c r="J465"/>
  <c r="E466"/>
  <c r="C466"/>
  <c r="D466"/>
  <c r="F466"/>
  <c r="G466"/>
  <c r="I466"/>
  <c r="J466"/>
  <c r="E467"/>
  <c r="C467"/>
  <c r="D467"/>
  <c r="F467"/>
  <c r="G467"/>
  <c r="I467"/>
  <c r="J467"/>
  <c r="E468"/>
  <c r="C468"/>
  <c r="D468"/>
  <c r="F468"/>
  <c r="G468"/>
  <c r="I468"/>
  <c r="J468"/>
  <c r="E469"/>
  <c r="C469"/>
  <c r="D469"/>
  <c r="F469"/>
  <c r="G469"/>
  <c r="I469"/>
  <c r="J469"/>
  <c r="E470"/>
  <c r="C470"/>
  <c r="D470"/>
  <c r="F470"/>
  <c r="G470"/>
  <c r="I470"/>
  <c r="J470"/>
  <c r="E471"/>
  <c r="C471"/>
  <c r="D471"/>
  <c r="F471"/>
  <c r="G471"/>
  <c r="I471"/>
  <c r="J471"/>
  <c r="E472"/>
  <c r="C472"/>
  <c r="D472"/>
  <c r="F472"/>
  <c r="G472"/>
  <c r="I472"/>
  <c r="J472"/>
  <c r="E473"/>
  <c r="C473"/>
  <c r="D473"/>
  <c r="F473"/>
  <c r="G473"/>
  <c r="I473"/>
  <c r="J473"/>
  <c r="E474"/>
  <c r="C474"/>
  <c r="D474"/>
  <c r="F474"/>
  <c r="G474"/>
  <c r="I474"/>
  <c r="J474"/>
  <c r="E475"/>
  <c r="C475"/>
  <c r="D475"/>
  <c r="F475"/>
  <c r="G475"/>
  <c r="I475"/>
  <c r="J475"/>
  <c r="E476"/>
  <c r="C476"/>
  <c r="D476"/>
  <c r="F476"/>
  <c r="G476"/>
  <c r="I476"/>
  <c r="J476"/>
  <c r="E477"/>
  <c r="C477"/>
  <c r="D477"/>
  <c r="F477"/>
  <c r="G477"/>
  <c r="I477"/>
  <c r="J477"/>
  <c r="E478"/>
  <c r="C478"/>
  <c r="D478"/>
  <c r="F478"/>
  <c r="G478"/>
  <c r="I478"/>
  <c r="J478"/>
  <c r="E479"/>
  <c r="C479"/>
  <c r="D479"/>
  <c r="F479"/>
  <c r="G479"/>
  <c r="I479"/>
  <c r="J479"/>
  <c r="E480"/>
  <c r="C480"/>
  <c r="D480"/>
  <c r="F480"/>
  <c r="G480"/>
  <c r="I480"/>
  <c r="J480"/>
  <c r="E481"/>
  <c r="C481"/>
  <c r="D481"/>
  <c r="F481"/>
  <c r="G481"/>
  <c r="I481"/>
  <c r="J481"/>
  <c r="E482"/>
  <c r="C482"/>
  <c r="D482"/>
  <c r="F482"/>
  <c r="G482"/>
  <c r="I482"/>
  <c r="J482"/>
  <c r="E483"/>
  <c r="C483"/>
  <c r="D483"/>
  <c r="F483"/>
  <c r="G483"/>
  <c r="I483"/>
  <c r="J483"/>
  <c r="E484"/>
  <c r="C484"/>
  <c r="D484"/>
  <c r="F484"/>
  <c r="G484"/>
  <c r="I484"/>
  <c r="J484"/>
  <c r="E485"/>
  <c r="C485"/>
  <c r="D485"/>
  <c r="F485"/>
  <c r="G485"/>
  <c r="I485"/>
  <c r="J485"/>
  <c r="E486"/>
  <c r="C486"/>
  <c r="D486"/>
  <c r="F486"/>
  <c r="G486"/>
  <c r="I486"/>
  <c r="J486"/>
  <c r="E487"/>
  <c r="C487"/>
  <c r="D487"/>
  <c r="F487"/>
  <c r="G487"/>
  <c r="I487"/>
  <c r="J487"/>
  <c r="E488"/>
  <c r="C488"/>
  <c r="D488"/>
  <c r="F488"/>
  <c r="G488"/>
  <c r="I488"/>
  <c r="J488"/>
  <c r="E489"/>
  <c r="C489"/>
  <c r="D489"/>
  <c r="F489"/>
  <c r="G489"/>
  <c r="I489"/>
  <c r="J489"/>
  <c r="E490"/>
  <c r="C490"/>
  <c r="D490"/>
  <c r="F490"/>
  <c r="G490"/>
  <c r="I490"/>
  <c r="J490"/>
  <c r="E491"/>
  <c r="C491"/>
  <c r="D491"/>
  <c r="F491"/>
  <c r="G491"/>
  <c r="I491"/>
  <c r="J491"/>
  <c r="E492"/>
  <c r="C492"/>
  <c r="D492"/>
  <c r="F492"/>
  <c r="G492"/>
  <c r="I492"/>
  <c r="J492"/>
  <c r="E493"/>
  <c r="C493"/>
  <c r="D493"/>
  <c r="F493"/>
  <c r="G493"/>
  <c r="I493"/>
  <c r="J493"/>
  <c r="E494"/>
  <c r="C494"/>
  <c r="D494"/>
  <c r="F494"/>
  <c r="G494"/>
  <c r="I494"/>
  <c r="J494"/>
  <c r="E495"/>
  <c r="C495"/>
  <c r="D495"/>
  <c r="F495"/>
  <c r="G495"/>
  <c r="I495"/>
  <c r="J495"/>
  <c r="E496"/>
  <c r="C496"/>
  <c r="D496"/>
  <c r="F496"/>
  <c r="G496"/>
  <c r="I496"/>
  <c r="J496"/>
  <c r="E497"/>
  <c r="C497"/>
  <c r="D497"/>
  <c r="F497"/>
  <c r="G497"/>
  <c r="I497"/>
  <c r="J497"/>
  <c r="E498"/>
  <c r="C498"/>
  <c r="D498"/>
  <c r="F498"/>
  <c r="G498"/>
  <c r="I498"/>
  <c r="J498"/>
  <c r="E499"/>
  <c r="C499"/>
  <c r="D499"/>
  <c r="F499"/>
  <c r="G499"/>
  <c r="I499"/>
  <c r="J499"/>
  <c r="E500"/>
  <c r="C500"/>
  <c r="D500"/>
  <c r="F500"/>
  <c r="G500"/>
  <c r="I500"/>
  <c r="J500"/>
  <c r="E501"/>
  <c r="C501"/>
  <c r="D501"/>
  <c r="F501"/>
  <c r="G501"/>
  <c r="I501"/>
  <c r="J501"/>
  <c r="I3"/>
  <c r="J3"/>
  <c r="I4"/>
  <c r="J4"/>
  <c r="I5"/>
  <c r="J5"/>
  <c r="I6"/>
  <c r="J6"/>
  <c r="I7"/>
  <c r="J7"/>
  <c r="I8"/>
  <c r="J8"/>
  <c r="I9"/>
  <c r="J9"/>
  <c r="I10"/>
  <c r="J10"/>
  <c r="I11"/>
  <c r="J11"/>
  <c r="I12"/>
  <c r="J12"/>
  <c r="I13"/>
  <c r="J13"/>
  <c r="I14"/>
  <c r="J14"/>
  <c r="I15"/>
  <c r="J15"/>
  <c r="I16"/>
  <c r="J16"/>
  <c r="I17"/>
  <c r="J17"/>
  <c r="I18"/>
  <c r="J18"/>
  <c r="I19"/>
  <c r="J19"/>
  <c r="I20"/>
  <c r="J20"/>
  <c r="I21"/>
  <c r="J21"/>
  <c r="I22"/>
  <c r="J22"/>
  <c r="I23"/>
  <c r="J23"/>
  <c r="I24"/>
  <c r="J24"/>
  <c r="I25"/>
  <c r="J25"/>
  <c r="I26"/>
  <c r="J26"/>
  <c r="I27"/>
  <c r="J27"/>
  <c r="I28"/>
  <c r="J28"/>
  <c r="I29"/>
  <c r="J29"/>
  <c r="I30"/>
  <c r="J30"/>
  <c r="I31"/>
  <c r="J31"/>
  <c r="I32"/>
  <c r="J32"/>
  <c r="I33"/>
  <c r="J33"/>
  <c r="I34"/>
  <c r="J34"/>
  <c r="I35"/>
  <c r="J35"/>
  <c r="I36"/>
  <c r="J36"/>
  <c r="I37"/>
  <c r="J37"/>
  <c r="I38"/>
  <c r="J38"/>
  <c r="I39"/>
  <c r="J39"/>
  <c r="I40"/>
  <c r="J40"/>
  <c r="I41"/>
  <c r="J41"/>
  <c r="I42"/>
  <c r="J42"/>
  <c r="I43"/>
  <c r="J43"/>
  <c r="I44"/>
  <c r="J44"/>
  <c r="I45"/>
  <c r="J45"/>
  <c r="I46"/>
  <c r="J46"/>
  <c r="I47"/>
  <c r="J47"/>
  <c r="I48"/>
  <c r="J48"/>
  <c r="I49"/>
  <c r="J49"/>
  <c r="I50"/>
  <c r="J50"/>
  <c r="I51"/>
  <c r="J51"/>
  <c r="I52"/>
  <c r="J52"/>
  <c r="I53"/>
  <c r="J53"/>
  <c r="I54"/>
  <c r="J54"/>
  <c r="I55"/>
  <c r="J55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65"/>
  <c r="J65"/>
  <c r="I66"/>
  <c r="J66"/>
  <c r="I67"/>
  <c r="J67"/>
  <c r="I68"/>
  <c r="J68"/>
  <c r="I69"/>
  <c r="J69"/>
  <c r="I70"/>
  <c r="J70"/>
  <c r="I71"/>
  <c r="J71"/>
  <c r="I72"/>
  <c r="J72"/>
  <c r="I73"/>
  <c r="J73"/>
  <c r="I74"/>
  <c r="J74"/>
  <c r="I75"/>
  <c r="J75"/>
  <c r="I76"/>
  <c r="J76"/>
  <c r="I77"/>
  <c r="J77"/>
  <c r="I78"/>
  <c r="J78"/>
  <c r="I79"/>
  <c r="J79"/>
  <c r="I80"/>
  <c r="J80"/>
  <c r="I81"/>
  <c r="J81"/>
  <c r="I82"/>
  <c r="J82"/>
  <c r="I83"/>
  <c r="J83"/>
  <c r="I84"/>
  <c r="J84"/>
  <c r="I85"/>
  <c r="J85"/>
  <c r="I86"/>
  <c r="J86"/>
  <c r="I87"/>
  <c r="J87"/>
  <c r="I88"/>
  <c r="J88"/>
  <c r="I89"/>
  <c r="J89"/>
  <c r="I90"/>
  <c r="J90"/>
  <c r="I91"/>
  <c r="J91"/>
  <c r="I92"/>
  <c r="J92"/>
  <c r="I93"/>
  <c r="J93"/>
  <c r="I94"/>
  <c r="J94"/>
  <c r="I95"/>
  <c r="J95"/>
  <c r="I96"/>
  <c r="J96"/>
  <c r="I97"/>
  <c r="J97"/>
  <c r="I98"/>
  <c r="J98"/>
  <c r="I99"/>
  <c r="J99"/>
  <c r="I100"/>
  <c r="J100"/>
  <c r="I101"/>
  <c r="J101"/>
  <c r="J2"/>
  <c r="I2"/>
  <c r="F3"/>
  <c r="G3"/>
  <c r="F4"/>
  <c r="G4"/>
  <c r="F5"/>
  <c r="G5"/>
  <c r="F6"/>
  <c r="G6"/>
  <c r="F7"/>
  <c r="G7"/>
  <c r="F8"/>
  <c r="G8"/>
  <c r="F9"/>
  <c r="G9"/>
  <c r="F10"/>
  <c r="G10"/>
  <c r="F11"/>
  <c r="G11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2"/>
  <c r="G32"/>
  <c r="F33"/>
  <c r="G33"/>
  <c r="F34"/>
  <c r="G34"/>
  <c r="F35"/>
  <c r="G35"/>
  <c r="F36"/>
  <c r="G36"/>
  <c r="F37"/>
  <c r="G37"/>
  <c r="F38"/>
  <c r="G38"/>
  <c r="F39"/>
  <c r="G39"/>
  <c r="F40"/>
  <c r="G40"/>
  <c r="F41"/>
  <c r="G41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1"/>
  <c r="G51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73"/>
  <c r="G73"/>
  <c r="F74"/>
  <c r="G74"/>
  <c r="F75"/>
  <c r="G75"/>
  <c r="F76"/>
  <c r="G76"/>
  <c r="F77"/>
  <c r="G77"/>
  <c r="F78"/>
  <c r="G78"/>
  <c r="F79"/>
  <c r="G79"/>
  <c r="F80"/>
  <c r="G80"/>
  <c r="F81"/>
  <c r="G81"/>
  <c r="F82"/>
  <c r="G82"/>
  <c r="F83"/>
  <c r="G83"/>
  <c r="F84"/>
  <c r="G84"/>
  <c r="F85"/>
  <c r="G85"/>
  <c r="F86"/>
  <c r="G86"/>
  <c r="F87"/>
  <c r="G87"/>
  <c r="F88"/>
  <c r="G88"/>
  <c r="F89"/>
  <c r="G89"/>
  <c r="F90"/>
  <c r="G90"/>
  <c r="F91"/>
  <c r="G91"/>
  <c r="F92"/>
  <c r="G92"/>
  <c r="F93"/>
  <c r="G93"/>
  <c r="F94"/>
  <c r="G94"/>
  <c r="F95"/>
  <c r="G95"/>
  <c r="F96"/>
  <c r="G96"/>
  <c r="F97"/>
  <c r="G97"/>
  <c r="F98"/>
  <c r="G98"/>
  <c r="F99"/>
  <c r="G99"/>
  <c r="F100"/>
  <c r="G100"/>
  <c r="F101"/>
  <c r="G101"/>
  <c r="G2"/>
  <c r="F2"/>
  <c r="G9" i="13"/>
  <c r="G10"/>
  <c r="G11"/>
  <c r="G12"/>
  <c r="G13"/>
  <c r="G14"/>
  <c r="G15"/>
  <c r="G16"/>
  <c r="G17"/>
  <c r="G18"/>
  <c r="G19"/>
  <c r="G8"/>
  <c r="P5"/>
  <c r="P6"/>
  <c r="P4"/>
  <c r="O4"/>
  <c r="Q4"/>
  <c r="O5"/>
  <c r="Q5"/>
  <c r="O6"/>
  <c r="Q6"/>
  <c r="I2"/>
  <c r="BY11" i="2"/>
  <c r="BY14"/>
  <c r="BY3"/>
  <c r="BY19"/>
  <c r="BY12"/>
  <c r="BY8"/>
  <c r="BY32"/>
  <c r="BY6"/>
  <c r="BY2"/>
  <c r="BY16"/>
  <c r="I3" i="13"/>
  <c r="I5"/>
  <c r="BY28" i="2"/>
  <c r="BY20"/>
  <c r="BY4"/>
  <c r="BY18"/>
  <c r="BY10"/>
  <c r="BY26"/>
  <c r="BY15"/>
  <c r="BY9"/>
  <c r="BY21"/>
  <c r="BY23"/>
  <c r="BY27"/>
  <c r="BY7"/>
  <c r="BY29"/>
  <c r="BY17"/>
  <c r="BY33"/>
  <c r="BY31"/>
  <c r="BY13"/>
  <c r="BY25"/>
  <c r="BY5"/>
  <c r="BY30"/>
  <c r="BY22"/>
  <c r="BY24"/>
  <c r="BX28"/>
  <c r="BX15"/>
  <c r="BX22"/>
  <c r="BX24"/>
  <c r="BX20"/>
</calcChain>
</file>

<file path=xl/comments1.xml><?xml version="1.0" encoding="utf-8"?>
<comments xmlns="http://schemas.openxmlformats.org/spreadsheetml/2006/main">
  <authors>
    <author>作者</author>
  </authors>
  <commentList>
    <comment ref="A16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B16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A4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B4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A42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  <comment ref="B42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Microsoft</author>
  </authors>
  <commentList>
    <comment ref="S1" authorId="0">
      <text>
        <r>
          <rPr>
            <b/>
            <sz val="9"/>
            <color indexed="81"/>
            <rFont val="宋体"/>
            <family val="3"/>
            <charset val="134"/>
          </rPr>
          <t>每秒步伐多远
（单位：前台格）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  <comment ref="AW1" authorId="0">
      <text>
        <r>
          <rPr>
            <sz val="9"/>
            <color indexed="81"/>
            <rFont val="宋体"/>
            <family val="3"/>
            <charset val="134"/>
          </rPr>
          <t>作者:
压制</t>
        </r>
      </text>
    </comment>
    <comment ref="AX1" authorId="0">
      <text>
        <r>
          <rPr>
            <sz val="9"/>
            <color indexed="81"/>
            <rFont val="宋体"/>
            <family val="3"/>
            <charset val="134"/>
          </rPr>
          <t>作者:
坚忍值</t>
        </r>
      </text>
    </comment>
    <comment ref="BW1" authorId="1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攻击，防御，生命，穿透，暴击等级，韧性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9" authorId="0">
      <text>
        <r>
          <rPr>
            <b/>
            <sz val="9"/>
            <color indexed="81"/>
            <rFont val="宋体"/>
            <family val="3"/>
            <charset val="134"/>
          </rPr>
          <t>每秒步伐多远
（单位：前台格）</t>
        </r>
      </text>
    </comment>
    <comment ref="C20" authorId="0">
      <text>
        <r>
          <rPr>
            <b/>
            <sz val="9"/>
            <color indexed="81"/>
            <rFont val="Tahoma"/>
            <family val="2"/>
          </rPr>
          <t xml:space="preserve">150  </t>
        </r>
        <r>
          <rPr>
            <b/>
            <sz val="9"/>
            <color indexed="81"/>
            <rFont val="宋体"/>
            <family val="3"/>
            <charset val="134"/>
          </rPr>
          <t>为基础移动速率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CALL </t>
        </r>
        <r>
          <rPr>
            <sz val="9"/>
            <color indexed="81"/>
            <rFont val="宋体"/>
            <family val="3"/>
            <charset val="134"/>
          </rPr>
          <t xml:space="preserve">召唤
</t>
        </r>
        <r>
          <rPr>
            <sz val="9"/>
            <color indexed="81"/>
            <rFont val="Tahoma"/>
            <family val="2"/>
          </rPr>
          <t xml:space="preserve">IDLE </t>
        </r>
        <r>
          <rPr>
            <sz val="9"/>
            <color indexed="81"/>
            <rFont val="宋体"/>
            <family val="3"/>
            <charset val="134"/>
          </rPr>
          <t xml:space="preserve">待机
</t>
        </r>
        <r>
          <rPr>
            <sz val="9"/>
            <color indexed="81"/>
            <rFont val="Tahoma"/>
            <family val="2"/>
          </rPr>
          <t xml:space="preserve">BATTLE </t>
        </r>
        <r>
          <rPr>
            <sz val="9"/>
            <color indexed="81"/>
            <rFont val="宋体"/>
            <family val="3"/>
            <charset val="134"/>
          </rPr>
          <t xml:space="preserve">战斗
</t>
        </r>
        <r>
          <rPr>
            <sz val="9"/>
            <color indexed="81"/>
            <rFont val="Tahoma"/>
            <family val="2"/>
          </rPr>
          <t xml:space="preserve">BOSS </t>
        </r>
        <r>
          <rPr>
            <sz val="9"/>
            <color indexed="81"/>
            <rFont val="宋体"/>
            <family val="3"/>
            <charset val="134"/>
          </rPr>
          <t>挑战</t>
        </r>
        <r>
          <rPr>
            <sz val="9"/>
            <color indexed="81"/>
            <rFont val="Tahoma"/>
            <family val="2"/>
          </rPr>
          <t>BOSS
PK
REWARDEPIC
REWARDLEGEND</t>
        </r>
      </text>
    </comment>
  </commentList>
</comments>
</file>

<file path=xl/comments5.xml><?xml version="1.0" encoding="utf-8"?>
<comments xmlns="http://schemas.openxmlformats.org/spreadsheetml/2006/main">
  <authors>
    <author>Microsoft</author>
  </authors>
  <commentLis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羁绊名称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羁绊关系主随从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羁绊关系目标随从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羁绊最高等级</t>
        </r>
      </text>
    </comment>
  </commentList>
</comments>
</file>

<file path=xl/comments6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羁绊关系ID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
羁绊等级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羁绊附加属性类型</t>
        </r>
      </text>
    </commen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羁绊附加属性值</t>
        </r>
      </text>
    </comment>
    <comment ref="E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羁绊目标需求等级</t>
        </r>
      </text>
    </comment>
    <comment ref="F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羁绊目标需求星数</t>
        </r>
      </text>
    </comment>
    <comment ref="G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升级所需道具类型</t>
        </r>
      </text>
    </comment>
    <comment ref="H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升级所需道具数量</t>
        </r>
      </text>
    </comment>
    <comment ref="I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羁绊附加战力</t>
        </r>
      </text>
    </comment>
  </commentList>
</comments>
</file>

<file path=xl/comments7.xml><?xml version="1.0" encoding="utf-8"?>
<comments xmlns="http://schemas.openxmlformats.org/spreadsheetml/2006/main">
  <authors>
    <author>Microsoft</author>
  </authors>
  <commentList>
    <comment ref="A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灵魂链接空位id</t>
        </r>
      </text>
    </comment>
    <comment ref="B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空位解锁条件1为等级2为VIP</t>
        </r>
      </text>
    </comment>
    <comment ref="C1" authorId="0">
      <text>
        <r>
          <rPr>
            <b/>
            <sz val="9"/>
            <color indexed="81"/>
            <rFont val="宋体"/>
            <family val="3"/>
            <charset val="134"/>
          </rPr>
          <t>Microsoft:</t>
        </r>
        <r>
          <rPr>
            <sz val="9"/>
            <color indexed="81"/>
            <rFont val="宋体"/>
            <family val="3"/>
            <charset val="134"/>
          </rPr>
          <t xml:space="preserve">
空位解锁条件值</t>
        </r>
      </text>
    </comment>
  </commentList>
</comments>
</file>

<file path=xl/comments8.xml><?xml version="1.0" encoding="utf-8"?>
<comments xmlns="http://schemas.openxmlformats.org/spreadsheetml/2006/main">
  <authors>
    <author>zuowenxiang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zuowenxiang: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英雄品质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zuowenxiang: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兑换的物品id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zuowenxiang: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数量</t>
        </r>
      </text>
    </comment>
  </commentList>
</comments>
</file>

<file path=xl/sharedStrings.xml><?xml version="1.0" encoding="utf-8"?>
<sst xmlns="http://schemas.openxmlformats.org/spreadsheetml/2006/main" count="4621" uniqueCount="748">
  <si>
    <t>col1</t>
  </si>
  <si>
    <t>col1</t>
    <phoneticPr fontId="1" type="noConversion"/>
  </si>
  <si>
    <t>scol1</t>
    <phoneticPr fontId="1" type="noConversion"/>
  </si>
  <si>
    <t>colset</t>
    <phoneticPr fontId="1" type="noConversion"/>
  </si>
  <si>
    <t>tabset</t>
    <phoneticPr fontId="1" type="noConversion"/>
  </si>
  <si>
    <t>,</t>
    <phoneticPr fontId="1" type="noConversion"/>
  </si>
  <si>
    <t>|</t>
    <phoneticPr fontId="1" type="noConversion"/>
  </si>
  <si>
    <t>data_test</t>
    <phoneticPr fontId="1" type="noConversion"/>
  </si>
  <si>
    <t>indexset</t>
    <phoneticPr fontId="1" type="noConversion"/>
  </si>
  <si>
    <t>col2</t>
    <phoneticPr fontId="1" type="noConversion"/>
  </si>
  <si>
    <t>selectset</t>
    <phoneticPr fontId="1" type="noConversion"/>
  </si>
  <si>
    <t>getall</t>
    <phoneticPr fontId="1" type="noConversion"/>
  </si>
  <si>
    <t>（可选）输出所有key</t>
    <phoneticPr fontId="1" type="noConversion"/>
  </si>
  <si>
    <t>（可选）根据某些列分类，多列用","隔开</t>
    <phoneticPr fontId="1" type="noConversion"/>
  </si>
  <si>
    <t>（必须）用那些列做key输出，多列用","隔开</t>
    <phoneticPr fontId="1" type="noConversion"/>
  </si>
  <si>
    <t>（必须）输出的模块名</t>
    <phoneticPr fontId="1" type="noConversion"/>
  </si>
  <si>
    <t>（必须）选择一些列来输出</t>
    <phoneticPr fontId="1" type="noConversion"/>
  </si>
  <si>
    <t>表中列名</t>
    <phoneticPr fontId="1" type="noConversion"/>
  </si>
  <si>
    <t>输出列名</t>
    <phoneticPr fontId="1" type="noConversion"/>
  </si>
  <si>
    <t>标示</t>
  </si>
  <si>
    <t>标示</t>
    <phoneticPr fontId="1" type="noConversion"/>
  </si>
  <si>
    <t>输出模块名</t>
    <phoneticPr fontId="1" type="noConversion"/>
  </si>
  <si>
    <t>key列表</t>
    <phoneticPr fontId="1" type="noConversion"/>
  </si>
  <si>
    <t>列名列表</t>
    <phoneticPr fontId="1" type="noConversion"/>
  </si>
  <si>
    <t>固定</t>
    <phoneticPr fontId="1" type="noConversion"/>
  </si>
  <si>
    <t>标示</t>
    <phoneticPr fontId="1" type="noConversion"/>
  </si>
  <si>
    <t>,</t>
    <phoneticPr fontId="1" type="noConversion"/>
  </si>
  <si>
    <t>|</t>
    <phoneticPr fontId="1" type="noConversion"/>
  </si>
  <si>
    <t>(可选)几层列表值</t>
    <phoneticPr fontId="1" type="noConversion"/>
  </si>
  <si>
    <t>最外层分割</t>
    <phoneticPr fontId="1" type="noConversion"/>
  </si>
  <si>
    <t>次外层分割</t>
    <phoneticPr fontId="1" type="noConversion"/>
  </si>
  <si>
    <t>1|2,5|6 = [{1,2},{5,6}]</t>
    <phoneticPr fontId="1" type="noConversion"/>
  </si>
  <si>
    <t>recordname</t>
    <phoneticPr fontId="1" type="noConversion"/>
  </si>
  <si>
    <t>st_data_test</t>
    <phoneticPr fontId="1" type="noConversion"/>
  </si>
  <si>
    <t>（必须）输出的record</t>
    <phoneticPr fontId="1" type="noConversion"/>
  </si>
  <si>
    <t>record</t>
  </si>
  <si>
    <t>col7</t>
    <phoneticPr fontId="1" type="noConversion"/>
  </si>
  <si>
    <t>colset_str</t>
  </si>
  <si>
    <t>标示</t>
    <phoneticPr fontId="1" type="noConversion"/>
  </si>
  <si>
    <t>宏里带有中文（可选）</t>
    <phoneticPr fontId="1" type="noConversion"/>
  </si>
  <si>
    <t>id</t>
    <phoneticPr fontId="1" type="noConversion"/>
  </si>
  <si>
    <t>petname</t>
    <phoneticPr fontId="1" type="noConversion"/>
  </si>
  <si>
    <t>star</t>
    <phoneticPr fontId="1" type="noConversion"/>
  </si>
  <si>
    <t>petskillGroup</t>
    <phoneticPr fontId="1" type="noConversion"/>
  </si>
  <si>
    <t>petEquipGroup</t>
    <phoneticPr fontId="1" type="noConversion"/>
  </si>
  <si>
    <t>pic</t>
    <phoneticPr fontId="1" type="noConversion"/>
  </si>
  <si>
    <t>equipList</t>
    <phoneticPr fontId="3" type="noConversion"/>
  </si>
  <si>
    <t>boneName</t>
    <phoneticPr fontId="3" type="noConversion"/>
  </si>
  <si>
    <t>res_name</t>
  </si>
  <si>
    <t>needed_soul_id</t>
    <phoneticPr fontId="1" type="noConversion"/>
  </si>
  <si>
    <t>needed_soul_num</t>
    <phoneticPr fontId="1" type="noConversion"/>
  </si>
  <si>
    <t>propList</t>
    <phoneticPr fontId="1" type="noConversion"/>
  </si>
  <si>
    <t>type</t>
    <phoneticPr fontId="1" type="noConversion"/>
  </si>
  <si>
    <t>Bip001</t>
    <phoneticPr fontId="3" type="noConversion"/>
  </si>
  <si>
    <t>101:100:10|102:100:10|104:1000:50|105:1000:30|1:10:0|2:10:0|3:10:0|4:10:0|5:10:0</t>
    <phoneticPr fontId="1" type="noConversion"/>
  </si>
  <si>
    <t>needed_soul_num</t>
    <phoneticPr fontId="1" type="noConversion"/>
  </si>
  <si>
    <t>data_entourage</t>
    <phoneticPr fontId="1" type="noConversion"/>
  </si>
  <si>
    <t>st_entourage_config</t>
    <phoneticPr fontId="1" type="noConversion"/>
  </si>
  <si>
    <t>:</t>
    <phoneticPr fontId="1" type="noConversion"/>
  </si>
  <si>
    <t>举例</t>
    <phoneticPr fontId="1" type="noConversion"/>
  </si>
  <si>
    <t>佣兵ID</t>
    <phoneticPr fontId="1" type="noConversion"/>
  </si>
  <si>
    <t>int</t>
    <phoneticPr fontId="1" type="noConversion"/>
  </si>
  <si>
    <t>id</t>
    <phoneticPr fontId="1" type="noConversion"/>
  </si>
  <si>
    <t>佣兵名</t>
    <phoneticPr fontId="1" type="noConversion"/>
  </si>
  <si>
    <t>string</t>
    <phoneticPr fontId="1" type="noConversion"/>
  </si>
  <si>
    <t>petname</t>
    <phoneticPr fontId="1" type="noConversion"/>
  </si>
  <si>
    <t>吉安娜</t>
    <phoneticPr fontId="1" type="noConversion"/>
  </si>
  <si>
    <t>佣兵介绍</t>
    <phoneticPr fontId="1" type="noConversion"/>
  </si>
  <si>
    <t>petintro</t>
    <phoneticPr fontId="1" type="noConversion"/>
  </si>
  <si>
    <t>白发魔女</t>
    <phoneticPr fontId="1" type="noConversion"/>
  </si>
  <si>
    <t>佣兵技能1</t>
    <phoneticPr fontId="1" type="noConversion"/>
  </si>
  <si>
    <t>petskillGroup</t>
    <phoneticPr fontId="1" type="noConversion"/>
  </si>
  <si>
    <t>1|2|3|4</t>
    <phoneticPr fontId="3" type="noConversion"/>
  </si>
  <si>
    <t>装备1</t>
    <phoneticPr fontId="1" type="noConversion"/>
  </si>
  <si>
    <t>petEquipGroup</t>
    <phoneticPr fontId="1" type="noConversion"/>
  </si>
  <si>
    <t>1001|1002|1003|1004</t>
    <phoneticPr fontId="3" type="noConversion"/>
  </si>
  <si>
    <t>对应原画</t>
    <phoneticPr fontId="1" type="noConversion"/>
  </si>
  <si>
    <t>pic</t>
    <phoneticPr fontId="1" type="noConversion"/>
  </si>
  <si>
    <t>jana</t>
    <phoneticPr fontId="1" type="noConversion"/>
  </si>
  <si>
    <t>模型资源</t>
    <phoneticPr fontId="1" type="noConversion"/>
  </si>
  <si>
    <t>int数组</t>
    <phoneticPr fontId="1" type="noConversion"/>
  </si>
  <si>
    <t>equipList</t>
    <phoneticPr fontId="3" type="noConversion"/>
  </si>
  <si>
    <t>906|907|908|909|910</t>
    <phoneticPr fontId="3" type="noConversion"/>
  </si>
  <si>
    <t>补充说明</t>
    <phoneticPr fontId="3" type="noConversion"/>
  </si>
  <si>
    <t>骨骼名称</t>
    <phoneticPr fontId="1" type="noConversion"/>
  </si>
  <si>
    <t>boneName</t>
    <phoneticPr fontId="3" type="noConversion"/>
  </si>
  <si>
    <t>Bip001</t>
    <phoneticPr fontId="3" type="noConversion"/>
  </si>
  <si>
    <t>1、</t>
    <phoneticPr fontId="3" type="noConversion"/>
  </si>
  <si>
    <t>佣兵升星所需魂石数，在常量表中进行配置</t>
    <phoneticPr fontId="3" type="noConversion"/>
  </si>
  <si>
    <t>骨骼资源</t>
    <phoneticPr fontId="1" type="noConversion"/>
  </si>
  <si>
    <t>ActorBone/c_p_102</t>
    <phoneticPr fontId="3" type="noConversion"/>
  </si>
  <si>
    <t>soulNumNeeded1</t>
    <phoneticPr fontId="5" type="noConversion"/>
  </si>
  <si>
    <t>随从1星升2星所需魂石数</t>
    <phoneticPr fontId="5" type="noConversion"/>
  </si>
  <si>
    <t>需求魂石ID</t>
    <phoneticPr fontId="1" type="noConversion"/>
  </si>
  <si>
    <t>needed_soul_id</t>
    <phoneticPr fontId="1" type="noConversion"/>
  </si>
  <si>
    <t>soulNumNeeded2</t>
  </si>
  <si>
    <t>随从2星升3星所需魂石数</t>
    <phoneticPr fontId="5" type="noConversion"/>
  </si>
  <si>
    <t>需求魂石数量</t>
    <phoneticPr fontId="1" type="noConversion"/>
  </si>
  <si>
    <t>needed_soul_num</t>
    <phoneticPr fontId="1" type="noConversion"/>
  </si>
  <si>
    <t>soulNumNeeded3</t>
  </si>
  <si>
    <t>随从3星升4星所需魂石数</t>
    <phoneticPr fontId="5" type="noConversion"/>
  </si>
  <si>
    <t>soulNumNeeded4</t>
  </si>
  <si>
    <t>随从4星升5星所需魂石数</t>
    <phoneticPr fontId="5" type="noConversion"/>
  </si>
  <si>
    <t>升星所需魂石种类与激活相同</t>
    <phoneticPr fontId="3" type="noConversion"/>
  </si>
  <si>
    <t>baseFighting</t>
    <phoneticPr fontId="1" type="noConversion"/>
  </si>
  <si>
    <t>GrowthFighting</t>
    <phoneticPr fontId="1" type="noConversion"/>
  </si>
  <si>
    <t>基础战力</t>
    <phoneticPr fontId="1" type="noConversion"/>
  </si>
  <si>
    <t>成长战力</t>
    <phoneticPr fontId="1" type="noConversion"/>
  </si>
  <si>
    <t>100</t>
    <phoneticPr fontId="1" type="noConversion"/>
  </si>
  <si>
    <t>10</t>
    <phoneticPr fontId="1" type="noConversion"/>
  </si>
  <si>
    <t>growthFighting</t>
    <phoneticPr fontId="1" type="noConversion"/>
  </si>
  <si>
    <t>level</t>
    <phoneticPr fontId="1" type="noConversion"/>
  </si>
  <si>
    <t>exp</t>
    <phoneticPr fontId="1" type="noConversion"/>
  </si>
  <si>
    <t>1</t>
    <phoneticPr fontId="1" type="noConversion"/>
  </si>
  <si>
    <t>10</t>
  </si>
  <si>
    <t>level</t>
  </si>
  <si>
    <t>data_entourage_update</t>
    <phoneticPr fontId="1" type="noConversion"/>
  </si>
  <si>
    <t>st_entourage_update</t>
    <phoneticPr fontId="1" type="noConversion"/>
  </si>
  <si>
    <t>colset_max</t>
  </si>
  <si>
    <t>starPropList</t>
    <phoneticPr fontId="1" type="noConversion"/>
  </si>
  <si>
    <t>101:100|102:100|104:1000|105:1000|1:10|2:10|3:10|4:10|5:10</t>
    <phoneticPr fontId="1" type="noConversion"/>
  </si>
  <si>
    <t>starPropList</t>
    <phoneticPr fontId="1" type="noConversion"/>
  </si>
  <si>
    <t>|</t>
    <phoneticPr fontId="1" type="noConversion"/>
  </si>
  <si>
    <t>:</t>
    <phoneticPr fontId="1" type="noConversion"/>
  </si>
  <si>
    <t>starpropFighting</t>
    <phoneticPr fontId="1" type="noConversion"/>
  </si>
  <si>
    <t>辅助</t>
    <phoneticPr fontId="1" type="noConversion"/>
  </si>
  <si>
    <t>战斗</t>
    <phoneticPr fontId="1" type="noConversion"/>
  </si>
  <si>
    <t>刺杀</t>
    <phoneticPr fontId="1" type="noConversion"/>
  </si>
  <si>
    <t>BATTLE</t>
    <phoneticPr fontId="1" type="noConversion"/>
  </si>
  <si>
    <t>ASSIST</t>
    <phoneticPr fontId="1" type="noConversion"/>
  </si>
  <si>
    <t>KILLER</t>
    <phoneticPr fontId="1" type="noConversion"/>
  </si>
  <si>
    <t>entouTypeIcon_1</t>
    <phoneticPr fontId="1" type="noConversion"/>
  </si>
  <si>
    <t>entouTypeIcon_2</t>
  </si>
  <si>
    <t>entouTypeIcon_3</t>
  </si>
  <si>
    <t>type</t>
    <phoneticPr fontId="1" type="noConversion"/>
  </si>
  <si>
    <t>AI类型</t>
    <phoneticPr fontId="1" type="noConversion"/>
  </si>
  <si>
    <t>int</t>
    <phoneticPr fontId="1" type="noConversion"/>
  </si>
  <si>
    <t>AI类型分类</t>
    <phoneticPr fontId="1" type="noConversion"/>
  </si>
  <si>
    <t>1</t>
    <phoneticPr fontId="1" type="noConversion"/>
  </si>
  <si>
    <t>加星属性</t>
    <phoneticPr fontId="1" type="noConversion"/>
  </si>
  <si>
    <t>加星战力</t>
    <phoneticPr fontId="1" type="noConversion"/>
  </si>
  <si>
    <t>100</t>
    <phoneticPr fontId="1" type="noConversion"/>
  </si>
  <si>
    <t>等级属性成长</t>
    <phoneticPr fontId="1" type="noConversion"/>
  </si>
  <si>
    <t>pace_speed</t>
  </si>
  <si>
    <t>4</t>
    <phoneticPr fontId="3" type="noConversion"/>
  </si>
  <si>
    <t>move_spd</t>
  </si>
  <si>
    <t>5</t>
    <phoneticPr fontId="3" type="noConversion"/>
  </si>
  <si>
    <t>步伐举例</t>
    <phoneticPr fontId="1" type="noConversion"/>
  </si>
  <si>
    <t>移动速度</t>
    <phoneticPr fontId="1" type="noConversion"/>
  </si>
  <si>
    <t>float</t>
    <phoneticPr fontId="1" type="noConversion"/>
  </si>
  <si>
    <t>float</t>
    <phoneticPr fontId="1" type="noConversion"/>
  </si>
  <si>
    <t>float</t>
    <phoneticPr fontId="1" type="noConversion"/>
  </si>
  <si>
    <t>2</t>
    <phoneticPr fontId="1" type="noConversion"/>
  </si>
  <si>
    <t>跟随范围</t>
    <phoneticPr fontId="1" type="noConversion"/>
  </si>
  <si>
    <t>followRange</t>
    <phoneticPr fontId="1" type="noConversion"/>
  </si>
  <si>
    <t>PVP范围</t>
    <phoneticPr fontId="1" type="noConversion"/>
  </si>
  <si>
    <t>PVE范围</t>
    <phoneticPr fontId="1" type="noConversion"/>
  </si>
  <si>
    <t>pvpRange</t>
    <phoneticPr fontId="1" type="noConversion"/>
  </si>
  <si>
    <t>pveRange</t>
    <phoneticPr fontId="1" type="noConversion"/>
  </si>
  <si>
    <t>传送范围</t>
    <phoneticPr fontId="1" type="noConversion"/>
  </si>
  <si>
    <t>teleportRange</t>
    <phoneticPr fontId="1" type="noConversion"/>
  </si>
  <si>
    <t>normalSkill</t>
    <phoneticPr fontId="1" type="noConversion"/>
  </si>
  <si>
    <t>preview_scale</t>
  </si>
  <si>
    <t>0,0,0</t>
  </si>
  <si>
    <t>previewPostion</t>
    <phoneticPr fontId="1" type="noConversion"/>
  </si>
  <si>
    <t>previewRotation</t>
    <phoneticPr fontId="1" type="noConversion"/>
  </si>
  <si>
    <t>baseMoveSpd</t>
    <phoneticPr fontId="1" type="noConversion"/>
  </si>
  <si>
    <t>atk</t>
    <phoneticPr fontId="3" type="noConversion"/>
  </si>
  <si>
    <t>def</t>
    <phoneticPr fontId="3" type="noConversion"/>
  </si>
  <si>
    <t>hpLimit</t>
    <phoneticPr fontId="3" type="noConversion"/>
  </si>
  <si>
    <t>mpLimit</t>
    <phoneticPr fontId="3" type="noConversion"/>
  </si>
  <si>
    <t>atkInc</t>
    <phoneticPr fontId="3" type="noConversion"/>
  </si>
  <si>
    <t>defInc</t>
    <phoneticPr fontId="3" type="noConversion"/>
  </si>
  <si>
    <t>hpLimitInc</t>
    <phoneticPr fontId="3" type="noConversion"/>
  </si>
  <si>
    <t>mpLimitInc</t>
    <phoneticPr fontId="3" type="noConversion"/>
  </si>
  <si>
    <t>str</t>
    <phoneticPr fontId="3" type="noConversion"/>
  </si>
  <si>
    <t>agi</t>
    <phoneticPr fontId="3" type="noConversion"/>
  </si>
  <si>
    <t>sta</t>
    <phoneticPr fontId="3" type="noConversion"/>
  </si>
  <si>
    <t>wis</t>
    <phoneticPr fontId="3" type="noConversion"/>
  </si>
  <si>
    <t>spi</t>
    <phoneticPr fontId="3" type="noConversion"/>
  </si>
  <si>
    <t>defIgnore</t>
    <phoneticPr fontId="3" type="noConversion"/>
  </si>
  <si>
    <t>cri</t>
    <phoneticPr fontId="3" type="noConversion"/>
  </si>
  <si>
    <t>criDmg</t>
    <phoneticPr fontId="3" type="noConversion"/>
  </si>
  <si>
    <t>tough</t>
  </si>
  <si>
    <t>hit</t>
    <phoneticPr fontId="3" type="noConversion"/>
  </si>
  <si>
    <t>dod</t>
    <phoneticPr fontId="3" type="noConversion"/>
  </si>
  <si>
    <t>dmgRate</t>
    <phoneticPr fontId="3" type="noConversion"/>
  </si>
  <si>
    <t>dmgDownRate</t>
    <phoneticPr fontId="3" type="noConversion"/>
  </si>
  <si>
    <t>blockRate</t>
    <phoneticPr fontId="3" type="noConversion"/>
  </si>
  <si>
    <t>blockDmgDownRate</t>
    <phoneticPr fontId="3" type="noConversion"/>
  </si>
  <si>
    <t>realDmg</t>
    <phoneticPr fontId="3" type="noConversion"/>
  </si>
  <si>
    <t>stifle</t>
  </si>
  <si>
    <t>long_suffering</t>
  </si>
  <si>
    <t>moveSpd</t>
    <phoneticPr fontId="3" type="noConversion"/>
  </si>
  <si>
    <t>hpRestore</t>
    <phoneticPr fontId="3" type="noConversion"/>
  </si>
  <si>
    <t>mpRestore</t>
    <phoneticPr fontId="3" type="noConversion"/>
  </si>
  <si>
    <t>10</t>
    <phoneticPr fontId="3" type="noConversion"/>
  </si>
  <si>
    <t>blockDmgRate</t>
  </si>
  <si>
    <t>cd</t>
    <phoneticPr fontId="1" type="noConversion"/>
  </si>
  <si>
    <t>0</t>
    <phoneticPr fontId="1" type="noConversion"/>
  </si>
  <si>
    <t>0</t>
    <phoneticPr fontId="1" type="noConversion"/>
  </si>
  <si>
    <t>0</t>
    <phoneticPr fontId="1" type="noConversion"/>
  </si>
  <si>
    <t>nameHeigiht</t>
    <phoneticPr fontId="1" type="noConversion"/>
  </si>
  <si>
    <t>1900|1901</t>
    <phoneticPr fontId="3" type="noConversion"/>
  </si>
  <si>
    <t>modelScale</t>
    <phoneticPr fontId="1" type="noConversion"/>
  </si>
  <si>
    <t>模型大小</t>
    <phoneticPr fontId="1" type="noConversion"/>
  </si>
  <si>
    <t>float</t>
    <phoneticPr fontId="1" type="noConversion"/>
  </si>
  <si>
    <t>freeBattleTimes</t>
    <phoneticPr fontId="1" type="noConversion"/>
  </si>
  <si>
    <t>payBattleCost</t>
    <phoneticPr fontId="1" type="noConversion"/>
  </si>
  <si>
    <t>payBattleCostInc</t>
    <phoneticPr fontId="1" type="noConversion"/>
  </si>
  <si>
    <t>payBattleItem</t>
    <phoneticPr fontId="1" type="noConversion"/>
  </si>
  <si>
    <t>3</t>
  </si>
  <si>
    <t>10000</t>
    <phoneticPr fontId="1" type="noConversion"/>
  </si>
  <si>
    <t>headIcon</t>
    <phoneticPr fontId="1" type="noConversion"/>
  </si>
  <si>
    <t>1.2</t>
    <phoneticPr fontId="1" type="noConversion"/>
  </si>
  <si>
    <t>stopRange</t>
    <phoneticPr fontId="1" type="noConversion"/>
  </si>
  <si>
    <t>PVEAtkRange</t>
    <phoneticPr fontId="1" type="noConversion"/>
  </si>
  <si>
    <t>PVEMasterAtkRange</t>
    <phoneticPr fontId="1" type="noConversion"/>
  </si>
  <si>
    <t>PVEReturnRange</t>
    <phoneticPr fontId="1" type="noConversion"/>
  </si>
  <si>
    <t>PVPattackRange</t>
    <phoneticPr fontId="1" type="noConversion"/>
  </si>
  <si>
    <t>PVPMasterAtkRange</t>
    <phoneticPr fontId="1" type="noConversion"/>
  </si>
  <si>
    <t>PVPDefenseRange</t>
    <phoneticPr fontId="1" type="noConversion"/>
  </si>
  <si>
    <t>1.1</t>
    <phoneticPr fontId="1" type="noConversion"/>
  </si>
  <si>
    <t>15</t>
    <phoneticPr fontId="1" type="noConversion"/>
  </si>
  <si>
    <t>DeathLagTime</t>
    <phoneticPr fontId="1" type="noConversion"/>
  </si>
  <si>
    <t>3</t>
    <phoneticPr fontId="1" type="noConversion"/>
  </si>
  <si>
    <t>deatlagtime</t>
  </si>
  <si>
    <t>Bip001</t>
  </si>
  <si>
    <t>ActorBone/c_n_007_01</t>
    <phoneticPr fontId="3" type="noConversion"/>
  </si>
  <si>
    <t>ActorBone/c_n_009_01</t>
    <phoneticPr fontId="3" type="noConversion"/>
  </si>
  <si>
    <t>ActorBone/c_n_001_01</t>
  </si>
  <si>
    <t>Bip001</t>
    <phoneticPr fontId="3" type="noConversion"/>
  </si>
  <si>
    <t>ActorBone/c_m_002_b01</t>
    <phoneticPr fontId="3" type="noConversion"/>
  </si>
  <si>
    <t>ActorBone/c_p_b_001</t>
    <phoneticPr fontId="3" type="noConversion"/>
  </si>
  <si>
    <t>ActorBone/c_m_010_b01</t>
    <phoneticPr fontId="3" type="noConversion"/>
  </si>
  <si>
    <t>Bip001</t>
    <phoneticPr fontId="3" type="noConversion"/>
  </si>
  <si>
    <t>ActorBone/c_m_009_b01</t>
    <phoneticPr fontId="3" type="noConversion"/>
  </si>
  <si>
    <t>ActorBone/c_m_008_b01</t>
    <phoneticPr fontId="3" type="noConversion"/>
  </si>
  <si>
    <t>ActorBone/c_m_008_b02</t>
    <phoneticPr fontId="3" type="noConversion"/>
  </si>
  <si>
    <t>entourageId</t>
    <phoneticPr fontId="1" type="noConversion"/>
  </si>
  <si>
    <t>talkType</t>
    <phoneticPr fontId="1" type="noConversion"/>
  </si>
  <si>
    <t>bubbleIdGroup</t>
    <phoneticPr fontId="1" type="noConversion"/>
  </si>
  <si>
    <t>intervalTime</t>
    <phoneticPr fontId="1" type="noConversion"/>
  </si>
  <si>
    <t>ActorBone/c_n_010_02</t>
    <phoneticPr fontId="3" type="noConversion"/>
  </si>
  <si>
    <t>petintro</t>
    <phoneticPr fontId="1" type="noConversion"/>
  </si>
  <si>
    <t>i_h_001c</t>
  </si>
  <si>
    <t>i_h_002c</t>
  </si>
  <si>
    <t>i_h_007c</t>
  </si>
  <si>
    <t>i_h_008c</t>
  </si>
  <si>
    <t>i_h_009c</t>
  </si>
  <si>
    <t>i_h_011c</t>
  </si>
  <si>
    <t>i_h_014c</t>
  </si>
  <si>
    <t>i_h_016c</t>
  </si>
  <si>
    <t>i_h_709c</t>
  </si>
  <si>
    <t>i_h_708c</t>
  </si>
  <si>
    <t>i_h_710c</t>
  </si>
  <si>
    <t>i_h_702c</t>
  </si>
  <si>
    <t>ActorBone/c_n_003_01</t>
    <phoneticPr fontId="3" type="noConversion"/>
  </si>
  <si>
    <t>ActorBone/c_n_003_01</t>
    <phoneticPr fontId="3" type="noConversion"/>
  </si>
  <si>
    <t>i_h_711c</t>
    <phoneticPr fontId="1" type="noConversion"/>
  </si>
  <si>
    <t>i_h_706c</t>
    <phoneticPr fontId="1" type="noConversion"/>
  </si>
  <si>
    <t>i_h_704c</t>
    <phoneticPr fontId="1" type="noConversion"/>
  </si>
  <si>
    <t>99999</t>
  </si>
  <si>
    <t>99999</t>
    <phoneticPr fontId="1" type="noConversion"/>
  </si>
  <si>
    <t>99999</t>
    <phoneticPr fontId="1" type="noConversion"/>
  </si>
  <si>
    <t>attackRange</t>
  </si>
  <si>
    <t>attackRange</t>
    <phoneticPr fontId="1" type="noConversion"/>
  </si>
  <si>
    <t>0.05,0.38,2.44</t>
    <phoneticPr fontId="1" type="noConversion"/>
  </si>
  <si>
    <t>-0.06,0.43,2.38</t>
    <phoneticPr fontId="1" type="noConversion"/>
  </si>
  <si>
    <t>0.1,0.35,2.52</t>
    <phoneticPr fontId="1" type="noConversion"/>
  </si>
  <si>
    <t>normalSkill</t>
  </si>
  <si>
    <t>id</t>
    <phoneticPr fontId="1" type="noConversion"/>
  </si>
  <si>
    <t>targetEntourageId</t>
    <phoneticPr fontId="1" type="noConversion"/>
  </si>
  <si>
    <t>propType</t>
    <phoneticPr fontId="1" type="noConversion"/>
  </si>
  <si>
    <t>friendlyName</t>
    <phoneticPr fontId="1" type="noConversion"/>
  </si>
  <si>
    <t>maxLevel</t>
    <phoneticPr fontId="1" type="noConversion"/>
  </si>
  <si>
    <t>filiationId</t>
    <phoneticPr fontId="1" type="noConversion"/>
  </si>
  <si>
    <t>level</t>
    <phoneticPr fontId="1" type="noConversion"/>
  </si>
  <si>
    <t>requireTargetLevel</t>
    <phoneticPr fontId="1" type="noConversion"/>
  </si>
  <si>
    <t>requireTargetStarNum</t>
    <phoneticPr fontId="1" type="noConversion"/>
  </si>
  <si>
    <t>itemNum</t>
    <phoneticPr fontId="1" type="noConversion"/>
  </si>
  <si>
    <t>upgradeItemType</t>
    <phoneticPr fontId="1" type="noConversion"/>
  </si>
  <si>
    <t>st_filiation</t>
    <phoneticPr fontId="1" type="noConversion"/>
  </si>
  <si>
    <t>data_filiation</t>
    <phoneticPr fontId="1" type="noConversion"/>
  </si>
  <si>
    <t>data_filiationLevel</t>
    <phoneticPr fontId="1" type="noConversion"/>
  </si>
  <si>
    <t>st_filiationLevel</t>
    <phoneticPr fontId="1" type="noConversion"/>
  </si>
  <si>
    <t>gs</t>
    <phoneticPr fontId="1" type="noConversion"/>
  </si>
  <si>
    <t>gs</t>
    <phoneticPr fontId="1" type="noConversion"/>
  </si>
  <si>
    <t>propVal</t>
    <phoneticPr fontId="1" type="noConversion"/>
  </si>
  <si>
    <t>filiationId,level</t>
    <phoneticPr fontId="1" type="noConversion"/>
  </si>
  <si>
    <t>PropVal</t>
  </si>
  <si>
    <t>id</t>
    <phoneticPr fontId="1" type="noConversion"/>
  </si>
  <si>
    <t>unlockCondition</t>
    <phoneticPr fontId="1" type="noConversion"/>
  </si>
  <si>
    <t>unlockNum</t>
    <phoneticPr fontId="1" type="noConversion"/>
  </si>
  <si>
    <t>type</t>
    <phoneticPr fontId="1" type="noConversion"/>
  </si>
  <si>
    <t>data_soulLink</t>
    <phoneticPr fontId="1" type="noConversion"/>
  </si>
  <si>
    <t>st_soulLink</t>
    <phoneticPr fontId="1" type="noConversion"/>
  </si>
  <si>
    <t>id</t>
    <phoneticPr fontId="1" type="noConversion"/>
  </si>
  <si>
    <t>unlockCondition</t>
    <phoneticPr fontId="1" type="noConversion"/>
  </si>
  <si>
    <t>unlockCondition</t>
    <phoneticPr fontId="1" type="noConversion"/>
  </si>
  <si>
    <t>unlockNum</t>
    <phoneticPr fontId="1" type="noConversion"/>
  </si>
  <si>
    <t>君王之泪</t>
    <phoneticPr fontId="1" type="noConversion"/>
  </si>
  <si>
    <t>痛苦盛宴</t>
    <phoneticPr fontId="1" type="noConversion"/>
  </si>
  <si>
    <t>和平协议</t>
    <phoneticPr fontId="1" type="noConversion"/>
  </si>
  <si>
    <t>圣战联军</t>
    <phoneticPr fontId="1" type="noConversion"/>
  </si>
  <si>
    <t>圣战联军1</t>
    <phoneticPr fontId="1" type="noConversion"/>
  </si>
  <si>
    <t>圣战联军2</t>
    <phoneticPr fontId="1" type="noConversion"/>
  </si>
  <si>
    <t>大地之环</t>
    <phoneticPr fontId="1" type="noConversion"/>
  </si>
  <si>
    <t>selectset1</t>
    <phoneticPr fontId="1" type="noConversion"/>
  </si>
  <si>
    <t>entourageId,targetEntourageId</t>
    <phoneticPr fontId="1" type="noConversion"/>
  </si>
  <si>
    <t>entourageId</t>
    <phoneticPr fontId="1" type="noConversion"/>
  </si>
  <si>
    <t>targetEntourageId</t>
    <phoneticPr fontId="1" type="noConversion"/>
  </si>
  <si>
    <t>targetId</t>
    <phoneticPr fontId="1" type="noConversion"/>
  </si>
  <si>
    <t>unlockCondition,unlockNum</t>
    <phoneticPr fontId="1" type="noConversion"/>
  </si>
  <si>
    <t>unlock</t>
  </si>
  <si>
    <t>4</t>
  </si>
  <si>
    <t>森林鬼影</t>
    <phoneticPr fontId="1" type="noConversion"/>
  </si>
  <si>
    <t>亡者命运</t>
    <phoneticPr fontId="1" type="noConversion"/>
  </si>
  <si>
    <t>怀念过往</t>
    <phoneticPr fontId="1" type="noConversion"/>
  </si>
  <si>
    <t>火焰链接</t>
    <phoneticPr fontId="1" type="noConversion"/>
  </si>
  <si>
    <t>狂风链接</t>
    <phoneticPr fontId="1" type="noConversion"/>
  </si>
  <si>
    <t>大地链接</t>
    <phoneticPr fontId="1" type="noConversion"/>
  </si>
  <si>
    <t>诅咒豺狼</t>
    <phoneticPr fontId="1" type="noConversion"/>
  </si>
  <si>
    <t>诱导堕落</t>
    <phoneticPr fontId="1" type="noConversion"/>
  </si>
  <si>
    <t>奴役火焰</t>
    <phoneticPr fontId="1" type="noConversion"/>
  </si>
  <si>
    <t>贴身护卫</t>
    <phoneticPr fontId="1" type="noConversion"/>
  </si>
  <si>
    <t>忠诚之心</t>
    <phoneticPr fontId="1" type="noConversion"/>
  </si>
  <si>
    <t>黑暗兄弟会</t>
    <phoneticPr fontId="1" type="noConversion"/>
  </si>
  <si>
    <t>通缉豺狼怪</t>
    <phoneticPr fontId="1" type="noConversion"/>
  </si>
  <si>
    <t>除暴安良</t>
    <phoneticPr fontId="1" type="noConversion"/>
  </si>
  <si>
    <t>热诚之心</t>
    <phoneticPr fontId="1" type="noConversion"/>
  </si>
  <si>
    <t>守望者</t>
    <phoneticPr fontId="1" type="noConversion"/>
  </si>
  <si>
    <t>内部矛盾</t>
    <phoneticPr fontId="1" type="noConversion"/>
  </si>
  <si>
    <t>天才学徒</t>
    <phoneticPr fontId="1" type="noConversion"/>
  </si>
  <si>
    <t>不惧阴影</t>
    <phoneticPr fontId="1" type="noConversion"/>
  </si>
  <si>
    <t>烈阳之军</t>
    <phoneticPr fontId="1" type="noConversion"/>
  </si>
  <si>
    <t>0,0,0</t>
    <phoneticPr fontId="1" type="noConversion"/>
  </si>
  <si>
    <t>0</t>
  </si>
  <si>
    <t>10000</t>
  </si>
  <si>
    <t>colset_str</t>
    <phoneticPr fontId="1" type="noConversion"/>
  </si>
  <si>
    <t>ActorBone/c_n_004_01</t>
  </si>
  <si>
    <t>人类精英士兵，经过了多次战斗考验的忠诚战士。在战斗中是称职的好帮手。</t>
    <phoneticPr fontId="5" type="noConversion"/>
  </si>
  <si>
    <t>莫德雷斯曾是一位残暴的角斗士，成为亡灵之后，不死的身躯令他得到了更加强大的力量。</t>
    <phoneticPr fontId="1" type="noConversion"/>
  </si>
  <si>
    <t>拥有着大地之力的土元素，坚硬厚实的身躯令它很难被敌人杀死。</t>
    <phoneticPr fontId="5" type="noConversion"/>
  </si>
  <si>
    <t>操纵火焰之力的火元素，擅长使用威力惊人的炽热火焰灼烧敌人。</t>
    <phoneticPr fontId="5" type="noConversion"/>
  </si>
  <si>
    <t>掌控流动之风的风元素，擅长使用风来御敌或是纠缠敌人。</t>
    <phoneticPr fontId="5" type="noConversion"/>
  </si>
  <si>
    <t>松木林地的恶梦，强壮无比的拉格霍尔能够用它手中的巨斧轻易的撕开敌人，而且嗜血的它不会令任何人逃脱。</t>
    <phoneticPr fontId="5" type="noConversion"/>
  </si>
  <si>
    <t>身为诅咒教的首脑他精通大量的黑暗魔法，并且极具破坏力。除此之外他还会使用一些幻术令人昏睡。</t>
    <phoneticPr fontId="5" type="noConversion"/>
  </si>
  <si>
    <t>守护者格拉克茜的学徒，擅长使用冰系魔法的安娜可以帮助你在战场上快速制敌，并且可以在被袭击的情况下后发制人。</t>
    <phoneticPr fontId="1" type="noConversion"/>
  </si>
  <si>
    <t>露莉亚是月神忠实的信徒，所以她总能获得月神的眷顾，在战场上出奇制胜。</t>
    <phoneticPr fontId="1" type="noConversion"/>
  </si>
  <si>
    <t>格拉尔可以轻易驾驭大地和闪电的力量，释放各种威力强大的法术或是用图腾为友方治愈伤口。</t>
    <phoneticPr fontId="1" type="noConversion"/>
  </si>
  <si>
    <t>在背叛了自己的信仰之后，伊姆拉崔毫不犹豫的投入了死亡的怀抱。成为死亡骑士之后的伊姆拉崔将会令敌人陷入无尽的痛苦。</t>
    <phoneticPr fontId="5" type="noConversion"/>
  </si>
  <si>
    <t>被转化为女妖的精灵游侠，在夺回自己的身体之后变得更加强大。在她张开充斥着暗影之力的长弓时任何敌人都会胆寒。</t>
    <phoneticPr fontId="1" type="noConversion"/>
  </si>
  <si>
    <t>曾经信仰圣光身份高贵的国王之子，却因迷失在仇恨之中而堕落。在得到了神器冰霜之剑后成为了统领千万亡灵的黑暗君王，他就像阿瓦格拉斯的化身，将恐惧、绝望与死亡撒播到这个世界的各个角落。</t>
    <phoneticPr fontId="1" type="noConversion"/>
  </si>
  <si>
    <t>烈阳军团的首领，也是技艺高超的传奇战士。他的双臂会为友军带来庇护，而他的双刃亦会令敌人颤栗。</t>
    <phoneticPr fontId="1" type="noConversion"/>
  </si>
  <si>
    <t>沉迷黑暗魔法的蒂罗亚将自己的身体也献给了暗影，成为女妖之后的她更加擅长将伤害和痛苦施加给敌人。</t>
    <phoneticPr fontId="1" type="noConversion"/>
  </si>
  <si>
    <t>对王国心怀仇恨的盗贼之首，为了复仇不惜与诅咒教合伙入侵松木林地。擅长袭击，等敌人力竭之时在给予致命一击。</t>
    <phoneticPr fontId="5" type="noConversion"/>
  </si>
  <si>
    <t>为王国奉献一生的大伯爵，在王国的上层社会中极具名望。身经百战的他是你坚强可靠的护盾，如壁垒一般阻挡着敌人。</t>
    <phoneticPr fontId="1" type="noConversion"/>
  </si>
  <si>
    <t>她的心如利箭，在风中笔直地飞翔，她是游侠中最聪慧的勇士，也是精灵中最受敬爱的游侠领袖。</t>
    <phoneticPr fontId="1" type="noConversion"/>
  </si>
  <si>
    <t>冰冷无情的典狱长，同时也是追捕背叛者的猎人。在她如圆月般的利刃之下任何人都将为自己的背叛付出代价。</t>
    <phoneticPr fontId="1" type="noConversion"/>
  </si>
  <si>
    <t>力量深不可测的魔法守护者，最早使用魔法的精灵，也是目前大陆上最强大的法师。</t>
    <phoneticPr fontId="1" type="noConversion"/>
  </si>
  <si>
    <t>第一个成为死亡骑士的人，掌控着强大的暗影之力。享受他人的苦难是他最大的乐趣，为此他会将最大的痛苦带给他的目标。</t>
    <phoneticPr fontId="1" type="noConversion"/>
  </si>
  <si>
    <t>破晓军团的首领，也是一位高贵圣洁的骑士。他会使用圣光庇护和治愈友军，而他手中重锤也会将敌人碾碎。</t>
    <phoneticPr fontId="1" type="noConversion"/>
  </si>
  <si>
    <t>琳娜是一位非常强大的法师，擅长投掷火球打击对手的她还掌握着极具毁灭力的高级火焰魔法。</t>
    <phoneticPr fontId="1" type="noConversion"/>
  </si>
  <si>
    <t>穆拉尼尔曾是圣光大教堂的继承者，但被欲望蒙蔽的他如今已经变成了血色十字的领导人，任何对他有异议的人都会被他残忍碾碎。</t>
    <phoneticPr fontId="1" type="noConversion"/>
  </si>
  <si>
    <t>血色十字的大检察官，负责审判异端以及亡灵。信阳圣光的她精通各类神圣魔法，但对于异端她也决不留情。</t>
    <phoneticPr fontId="1" type="noConversion"/>
  </si>
  <si>
    <t>ActorBone/c_n_011_01</t>
  </si>
  <si>
    <t>ActorBone/c_n_002_01</t>
  </si>
  <si>
    <t>[5897B5FF]女妖蒂罗亚[-]</t>
  </si>
  <si>
    <t>[5897B5FF]莫德雷斯[-]</t>
  </si>
  <si>
    <t>[BE71E8FF]拉格霍尔[-]</t>
  </si>
  <si>
    <t>[FF7800]安娜[-]</t>
  </si>
  <si>
    <t>[FF7800]黑暗君王[-]</t>
  </si>
  <si>
    <t>[FF7800]露莉亚[-]</t>
  </si>
  <si>
    <t>[FF7800]格拉尔[-]</t>
  </si>
  <si>
    <t>[FF7800]希瓦娜[-]</t>
  </si>
  <si>
    <t>[FF7800]伊姆拉崔[-]</t>
  </si>
  <si>
    <t>[FF7800]沃尔格斯[-]</t>
  </si>
  <si>
    <t>[FF7800]范克利刃[-]</t>
  </si>
  <si>
    <t>[FF7800]瓦伦[-]</t>
  </si>
  <si>
    <t>[FF7800]乌德尔[-]</t>
  </si>
  <si>
    <t>[FF7800]艾尔莉亚[-]</t>
  </si>
  <si>
    <t>[FF7800]月影莎娜[-]</t>
  </si>
  <si>
    <t>[FF7800]戈隆塔[-]</t>
  </si>
  <si>
    <t>[FF7800]艾伦米尔[-]</t>
  </si>
  <si>
    <t>[FF7800]琳娜[-]</t>
  </si>
  <si>
    <t>[FF7800]穆拉尼尔[-]</t>
  </si>
  <si>
    <t>[FF7800]狄亚娜[-]</t>
  </si>
  <si>
    <t>966,967,968,969</t>
    <phoneticPr fontId="1" type="noConversion"/>
  </si>
  <si>
    <t>996,997,998,999</t>
    <phoneticPr fontId="1" type="noConversion"/>
  </si>
  <si>
    <t>731,732,733,734</t>
    <phoneticPr fontId="1" type="noConversion"/>
  </si>
  <si>
    <t>重剑步兵</t>
  </si>
  <si>
    <t>女妖蒂罗亚</t>
  </si>
  <si>
    <t>莫德雷斯</t>
  </si>
  <si>
    <t>土元素</t>
  </si>
  <si>
    <t>火元素</t>
  </si>
  <si>
    <t>拉格霍尔</t>
  </si>
  <si>
    <t>安娜</t>
  </si>
  <si>
    <t>黑暗君王</t>
  </si>
  <si>
    <t>露莉亚</t>
  </si>
  <si>
    <t>格拉尔</t>
  </si>
  <si>
    <t>希瓦娜</t>
  </si>
  <si>
    <t>伊姆拉崔</t>
  </si>
  <si>
    <t>沃尔格斯</t>
  </si>
  <si>
    <t>范克利刃</t>
  </si>
  <si>
    <t>瓦伦</t>
  </si>
  <si>
    <t>乌德尔</t>
  </si>
  <si>
    <t>艾尔莉亚</t>
  </si>
  <si>
    <t>月影莎娜</t>
  </si>
  <si>
    <t>格拉克茜</t>
  </si>
  <si>
    <t>戈隆塔</t>
  </si>
  <si>
    <t>艾伦米尔</t>
  </si>
  <si>
    <t>琳娜</t>
  </si>
  <si>
    <t>穆拉尼尔</t>
  </si>
  <si>
    <t>狄亚娜</t>
  </si>
  <si>
    <t>servername</t>
    <phoneticPr fontId="1" type="noConversion"/>
  </si>
  <si>
    <t>servername</t>
    <phoneticPr fontId="1" type="noConversion"/>
  </si>
  <si>
    <t>petname</t>
    <phoneticPr fontId="1" type="noConversion"/>
  </si>
  <si>
    <t>0,0.46,2.07</t>
    <phoneticPr fontId="1" type="noConversion"/>
  </si>
  <si>
    <t>0,10,0</t>
    <phoneticPr fontId="1" type="noConversion"/>
  </si>
  <si>
    <t>i_h_019c</t>
    <phoneticPr fontId="1" type="noConversion"/>
  </si>
  <si>
    <t>i_h_004c</t>
    <phoneticPr fontId="1" type="noConversion"/>
  </si>
  <si>
    <t>i_h_010c</t>
    <phoneticPr fontId="1" type="noConversion"/>
  </si>
  <si>
    <t>i_h_012c</t>
    <phoneticPr fontId="1" type="noConversion"/>
  </si>
  <si>
    <t>i_h_015c</t>
    <phoneticPr fontId="1" type="noConversion"/>
  </si>
  <si>
    <t>i_h_006c</t>
    <phoneticPr fontId="1" type="noConversion"/>
  </si>
  <si>
    <t>i_h_003c</t>
    <phoneticPr fontId="1" type="noConversion"/>
  </si>
  <si>
    <t>i_h_018c</t>
    <phoneticPr fontId="1" type="noConversion"/>
  </si>
  <si>
    <t>i_h_005c</t>
    <phoneticPr fontId="1" type="noConversion"/>
  </si>
  <si>
    <t>i_h_017c</t>
    <phoneticPr fontId="1" type="noConversion"/>
  </si>
  <si>
    <t>showProp</t>
    <phoneticPr fontId="1" type="noConversion"/>
  </si>
  <si>
    <t>排序规则</t>
    <phoneticPr fontId="1" type="noConversion"/>
  </si>
  <si>
    <t>modelScale</t>
    <phoneticPr fontId="1" type="noConversion"/>
  </si>
  <si>
    <t>string</t>
    <phoneticPr fontId="1" type="noConversion"/>
  </si>
  <si>
    <t>int</t>
    <phoneticPr fontId="1" type="noConversion"/>
  </si>
  <si>
    <t>indexId</t>
    <phoneticPr fontId="1" type="noConversion"/>
  </si>
  <si>
    <t>灵魂连接最大战力</t>
    <phoneticPr fontId="1" type="noConversion"/>
  </si>
  <si>
    <t>最大消耗（rmb）</t>
    <phoneticPr fontId="1" type="noConversion"/>
  </si>
  <si>
    <t>（羁绊卷轴+魂石价格）</t>
    <phoneticPr fontId="1" type="noConversion"/>
  </si>
  <si>
    <t>性价比</t>
    <phoneticPr fontId="1" type="noConversion"/>
  </si>
  <si>
    <t>ActorBone/c_n_008_01</t>
    <phoneticPr fontId="1" type="noConversion"/>
  </si>
  <si>
    <t>1</t>
    <phoneticPr fontId="1" type="noConversion"/>
  </si>
  <si>
    <t>1</t>
    <phoneticPr fontId="1" type="noConversion"/>
  </si>
  <si>
    <t>白银骑士的领袖，人们心中的圣光使者。他自己就是圣光的化身，他手中的圣光能令友军立于不败，也能令威慑敌人使之无心作战。</t>
    <phoneticPr fontId="1" type="noConversion"/>
  </si>
  <si>
    <t>716,717,718,719</t>
    <phoneticPr fontId="1" type="noConversion"/>
  </si>
  <si>
    <t>showGs</t>
    <phoneticPr fontId="1" type="noConversion"/>
  </si>
  <si>
    <t>战力/100*权重</t>
    <phoneticPr fontId="1" type="noConversion"/>
  </si>
  <si>
    <t>阿拉基</t>
    <phoneticPr fontId="1" type="noConversion"/>
  </si>
  <si>
    <t>长居北地的坚冰矮人氏族都是天生的战士，他们英勇善战，而尤格更是其中的佼佼者。这位矮人之王会用他的重锤横扫所有阻挠你的敌人。</t>
    <phoneticPr fontId="1" type="noConversion"/>
  </si>
  <si>
    <t>952|970</t>
    <phoneticPr fontId="3" type="noConversion"/>
  </si>
  <si>
    <t>ActorBone/c_m_007</t>
    <phoneticPr fontId="3" type="noConversion"/>
  </si>
  <si>
    <t>暴风尤格</t>
    <phoneticPr fontId="1" type="noConversion"/>
  </si>
  <si>
    <t>[FF7800]暴风尤格[-]</t>
    <phoneticPr fontId="1" type="noConversion"/>
  </si>
  <si>
    <t>i_h_705c</t>
  </si>
  <si>
    <t>1</t>
    <phoneticPr fontId="1" type="noConversion"/>
  </si>
  <si>
    <t>1.05</t>
    <phoneticPr fontId="1" type="noConversion"/>
  </si>
  <si>
    <t>2.5</t>
  </si>
  <si>
    <t>2.5</t>
    <phoneticPr fontId="1" type="noConversion"/>
  </si>
  <si>
    <t>2.5</t>
    <phoneticPr fontId="1" type="noConversion"/>
  </si>
  <si>
    <t>传说中的盗宝大王，地精的至高领袖。这个世界上没有维克斯得不到的东西，也因此有了得到维克斯就能得到整个世界的传说。</t>
    <phoneticPr fontId="1" type="noConversion"/>
  </si>
  <si>
    <t>ActorBone/c_m_004_b02</t>
    <phoneticPr fontId="3" type="noConversion"/>
  </si>
  <si>
    <t>ActorBone/c_m_013_b01</t>
    <phoneticPr fontId="3" type="noConversion"/>
  </si>
  <si>
    <t>ActorBone/c_m_014_b01</t>
    <phoneticPr fontId="3" type="noConversion"/>
  </si>
  <si>
    <t>1008</t>
    <phoneticPr fontId="3" type="noConversion"/>
  </si>
  <si>
    <t>Bip001</t>
    <phoneticPr fontId="3" type="noConversion"/>
  </si>
  <si>
    <t>ActorBone/c_b_016_01</t>
    <phoneticPr fontId="3" type="noConversion"/>
  </si>
  <si>
    <t>强大的恶魔守卫之王，他的拳头能够粉碎任何企图阻止他的敌人。</t>
    <phoneticPr fontId="1" type="noConversion"/>
  </si>
  <si>
    <t>[FF7800]维克斯[-]</t>
    <phoneticPr fontId="1" type="noConversion"/>
  </si>
  <si>
    <t>[FF7800]诺萨尼尔[-]</t>
    <phoneticPr fontId="1" type="noConversion"/>
  </si>
  <si>
    <t>诺萨尼尔</t>
  </si>
  <si>
    <t>[FF7800]扎克[-]</t>
    <phoneticPr fontId="1" type="noConversion"/>
  </si>
  <si>
    <t>i_h_713c</t>
    <phoneticPr fontId="3" type="noConversion"/>
  </si>
  <si>
    <t>I_H_022b</t>
    <phoneticPr fontId="3" type="noConversion"/>
  </si>
  <si>
    <t>尤狄恩</t>
    <phoneticPr fontId="1" type="noConversion"/>
  </si>
  <si>
    <t>尤狄恩丹曾是一个高贵的精灵，为了应对源源不断的恶魔他牺牲了一切，但同时也获得了无上的力量。</t>
    <phoneticPr fontId="1" type="noConversion"/>
  </si>
  <si>
    <t>恶魔大领主扎克曾令无数个世界在他的力量下沦陷，他的法术能令任何敌人化为灰烬。</t>
    <phoneticPr fontId="1" type="noConversion"/>
  </si>
  <si>
    <t>[FF7800]尤狄恩[-]</t>
    <phoneticPr fontId="1" type="noConversion"/>
  </si>
  <si>
    <t>page</t>
    <phoneticPr fontId="1" type="noConversion"/>
  </si>
  <si>
    <t>orderopen</t>
    <phoneticPr fontId="1" type="noConversion"/>
  </si>
  <si>
    <t>海德提斯</t>
    <phoneticPr fontId="1" type="noConversion"/>
  </si>
  <si>
    <t>海德提斯是强大的潮汐战士，无论是身手多么灵巧的敌人在他的潮汐之力面前也都会变得迟缓。</t>
    <phoneticPr fontId="1" type="noConversion"/>
  </si>
  <si>
    <t>i_h_714c</t>
    <phoneticPr fontId="3" type="noConversion"/>
  </si>
  <si>
    <t>[BE71E8FF]海德提斯[-]</t>
    <phoneticPr fontId="1" type="noConversion"/>
  </si>
  <si>
    <t>3</t>
    <phoneticPr fontId="1" type="noConversion"/>
  </si>
  <si>
    <t>0.85</t>
    <phoneticPr fontId="1" type="noConversion"/>
  </si>
  <si>
    <t>761,762,763,764</t>
    <phoneticPr fontId="1" type="noConversion"/>
  </si>
  <si>
    <t>[FF7800]格拉克茜[-]</t>
    <phoneticPr fontId="1" type="noConversion"/>
  </si>
  <si>
    <t>[BE71E8FF]阿拉基[-]</t>
    <phoneticPr fontId="1" type="noConversion"/>
  </si>
  <si>
    <t>15</t>
  </si>
  <si>
    <t>15</t>
    <phoneticPr fontId="1" type="noConversion"/>
  </si>
  <si>
    <t>2</t>
  </si>
  <si>
    <t>8</t>
  </si>
  <si>
    <t>8</t>
    <phoneticPr fontId="3" type="noConversion"/>
  </si>
  <si>
    <t>IDLE</t>
    <phoneticPr fontId="1" type="noConversion"/>
  </si>
  <si>
    <t>BATTLE</t>
    <phoneticPr fontId="1" type="noConversion"/>
  </si>
  <si>
    <t>30811|30812</t>
    <phoneticPr fontId="1" type="noConversion"/>
  </si>
  <si>
    <t>30806|30804|30807</t>
    <phoneticPr fontId="1" type="noConversion"/>
  </si>
  <si>
    <t>英雄类型修正系数</t>
  </si>
  <si>
    <t>攻击力</t>
  </si>
  <si>
    <t>防御力</t>
  </si>
  <si>
    <t>生命值</t>
  </si>
  <si>
    <t>战士型</t>
  </si>
  <si>
    <t>刺杀型</t>
  </si>
  <si>
    <t>辅助型</t>
  </si>
  <si>
    <t>档次（挂机项目）</t>
    <phoneticPr fontId="1" type="noConversion"/>
  </si>
  <si>
    <t>2</t>
    <phoneticPr fontId="1" type="noConversion"/>
  </si>
  <si>
    <t>quility</t>
    <phoneticPr fontId="1" type="noConversion"/>
  </si>
  <si>
    <t>itemid</t>
    <phoneticPr fontId="1" type="noConversion"/>
  </si>
  <si>
    <t>9015</t>
    <phoneticPr fontId="1" type="noConversion"/>
  </si>
  <si>
    <t>9016</t>
    <phoneticPr fontId="1" type="noConversion"/>
  </si>
  <si>
    <t>9017</t>
    <phoneticPr fontId="1" type="noConversion"/>
  </si>
  <si>
    <t>9005</t>
    <phoneticPr fontId="1" type="noConversion"/>
  </si>
  <si>
    <t>9018</t>
    <phoneticPr fontId="1" type="noConversion"/>
  </si>
  <si>
    <t>9019</t>
    <phoneticPr fontId="1" type="noConversion"/>
  </si>
  <si>
    <t>9020</t>
    <phoneticPr fontId="1" type="noConversion"/>
  </si>
  <si>
    <t>9021</t>
    <phoneticPr fontId="1" type="noConversion"/>
  </si>
  <si>
    <t>9022</t>
    <phoneticPr fontId="1" type="noConversion"/>
  </si>
  <si>
    <t>9001</t>
    <phoneticPr fontId="1" type="noConversion"/>
  </si>
  <si>
    <t>9002</t>
    <phoneticPr fontId="1" type="noConversion"/>
  </si>
  <si>
    <t>9008</t>
    <phoneticPr fontId="1" type="noConversion"/>
  </si>
  <si>
    <t>9006</t>
    <phoneticPr fontId="1" type="noConversion"/>
  </si>
  <si>
    <t>9004</t>
    <phoneticPr fontId="1" type="noConversion"/>
  </si>
  <si>
    <t>9024</t>
    <phoneticPr fontId="1" type="noConversion"/>
  </si>
  <si>
    <t>9014</t>
    <phoneticPr fontId="1" type="noConversion"/>
  </si>
  <si>
    <t>9007</t>
    <phoneticPr fontId="1" type="noConversion"/>
  </si>
  <si>
    <t>9010</t>
    <phoneticPr fontId="1" type="noConversion"/>
  </si>
  <si>
    <t>9012</t>
    <phoneticPr fontId="1" type="noConversion"/>
  </si>
  <si>
    <t>9003</t>
    <phoneticPr fontId="1" type="noConversion"/>
  </si>
  <si>
    <t>9013</t>
    <phoneticPr fontId="1" type="noConversion"/>
  </si>
  <si>
    <t>9027</t>
    <phoneticPr fontId="1" type="noConversion"/>
  </si>
  <si>
    <t>9029</t>
    <phoneticPr fontId="1" type="noConversion"/>
  </si>
  <si>
    <t>9033</t>
    <phoneticPr fontId="1" type="noConversion"/>
  </si>
  <si>
    <t>维克斯</t>
    <phoneticPr fontId="1" type="noConversion"/>
  </si>
  <si>
    <t>扎克</t>
    <phoneticPr fontId="1" type="noConversion"/>
  </si>
  <si>
    <t>9030</t>
    <phoneticPr fontId="1" type="noConversion"/>
  </si>
  <si>
    <t>9031</t>
    <phoneticPr fontId="1" type="noConversion"/>
  </si>
  <si>
    <t>9032</t>
    <phoneticPr fontId="1" type="noConversion"/>
  </si>
  <si>
    <t>14</t>
  </si>
  <si>
    <t>19</t>
  </si>
  <si>
    <t>21</t>
  </si>
  <si>
    <t>23</t>
  </si>
  <si>
    <t>27</t>
  </si>
  <si>
    <t>一级成长晶石</t>
    <phoneticPr fontId="1" type="noConversion"/>
  </si>
  <si>
    <t>二级成长晶石</t>
    <phoneticPr fontId="1" type="noConversion"/>
  </si>
  <si>
    <t>三级成长晶石</t>
    <phoneticPr fontId="1" type="noConversion"/>
  </si>
  <si>
    <t>level</t>
    <phoneticPr fontId="1" type="noConversion"/>
  </si>
  <si>
    <t>exp</t>
    <phoneticPr fontId="1" type="noConversion"/>
  </si>
  <si>
    <t>一级晶石数量</t>
    <phoneticPr fontId="1" type="noConversion"/>
  </si>
  <si>
    <t>二级晶石数量</t>
    <phoneticPr fontId="1" type="noConversion"/>
  </si>
  <si>
    <t>三级晶石数量</t>
    <phoneticPr fontId="1" type="noConversion"/>
  </si>
  <si>
    <t>3</t>
    <phoneticPr fontId="1" type="noConversion"/>
  </si>
  <si>
    <t>4</t>
    <phoneticPr fontId="1" type="noConversion"/>
  </si>
  <si>
    <t>i_h_020b_new</t>
    <phoneticPr fontId="1" type="noConversion"/>
  </si>
  <si>
    <t>I_H_023b</t>
    <phoneticPr fontId="3" type="noConversion"/>
  </si>
  <si>
    <t>I_H_024b</t>
    <phoneticPr fontId="3" type="noConversion"/>
  </si>
  <si>
    <t>0.05,0.236,2.2</t>
    <phoneticPr fontId="1" type="noConversion"/>
  </si>
  <si>
    <t>0,-29.47,0</t>
    <phoneticPr fontId="1" type="noConversion"/>
  </si>
  <si>
    <t>0,0,0</t>
    <phoneticPr fontId="1" type="noConversion"/>
  </si>
  <si>
    <t>0.153,0.085,2.4</t>
    <phoneticPr fontId="1" type="noConversion"/>
  </si>
  <si>
    <t>3.5</t>
    <phoneticPr fontId="1" type="noConversion"/>
  </si>
  <si>
    <t>3.5</t>
    <phoneticPr fontId="1" type="noConversion"/>
  </si>
  <si>
    <t>2.5</t>
    <phoneticPr fontId="1" type="noConversion"/>
  </si>
  <si>
    <t>3</t>
    <phoneticPr fontId="1" type="noConversion"/>
  </si>
  <si>
    <t>0.05,0.026,3.7</t>
    <phoneticPr fontId="1" type="noConversion"/>
  </si>
  <si>
    <t>3.8</t>
    <phoneticPr fontId="1" type="noConversion"/>
  </si>
  <si>
    <t>0.143,0.142,3.86</t>
    <phoneticPr fontId="1" type="noConversion"/>
  </si>
  <si>
    <t>0.02,0.048,3.37</t>
    <phoneticPr fontId="1" type="noConversion"/>
  </si>
  <si>
    <t>0.05,0.044,2.6</t>
    <phoneticPr fontId="1" type="noConversion"/>
  </si>
  <si>
    <t>0,11.46,0</t>
    <phoneticPr fontId="1" type="noConversion"/>
  </si>
  <si>
    <t>0.02,0.084,2.6</t>
    <phoneticPr fontId="1" type="noConversion"/>
  </si>
  <si>
    <t>0,0.107,2.39</t>
    <phoneticPr fontId="1" type="noConversion"/>
  </si>
  <si>
    <t>0,13.89,0</t>
    <phoneticPr fontId="1" type="noConversion"/>
  </si>
  <si>
    <t>0.05,0.131,2.65</t>
    <phoneticPr fontId="1" type="noConversion"/>
  </si>
  <si>
    <t>0.05,-0.043,3.40</t>
    <phoneticPr fontId="1" type="noConversion"/>
  </si>
  <si>
    <t>0.193,-0.078,4</t>
    <phoneticPr fontId="1" type="noConversion"/>
  </si>
  <si>
    <t>0,15.62,0</t>
    <phoneticPr fontId="1" type="noConversion"/>
  </si>
  <si>
    <t>0.073,-0.16,3</t>
    <phoneticPr fontId="1" type="noConversion"/>
  </si>
  <si>
    <t>0,11.57,0</t>
    <phoneticPr fontId="1" type="noConversion"/>
  </si>
  <si>
    <t>0.147,0.334,2.36</t>
    <phoneticPr fontId="1" type="noConversion"/>
  </si>
  <si>
    <t>0,16.58,0</t>
    <phoneticPr fontId="1" type="noConversion"/>
  </si>
  <si>
    <t>0.168,0.1,3.20</t>
    <phoneticPr fontId="1" type="noConversion"/>
  </si>
  <si>
    <t>0,3.81,0</t>
    <phoneticPr fontId="1" type="noConversion"/>
  </si>
  <si>
    <t>0,9.499999,0</t>
    <phoneticPr fontId="1" type="noConversion"/>
  </si>
  <si>
    <t>0,0.251,2.61</t>
    <phoneticPr fontId="1" type="noConversion"/>
  </si>
  <si>
    <t>0,19,0</t>
    <phoneticPr fontId="1" type="noConversion"/>
  </si>
  <si>
    <t>0.04,0.046,2.57</t>
    <phoneticPr fontId="1" type="noConversion"/>
  </si>
  <si>
    <t>0,19.16,0</t>
    <phoneticPr fontId="1" type="noConversion"/>
  </si>
  <si>
    <t>0,0.289,2.55</t>
    <phoneticPr fontId="1" type="noConversion"/>
  </si>
  <si>
    <t>0,9.050001,0</t>
    <phoneticPr fontId="1" type="noConversion"/>
  </si>
  <si>
    <t>0,6.400001,0</t>
    <phoneticPr fontId="1" type="noConversion"/>
  </si>
  <si>
    <t>0,9.36,0</t>
    <phoneticPr fontId="1" type="noConversion"/>
  </si>
  <si>
    <t>0.181,0.262,2.60</t>
    <phoneticPr fontId="1" type="noConversion"/>
  </si>
  <si>
    <t>0.077,0.141,2.5</t>
    <phoneticPr fontId="1" type="noConversion"/>
  </si>
  <si>
    <t>0,16.41,0</t>
    <phoneticPr fontId="1" type="noConversion"/>
  </si>
  <si>
    <t>0.042,0.34,3.02</t>
    <phoneticPr fontId="1" type="noConversion"/>
  </si>
  <si>
    <t>0,7.630002,0</t>
    <phoneticPr fontId="1" type="noConversion"/>
  </si>
  <si>
    <t>0,6.900001,0</t>
    <phoneticPr fontId="1" type="noConversion"/>
  </si>
  <si>
    <t>0.05,0.111,2.5</t>
    <phoneticPr fontId="1" type="noConversion"/>
  </si>
  <si>
    <t>-0.229,-0.112,4</t>
    <phoneticPr fontId="1" type="noConversion"/>
  </si>
  <si>
    <t>0,17.79,0</t>
    <phoneticPr fontId="1" type="noConversion"/>
  </si>
  <si>
    <t>0,21,0</t>
    <phoneticPr fontId="1" type="noConversion"/>
  </si>
  <si>
    <t>0,18.7,0</t>
    <phoneticPr fontId="1" type="noConversion"/>
  </si>
  <si>
    <t>0.172,0,3.5</t>
    <phoneticPr fontId="1" type="noConversion"/>
  </si>
  <si>
    <t>0.12,0.1,2.5</t>
    <phoneticPr fontId="1" type="noConversion"/>
  </si>
  <si>
    <t>0,9.1,0</t>
    <phoneticPr fontId="1" type="noConversion"/>
  </si>
  <si>
    <t>0.009,0.152,2.4</t>
    <phoneticPr fontId="1" type="noConversion"/>
  </si>
  <si>
    <t>0.188,0,2.60</t>
    <phoneticPr fontId="1" type="noConversion"/>
  </si>
  <si>
    <t>0,13.8,0</t>
    <phoneticPr fontId="1" type="noConversion"/>
  </si>
  <si>
    <t>0.05,0.139,2.36</t>
    <phoneticPr fontId="1" type="noConversion"/>
  </si>
  <si>
    <t>升级时长</t>
    <phoneticPr fontId="1" type="noConversion"/>
  </si>
  <si>
    <t>总时长</t>
    <phoneticPr fontId="1" type="noConversion"/>
  </si>
  <si>
    <t>日均一级产量</t>
    <phoneticPr fontId="1" type="noConversion"/>
  </si>
  <si>
    <t>日均二级</t>
    <phoneticPr fontId="1" type="noConversion"/>
  </si>
  <si>
    <t>日均三级</t>
    <phoneticPr fontId="1" type="noConversion"/>
  </si>
  <si>
    <t>30010201,30010202</t>
    <phoneticPr fontId="1" type="noConversion"/>
  </si>
  <si>
    <t>30020201,30020202</t>
    <phoneticPr fontId="1" type="noConversion"/>
  </si>
  <si>
    <t>40010201,40010202,40010203</t>
    <phoneticPr fontId="1" type="noConversion"/>
  </si>
  <si>
    <t>40020201,40020202,40020203</t>
    <phoneticPr fontId="1" type="noConversion"/>
  </si>
  <si>
    <t>40030201,40030202,40030203</t>
    <phoneticPr fontId="1" type="noConversion"/>
  </si>
  <si>
    <t>40040201,40040202,40040203</t>
    <phoneticPr fontId="1" type="noConversion"/>
  </si>
  <si>
    <t>50010201,50010202,50010203,50010204</t>
    <phoneticPr fontId="1" type="noConversion"/>
  </si>
  <si>
    <t>19</t>
    <phoneticPr fontId="1" type="noConversion"/>
  </si>
  <si>
    <t>30030201,30030202</t>
    <phoneticPr fontId="1" type="noConversion"/>
  </si>
  <si>
    <t>30050201,30050202</t>
    <phoneticPr fontId="1" type="noConversion"/>
  </si>
  <si>
    <t>30060201,30060202</t>
    <phoneticPr fontId="1" type="noConversion"/>
  </si>
  <si>
    <t>30040201,30040202</t>
    <phoneticPr fontId="1" type="noConversion"/>
  </si>
  <si>
    <t>40050201,40050202,40050203</t>
    <phoneticPr fontId="1" type="noConversion"/>
  </si>
  <si>
    <t>40080201,40080202,40080203</t>
    <phoneticPr fontId="5" type="noConversion"/>
  </si>
  <si>
    <t>50020201,50020202,50020203,50020204</t>
    <phoneticPr fontId="5" type="noConversion"/>
  </si>
  <si>
    <t>40090201,40090202,40090203</t>
    <phoneticPr fontId="5" type="noConversion"/>
  </si>
  <si>
    <t>40100201,40100202,40100203</t>
    <phoneticPr fontId="5" type="noConversion"/>
  </si>
  <si>
    <t>50040201,50040202,50040203,50040204</t>
    <phoneticPr fontId="5" type="noConversion"/>
  </si>
  <si>
    <t>40060201,40060202,40060203</t>
    <phoneticPr fontId="1" type="noConversion"/>
  </si>
  <si>
    <t>40070201,40070202,40070203</t>
    <phoneticPr fontId="5" type="noConversion"/>
  </si>
  <si>
    <t>40110201,40110202,40110203</t>
    <phoneticPr fontId="5" type="noConversion"/>
  </si>
  <si>
    <t>50030201,50030202,50030203,50030204</t>
    <phoneticPr fontId="5" type="noConversion"/>
  </si>
  <si>
    <t>filiationId</t>
    <phoneticPr fontId="1" type="noConversion"/>
  </si>
  <si>
    <t>level</t>
    <phoneticPr fontId="1" type="noConversion"/>
  </si>
  <si>
    <t>propType</t>
    <phoneticPr fontId="1" type="noConversion"/>
  </si>
  <si>
    <t>PropVal</t>
    <phoneticPr fontId="1" type="noConversion"/>
  </si>
  <si>
    <t>requireTargetLevel</t>
    <phoneticPr fontId="1" type="noConversion"/>
  </si>
  <si>
    <t>requireTargetStarNum</t>
    <phoneticPr fontId="1" type="noConversion"/>
  </si>
  <si>
    <t>upgradeItemType</t>
    <phoneticPr fontId="1" type="noConversion"/>
  </si>
  <si>
    <t>itemNum</t>
    <phoneticPr fontId="1" type="noConversion"/>
  </si>
  <si>
    <t>gs</t>
    <phoneticPr fontId="1" type="noConversion"/>
  </si>
  <si>
    <t>本体</t>
    <phoneticPr fontId="1" type="noConversion"/>
  </si>
  <si>
    <t>目标</t>
    <phoneticPr fontId="1" type="noConversion"/>
  </si>
  <si>
    <t>类型</t>
    <phoneticPr fontId="1" type="noConversion"/>
  </si>
  <si>
    <t>属性</t>
    <phoneticPr fontId="1" type="noConversion"/>
  </si>
  <si>
    <t>佣兵初始数值*激活佣兵类型，对应属性修正*羁绊等级修正</t>
    <phoneticPr fontId="1" type="noConversion"/>
  </si>
  <si>
    <t>战斗</t>
    <phoneticPr fontId="5" type="noConversion"/>
  </si>
  <si>
    <t>刺杀</t>
    <phoneticPr fontId="5" type="noConversion"/>
  </si>
  <si>
    <t>辅助</t>
    <phoneticPr fontId="5" type="noConversion"/>
  </si>
  <si>
    <t>算法：</t>
    <phoneticPr fontId="1" type="noConversion"/>
  </si>
  <si>
    <t>（战力+1000）*10/200</t>
    <phoneticPr fontId="1" type="noConversion"/>
  </si>
  <si>
    <t>战斗</t>
  </si>
  <si>
    <t>刺杀</t>
  </si>
  <si>
    <t>辅助</t>
  </si>
  <si>
    <t>尤狄恩</t>
  </si>
  <si>
    <t>扎克</t>
  </si>
  <si>
    <t>暴风尤格</t>
  </si>
  <si>
    <t>维克斯</t>
  </si>
  <si>
    <t>肮脏交易</t>
    <phoneticPr fontId="1" type="noConversion"/>
  </si>
  <si>
    <t>敬仰导师</t>
    <phoneticPr fontId="1" type="noConversion"/>
  </si>
  <si>
    <t>守护者的眷顾</t>
    <phoneticPr fontId="1" type="noConversion"/>
  </si>
  <si>
    <t>天灾爪牙</t>
    <phoneticPr fontId="1" type="noConversion"/>
  </si>
  <si>
    <t>守护者的噩梦</t>
    <phoneticPr fontId="1" type="noConversion"/>
  </si>
  <si>
    <t>痛苦奴仆</t>
    <phoneticPr fontId="1" type="noConversion"/>
  </si>
  <si>
    <t>新老酋长</t>
    <phoneticPr fontId="1" type="noConversion"/>
  </si>
  <si>
    <t>御用传送师</t>
    <phoneticPr fontId="1" type="noConversion"/>
  </si>
  <si>
    <t>辅佐之臣</t>
    <phoneticPr fontId="1" type="noConversion"/>
  </si>
  <si>
    <t>白银骑士团</t>
    <phoneticPr fontId="1" type="noConversion"/>
  </si>
  <si>
    <t>虔诚伙伴</t>
    <phoneticPr fontId="1" type="noConversion"/>
  </si>
  <si>
    <t>内部矛盾</t>
    <phoneticPr fontId="1" type="noConversion"/>
  </si>
  <si>
    <t>复仇之魂</t>
    <phoneticPr fontId="1" type="noConversion"/>
  </si>
  <si>
    <t>贴身护卫</t>
    <phoneticPr fontId="1" type="noConversion"/>
  </si>
  <si>
    <t>耀眼烈阳</t>
    <phoneticPr fontId="1" type="noConversion"/>
  </si>
  <si>
    <t>破晓之光</t>
    <phoneticPr fontId="1" type="noConversion"/>
  </si>
  <si>
    <t>破晓之军</t>
    <phoneticPr fontId="1" type="noConversion"/>
  </si>
  <si>
    <t>真挚之心</t>
    <phoneticPr fontId="1" type="noConversion"/>
  </si>
  <si>
    <t>圣光导师</t>
    <phoneticPr fontId="1" type="noConversion"/>
  </si>
  <si>
    <t>贴身护卫</t>
    <phoneticPr fontId="1" type="noConversion"/>
  </si>
  <si>
    <t>掌握火焰</t>
    <phoneticPr fontId="1" type="noConversion"/>
  </si>
  <si>
    <t>天才对决</t>
    <phoneticPr fontId="1" type="noConversion"/>
  </si>
  <si>
    <t>血色军团</t>
    <phoneticPr fontId="1" type="noConversion"/>
  </si>
  <si>
    <t>永恒思念</t>
    <phoneticPr fontId="1" type="noConversion"/>
  </si>
  <si>
    <t>冰火碰撞</t>
    <phoneticPr fontId="1" type="noConversion"/>
  </si>
  <si>
    <t>无尽追猎</t>
    <phoneticPr fontId="1" type="noConversion"/>
  </si>
  <si>
    <t>恶魔仆从</t>
    <phoneticPr fontId="1" type="noConversion"/>
  </si>
  <si>
    <t>燃烧裂变</t>
    <phoneticPr fontId="1" type="noConversion"/>
  </si>
  <si>
    <t>恶魔军团</t>
    <phoneticPr fontId="1" type="noConversion"/>
  </si>
  <si>
    <t>邪恶诱导</t>
    <phoneticPr fontId="1" type="noConversion"/>
  </si>
  <si>
    <t>瓦解防线</t>
    <phoneticPr fontId="1" type="noConversion"/>
  </si>
  <si>
    <t>瓦解大地</t>
    <phoneticPr fontId="1" type="noConversion"/>
  </si>
  <si>
    <t>末日之战</t>
    <phoneticPr fontId="1" type="noConversion"/>
  </si>
  <si>
    <t>恶魔军团</t>
    <phoneticPr fontId="1" type="noConversion"/>
  </si>
  <si>
    <t>奴役死灵</t>
    <phoneticPr fontId="1" type="noConversion"/>
  </si>
  <si>
    <t>奴役亡灵</t>
    <phoneticPr fontId="1" type="noConversion"/>
  </si>
  <si>
    <t>黑暗之主</t>
    <phoneticPr fontId="1" type="noConversion"/>
  </si>
  <si>
    <t>往日记忆</t>
    <phoneticPr fontId="1" type="noConversion"/>
  </si>
  <si>
    <t>冰霜卫士</t>
    <phoneticPr fontId="1" type="noConversion"/>
  </si>
  <si>
    <t>大地之灵</t>
    <phoneticPr fontId="1" type="noConversion"/>
  </si>
  <si>
    <t>钢铁同盟</t>
    <phoneticPr fontId="1" type="noConversion"/>
  </si>
  <si>
    <t>死灵贸易</t>
    <phoneticPr fontId="1" type="noConversion"/>
  </si>
  <si>
    <t>兽人贸易</t>
    <phoneticPr fontId="1" type="noConversion"/>
  </si>
  <si>
    <t>人族贸易</t>
    <phoneticPr fontId="1" type="noConversion"/>
  </si>
  <si>
    <t>精灵贸易</t>
    <phoneticPr fontId="1" type="noConversion"/>
  </si>
  <si>
    <t>破晓贸易</t>
    <phoneticPr fontId="1" type="noConversion"/>
  </si>
  <si>
    <t>烈阳贸易</t>
    <phoneticPr fontId="1" type="noConversion"/>
  </si>
  <si>
    <t>地下黑市</t>
    <phoneticPr fontId="1" type="noConversion"/>
  </si>
  <si>
    <t>黑暗贸易</t>
    <phoneticPr fontId="1" type="noConversion"/>
  </si>
  <si>
    <t>恶魔贸易</t>
    <phoneticPr fontId="1" type="noConversion"/>
  </si>
  <si>
    <t>贸易合作</t>
    <phoneticPr fontId="1" type="noConversion"/>
  </si>
  <si>
    <t>num</t>
    <phoneticPr fontId="1" type="noConversion"/>
  </si>
  <si>
    <t>101,310|102,124|103,155|104,3100|106,155|108,155|109,155|110,155|112,155|113,155|115,155|116,620</t>
  </si>
  <si>
    <t>101,338|102,136|103,169|104,3376|106,169|108,169|109,169|110,169|112,169|113,169|115,169|116,676</t>
  </si>
  <si>
    <t>101,401|102,161|103,201|104,4004|106,201|108,201|109,201|110,201|112,201|113,201|115,201|116,801</t>
  </si>
  <si>
    <t>101,436|102,175|103,218|104,4360|106,218|108,218|109,218|110,218|112,218|113,218|115,218|116,872</t>
  </si>
  <si>
    <t>101,475|102,190|103,238|104,4748|106,238|108,238|109,238|110,238|112,238|113,238|115,238|116,950</t>
  </si>
  <si>
    <t>101,614|102,246|103,307|104,6132|106,307|108,307|109,307|110,307|112,307|113,307|115,307|116,1227</t>
  </si>
  <si>
    <t>101,792|102,317|103,396|104,7919|106,396|108,396|109,396|110,396|112,396|113,396|115,396|116,1584</t>
  </si>
  <si>
    <t>101,368|102,148|103,184|104,3676|106,184|108,184|109,184|110,184|112,184|113,184|115,184|116,736</t>
  </si>
  <si>
    <t>101,668|102,268|103,334|104,6677|106,334|108,334|109,334|110,334|112,334|113,334|115,334|116,1336</t>
  </si>
  <si>
    <t>101,240|102,96|103,120|104,2400|106,120|108,120|109,120|110,120|112,120|113,120|115,120|116,480</t>
  </si>
  <si>
    <t>101,563|102,226|103,282|104,5630|106,282|108,282|109,282|110,282|112,282|113,282|115,282|116,1126</t>
  </si>
  <si>
    <t>101,517|102,207|103,259|104,5170|106,259|108,259|109,259|110,259|112,259|113,259|115,259|116,1034</t>
  </si>
  <si>
    <t>101,728|102,291|103,364|104,7272|106,364|108,364|109,364|110,364|112,364|113,364|115,364|116,1455</t>
  </si>
  <si>
    <t>101,496|102,224|103,78|104,3720|106,78|108,78|109,775|110,78|112,78|113,78|115,78|116,78</t>
  </si>
  <si>
    <t>101,542|102,245|103,85|104,4052|106,85|108,85|109,844|110,85|112,85|113,85|115,85|116,85</t>
  </si>
  <si>
    <t>101,642|102,290|103,101|104,4805|106,101|108,101|109,1001|110,101|112,101|113,101|115,101|116,101</t>
  </si>
  <si>
    <t>101,699|102,315|103,109|104,5232|106,109|108,109|109,1090|110,109|112,109|113,109|115,109|116,109</t>
  </si>
  <si>
    <t>101,760|102,342|103,119|104,5698|106,119|108,119|109,1187|110,119|112,119|113,119|115,119|116,119</t>
  </si>
  <si>
    <t>101,982|102,443|103,154|104,7359|106,154|108,154|109,1533|110,154|112,154|113,154|115,154|116,154</t>
  </si>
  <si>
    <t>101,1268|102,571|103,198|104,9503|106,198|108,198|109,1980|110,198|112,198|113,198|115,198|116,198</t>
  </si>
  <si>
    <t>101,590|102,266|103,92|104,4412|106,92|108,92|109,919|110,92|112,92|113,92|115,92|116,92</t>
  </si>
  <si>
    <t>101,1070|102,482|103,167|104,8013|106,167|108,167|109,1670|110,167|112,167|113,167|115,167|116,167</t>
  </si>
  <si>
    <t>101,384|102,173|103,60|104,2880|106,60|108,60|109,600|110,60|112,60|113,60|115,60|116,60</t>
  </si>
  <si>
    <t>101,902|102,407|103,141|104,6756|106,141|108,141|109,1408|110,141|112,141|113,141|115,141|116,141</t>
  </si>
  <si>
    <t>101,828|102,373|103,130|104,6204|106,130|108,130|109,1293|110,130|112,130|113,130|115,130|116,130</t>
  </si>
  <si>
    <t>101,1164|102,524|103,182|104,8727|106,182|108,182|109,1818|110,182|112,182|113,182|115,182|116,182</t>
  </si>
  <si>
    <t>暴风勇士</t>
    <phoneticPr fontId="1" type="noConversion"/>
  </si>
  <si>
    <t>土元素领主</t>
    <phoneticPr fontId="1" type="noConversion"/>
  </si>
  <si>
    <t>火元素领主</t>
    <phoneticPr fontId="1" type="noConversion"/>
  </si>
  <si>
    <t>风元素领主</t>
    <phoneticPr fontId="1" type="noConversion"/>
  </si>
  <si>
    <t>[5897B5FF]暴风勇士[-]</t>
    <phoneticPr fontId="1" type="noConversion"/>
  </si>
  <si>
    <t>[BE71E8FF]土元素领主[-]</t>
    <phoneticPr fontId="1" type="noConversion"/>
  </si>
  <si>
    <t>[BE71E8FF]火元素领主[-]</t>
    <phoneticPr fontId="1" type="noConversion"/>
  </si>
  <si>
    <t>[BE71E8FF]风元素领主[-]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</si>
</sst>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"/>
  </numFmts>
  <fonts count="2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"/>
      <name val="宋体"/>
      <family val="3"/>
      <charset val="134"/>
    </font>
    <font>
      <sz val="9"/>
      <name val="宋体"/>
      <family val="2"/>
      <charset val="134"/>
    </font>
    <font>
      <sz val="9"/>
      <color indexed="8"/>
      <name val="宋体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9"/>
      <color indexed="81"/>
      <name val="Tahoma"/>
      <family val="2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indexed="81"/>
      <name val="Tahoma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9" fontId="10" fillId="0" borderId="0" applyFont="0" applyFill="0" applyBorder="0" applyAlignment="0" applyProtection="0">
      <alignment vertical="center"/>
    </xf>
  </cellStyleXfs>
  <cellXfs count="180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7" borderId="1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49" fontId="2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0" fontId="0" fillId="0" borderId="0" xfId="0" applyAlignment="1"/>
    <xf numFmtId="49" fontId="2" fillId="0" borderId="0" xfId="0" applyNumberFormat="1" applyFont="1" applyBorder="1" applyAlignment="1">
      <alignment horizontal="left" vertical="center"/>
    </xf>
    <xf numFmtId="0" fontId="0" fillId="0" borderId="0" xfId="0" applyAlignment="1">
      <alignment vertical="center" wrapText="1"/>
    </xf>
    <xf numFmtId="0" fontId="0" fillId="7" borderId="1" xfId="0" applyFill="1" applyBorder="1" applyAlignment="1">
      <alignment horizontal="center" vertical="center"/>
    </xf>
    <xf numFmtId="49" fontId="2" fillId="0" borderId="1" xfId="0" applyNumberFormat="1" applyFont="1" applyFill="1" applyBorder="1">
      <alignment vertical="center"/>
    </xf>
    <xf numFmtId="49" fontId="2" fillId="0" borderId="1" xfId="0" applyNumberFormat="1" applyFont="1" applyBorder="1" applyAlignment="1">
      <alignment horizontal="left" vertical="center"/>
    </xf>
    <xf numFmtId="49" fontId="4" fillId="0" borderId="1" xfId="0" applyNumberFormat="1" applyFont="1" applyBorder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5" fillId="0" borderId="1" xfId="0" applyNumberFormat="1" applyFont="1" applyFill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49" fontId="0" fillId="0" borderId="1" xfId="0" applyNumberFormat="1" applyBorder="1">
      <alignment vertical="center"/>
    </xf>
    <xf numFmtId="49" fontId="8" fillId="0" borderId="1" xfId="0" applyNumberFormat="1" applyFont="1" applyBorder="1">
      <alignment vertical="center"/>
    </xf>
    <xf numFmtId="49" fontId="2" fillId="0" borderId="2" xfId="0" applyNumberFormat="1" applyFont="1" applyFill="1" applyBorder="1" applyAlignment="1">
      <alignment horizontal="left" vertical="center"/>
    </xf>
    <xf numFmtId="49" fontId="2" fillId="8" borderId="1" xfId="0" applyNumberFormat="1" applyFon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11" fillId="0" borderId="0" xfId="0" applyNumberFormat="1" applyFont="1" applyAlignment="1">
      <alignment horizontal="left" vertical="center"/>
    </xf>
    <xf numFmtId="49" fontId="12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right" vertical="center"/>
    </xf>
    <xf numFmtId="49" fontId="0" fillId="3" borderId="1" xfId="0" applyNumberFormat="1" applyFill="1" applyBorder="1">
      <alignment vertical="center"/>
    </xf>
    <xf numFmtId="0" fontId="0" fillId="3" borderId="1" xfId="0" applyNumberFormat="1" applyFill="1" applyBorder="1">
      <alignment vertical="center"/>
    </xf>
    <xf numFmtId="49" fontId="14" fillId="0" borderId="0" xfId="0" applyNumberFormat="1" applyFont="1">
      <alignment vertical="center"/>
    </xf>
    <xf numFmtId="49" fontId="11" fillId="0" borderId="1" xfId="0" applyNumberFormat="1" applyFont="1" applyBorder="1" applyAlignment="1">
      <alignment horizontal="left" vertical="center"/>
    </xf>
    <xf numFmtId="49" fontId="11" fillId="5" borderId="0" xfId="0" applyNumberFormat="1" applyFont="1" applyFill="1" applyAlignment="1">
      <alignment horizontal="left" vertical="center"/>
    </xf>
    <xf numFmtId="49" fontId="11" fillId="9" borderId="0" xfId="0" applyNumberFormat="1" applyFont="1" applyFill="1" applyAlignment="1">
      <alignment horizontal="left" vertical="center"/>
    </xf>
    <xf numFmtId="49" fontId="11" fillId="4" borderId="0" xfId="0" applyNumberFormat="1" applyFont="1" applyFill="1" applyAlignment="1">
      <alignment horizontal="left" vertical="center"/>
    </xf>
    <xf numFmtId="49" fontId="11" fillId="9" borderId="0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49" fontId="15" fillId="7" borderId="1" xfId="0" applyNumberFormat="1" applyFont="1" applyFill="1" applyBorder="1" applyAlignment="1">
      <alignment horizontal="left" vertical="center" wrapText="1"/>
    </xf>
    <xf numFmtId="49" fontId="2" fillId="7" borderId="1" xfId="0" applyNumberFormat="1" applyFont="1" applyFill="1" applyBorder="1" applyAlignment="1">
      <alignment horizontal="left" vertical="center"/>
    </xf>
    <xf numFmtId="49" fontId="11" fillId="7" borderId="1" xfId="0" applyNumberFormat="1" applyFont="1" applyFill="1" applyBorder="1" applyAlignment="1">
      <alignment horizontal="left" vertical="center"/>
    </xf>
    <xf numFmtId="0" fontId="11" fillId="7" borderId="0" xfId="0" applyNumberFormat="1" applyFont="1" applyFill="1" applyAlignment="1">
      <alignment horizontal="left" vertical="center"/>
    </xf>
    <xf numFmtId="49" fontId="5" fillId="7" borderId="1" xfId="0" applyNumberFormat="1" applyFont="1" applyFill="1" applyBorder="1" applyAlignment="1">
      <alignment horizontal="left" vertical="center"/>
    </xf>
    <xf numFmtId="49" fontId="2" fillId="7" borderId="1" xfId="0" applyNumberFormat="1" applyFont="1" applyFill="1" applyBorder="1" applyAlignment="1">
      <alignment horizontal="right" vertical="center"/>
    </xf>
    <xf numFmtId="49" fontId="11" fillId="7" borderId="0" xfId="0" applyNumberFormat="1" applyFont="1" applyFill="1" applyAlignment="1">
      <alignment horizontal="left" vertical="center"/>
    </xf>
    <xf numFmtId="49" fontId="2" fillId="7" borderId="1" xfId="0" applyNumberFormat="1" applyFont="1" applyFill="1" applyBorder="1">
      <alignment vertical="center"/>
    </xf>
    <xf numFmtId="49" fontId="11" fillId="2" borderId="0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wrapText="1"/>
    </xf>
    <xf numFmtId="49" fontId="2" fillId="2" borderId="1" xfId="0" applyNumberFormat="1" applyFont="1" applyFill="1" applyBorder="1" applyAlignment="1">
      <alignment horizontal="left" vertical="center"/>
    </xf>
    <xf numFmtId="0" fontId="11" fillId="2" borderId="0" xfId="0" applyNumberFormat="1" applyFont="1" applyFill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/>
    </xf>
    <xf numFmtId="49" fontId="11" fillId="2" borderId="0" xfId="0" applyNumberFormat="1" applyFont="1" applyFill="1" applyAlignment="1">
      <alignment horizontal="left"/>
    </xf>
    <xf numFmtId="49" fontId="11" fillId="2" borderId="1" xfId="0" applyNumberFormat="1" applyFont="1" applyFill="1" applyBorder="1" applyAlignment="1">
      <alignment horizontal="left" wrapText="1"/>
    </xf>
    <xf numFmtId="49" fontId="11" fillId="2" borderId="0" xfId="0" applyNumberFormat="1" applyFont="1" applyFill="1" applyAlignment="1">
      <alignment horizontal="left" vertical="center"/>
    </xf>
    <xf numFmtId="49" fontId="11" fillId="2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right" vertical="center"/>
    </xf>
    <xf numFmtId="0" fontId="15" fillId="2" borderId="1" xfId="0" applyNumberFormat="1" applyFont="1" applyFill="1" applyBorder="1" applyAlignment="1">
      <alignment horizontal="left" vertical="center" wrapText="1"/>
    </xf>
    <xf numFmtId="49" fontId="15" fillId="5" borderId="1" xfId="0" applyNumberFormat="1" applyFont="1" applyFill="1" applyBorder="1" applyAlignment="1">
      <alignment horizontal="left" vertical="center" wrapText="1"/>
    </xf>
    <xf numFmtId="49" fontId="2" fillId="5" borderId="1" xfId="0" applyNumberFormat="1" applyFont="1" applyFill="1" applyBorder="1" applyAlignment="1">
      <alignment horizontal="left" vertical="center"/>
    </xf>
    <xf numFmtId="0" fontId="11" fillId="5" borderId="0" xfId="0" applyNumberFormat="1" applyFont="1" applyFill="1" applyAlignment="1">
      <alignment horizontal="left" vertical="center"/>
    </xf>
    <xf numFmtId="49" fontId="5" fillId="5" borderId="1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wrapText="1"/>
    </xf>
    <xf numFmtId="0" fontId="2" fillId="5" borderId="1" xfId="0" applyNumberFormat="1" applyFont="1" applyFill="1" applyBorder="1" applyAlignment="1">
      <alignment horizontal="left" vertical="center"/>
    </xf>
    <xf numFmtId="0" fontId="15" fillId="5" borderId="1" xfId="0" applyNumberFormat="1" applyFont="1" applyFill="1" applyBorder="1" applyAlignment="1">
      <alignment horizontal="left" vertical="center" wrapText="1"/>
    </xf>
    <xf numFmtId="49" fontId="11" fillId="5" borderId="1" xfId="0" applyNumberFormat="1" applyFont="1" applyFill="1" applyBorder="1" applyAlignment="1">
      <alignment horizontal="left" wrapText="1"/>
    </xf>
    <xf numFmtId="49" fontId="2" fillId="5" borderId="1" xfId="0" applyNumberFormat="1" applyFont="1" applyFill="1" applyBorder="1" applyAlignment="1">
      <alignment horizontal="right" vertical="center"/>
    </xf>
    <xf numFmtId="49" fontId="2" fillId="4" borderId="1" xfId="0" applyNumberFormat="1" applyFont="1" applyFill="1" applyBorder="1" applyAlignment="1">
      <alignment horizontal="left" wrapText="1"/>
    </xf>
    <xf numFmtId="49" fontId="2" fillId="4" borderId="1" xfId="0" applyNumberFormat="1" applyFont="1" applyFill="1" applyBorder="1">
      <alignment vertical="center"/>
    </xf>
    <xf numFmtId="49" fontId="11" fillId="4" borderId="1" xfId="0" applyNumberFormat="1" applyFont="1" applyFill="1" applyBorder="1" applyAlignment="1">
      <alignment horizontal="left" vertical="center"/>
    </xf>
    <xf numFmtId="0" fontId="11" fillId="4" borderId="0" xfId="0" applyNumberFormat="1" applyFont="1" applyFill="1" applyAlignment="1">
      <alignment horizontal="left" vertical="center"/>
    </xf>
    <xf numFmtId="49" fontId="5" fillId="4" borderId="1" xfId="0" applyNumberFormat="1" applyFont="1" applyFill="1" applyBorder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/>
    </xf>
    <xf numFmtId="49" fontId="2" fillId="9" borderId="1" xfId="0" applyNumberFormat="1" applyFont="1" applyFill="1" applyBorder="1" applyAlignment="1">
      <alignment horizontal="left" wrapText="1"/>
    </xf>
    <xf numFmtId="49" fontId="2" fillId="9" borderId="1" xfId="0" applyNumberFormat="1" applyFont="1" applyFill="1" applyBorder="1" applyAlignment="1">
      <alignment horizontal="left" vertical="center"/>
    </xf>
    <xf numFmtId="49" fontId="2" fillId="9" borderId="1" xfId="0" applyNumberFormat="1" applyFont="1" applyFill="1" applyBorder="1">
      <alignment vertical="center"/>
    </xf>
    <xf numFmtId="49" fontId="11" fillId="9" borderId="1" xfId="0" applyNumberFormat="1" applyFont="1" applyFill="1" applyBorder="1" applyAlignment="1">
      <alignment horizontal="left" vertical="center"/>
    </xf>
    <xf numFmtId="0" fontId="11" fillId="9" borderId="0" xfId="0" applyNumberFormat="1" applyFont="1" applyFill="1" applyAlignment="1">
      <alignment horizontal="left" vertical="center"/>
    </xf>
    <xf numFmtId="49" fontId="5" fillId="9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vertical="center"/>
    </xf>
    <xf numFmtId="0" fontId="2" fillId="9" borderId="1" xfId="0" applyNumberFormat="1" applyFont="1" applyFill="1" applyBorder="1" applyAlignment="1">
      <alignment horizontal="left" wrapText="1"/>
    </xf>
    <xf numFmtId="49" fontId="15" fillId="9" borderId="1" xfId="0" applyNumberFormat="1" applyFont="1" applyFill="1" applyBorder="1" applyAlignment="1">
      <alignment horizontal="left" vertical="center" wrapText="1"/>
    </xf>
    <xf numFmtId="0" fontId="15" fillId="9" borderId="1" xfId="0" applyNumberFormat="1" applyFont="1" applyFill="1" applyBorder="1" applyAlignment="1">
      <alignment horizontal="left" vertical="center" wrapText="1"/>
    </xf>
    <xf numFmtId="49" fontId="2" fillId="9" borderId="1" xfId="0" applyNumberFormat="1" applyFont="1" applyFill="1" applyBorder="1" applyAlignment="1">
      <alignment horizontal="right" vertical="center"/>
    </xf>
    <xf numFmtId="49" fontId="2" fillId="4" borderId="1" xfId="0" applyNumberFormat="1" applyFont="1" applyFill="1" applyBorder="1" applyAlignment="1">
      <alignment horizontal="right" vertical="center"/>
    </xf>
    <xf numFmtId="0" fontId="2" fillId="4" borderId="1" xfId="0" applyNumberFormat="1" applyFont="1" applyFill="1" applyBorder="1" applyAlignment="1">
      <alignment horizontal="left" wrapText="1"/>
    </xf>
    <xf numFmtId="49" fontId="15" fillId="4" borderId="1" xfId="0" applyNumberFormat="1" applyFont="1" applyFill="1" applyBorder="1" applyAlignment="1">
      <alignment horizontal="left" vertical="center" wrapText="1"/>
    </xf>
    <xf numFmtId="0" fontId="15" fillId="4" borderId="1" xfId="0" applyNumberFormat="1" applyFont="1" applyFill="1" applyBorder="1" applyAlignment="1">
      <alignment horizontal="left" vertical="center" wrapText="1"/>
    </xf>
    <xf numFmtId="0" fontId="2" fillId="7" borderId="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49" fontId="5" fillId="2" borderId="0" xfId="0" applyNumberFormat="1" applyFont="1" applyFill="1" applyBorder="1" applyAlignment="1">
      <alignment horizontal="left" vertical="center"/>
    </xf>
    <xf numFmtId="49" fontId="5" fillId="5" borderId="0" xfId="0" applyNumberFormat="1" applyFont="1" applyFill="1" applyBorder="1" applyAlignment="1">
      <alignment horizontal="left" vertical="center"/>
    </xf>
    <xf numFmtId="49" fontId="11" fillId="5" borderId="1" xfId="0" applyNumberFormat="1" applyFont="1" applyFill="1" applyBorder="1" applyAlignment="1">
      <alignment horizontal="left" vertical="center"/>
    </xf>
    <xf numFmtId="49" fontId="5" fillId="9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5" fillId="7" borderId="0" xfId="0" applyNumberFormat="1" applyFont="1" applyFill="1" applyBorder="1" applyAlignment="1">
      <alignment horizontal="left" vertical="center"/>
    </xf>
    <xf numFmtId="49" fontId="11" fillId="8" borderId="0" xfId="0" applyNumberFormat="1" applyFont="1" applyFill="1" applyAlignment="1">
      <alignment horizontal="left" vertical="center"/>
    </xf>
    <xf numFmtId="49" fontId="12" fillId="0" borderId="1" xfId="0" applyNumberFormat="1" applyFont="1" applyBorder="1" applyAlignment="1">
      <alignment horizontal="left" vertical="center"/>
    </xf>
    <xf numFmtId="0" fontId="11" fillId="2" borderId="1" xfId="0" applyNumberFormat="1" applyFont="1" applyFill="1" applyBorder="1" applyAlignment="1">
      <alignment horizontal="center" vertical="center"/>
    </xf>
    <xf numFmtId="49" fontId="11" fillId="2" borderId="1" xfId="0" applyNumberFormat="1" applyFont="1" applyFill="1" applyBorder="1" applyAlignment="1"/>
    <xf numFmtId="0" fontId="11" fillId="2" borderId="1" xfId="0" applyNumberFormat="1" applyFont="1" applyFill="1" applyBorder="1" applyAlignment="1">
      <alignment horizontal="left" vertical="center"/>
    </xf>
    <xf numFmtId="49" fontId="11" fillId="2" borderId="1" xfId="0" applyNumberFormat="1" applyFont="1" applyFill="1" applyBorder="1" applyAlignment="1">
      <alignment horizontal="center" vertical="center"/>
    </xf>
    <xf numFmtId="49" fontId="11" fillId="2" borderId="1" xfId="0" applyNumberFormat="1" applyFont="1" applyFill="1" applyBorder="1" applyAlignment="1">
      <alignment horizontal="left"/>
    </xf>
    <xf numFmtId="49" fontId="11" fillId="5" borderId="1" xfId="0" applyNumberFormat="1" applyFont="1" applyFill="1" applyBorder="1" applyAlignment="1">
      <alignment horizontal="center" vertical="center"/>
    </xf>
    <xf numFmtId="49" fontId="11" fillId="5" borderId="1" xfId="0" applyNumberFormat="1" applyFont="1" applyFill="1" applyBorder="1" applyAlignment="1"/>
    <xf numFmtId="0" fontId="11" fillId="5" borderId="1" xfId="0" applyNumberFormat="1" applyFont="1" applyFill="1" applyBorder="1" applyAlignment="1">
      <alignment horizontal="left" vertical="center"/>
    </xf>
    <xf numFmtId="49" fontId="11" fillId="9" borderId="1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/>
    <xf numFmtId="0" fontId="11" fillId="9" borderId="1" xfId="0" applyNumberFormat="1" applyFont="1" applyFill="1" applyBorder="1" applyAlignment="1">
      <alignment horizontal="left" vertical="center"/>
    </xf>
    <xf numFmtId="49" fontId="11" fillId="4" borderId="1" xfId="0" applyNumberFormat="1" applyFont="1" applyFill="1" applyBorder="1" applyAlignment="1">
      <alignment horizontal="center" vertical="center"/>
    </xf>
    <xf numFmtId="49" fontId="11" fillId="4" borderId="1" xfId="0" applyNumberFormat="1" applyFont="1" applyFill="1" applyBorder="1" applyAlignment="1"/>
    <xf numFmtId="0" fontId="11" fillId="4" borderId="1" xfId="0" applyNumberFormat="1" applyFont="1" applyFill="1" applyBorder="1" applyAlignment="1">
      <alignment horizontal="left" vertical="center"/>
    </xf>
    <xf numFmtId="49" fontId="11" fillId="7" borderId="1" xfId="0" applyNumberFormat="1" applyFont="1" applyFill="1" applyBorder="1" applyAlignment="1">
      <alignment horizontal="center" vertical="center"/>
    </xf>
    <xf numFmtId="49" fontId="11" fillId="7" borderId="1" xfId="0" applyNumberFormat="1" applyFont="1" applyFill="1" applyBorder="1" applyAlignment="1"/>
    <xf numFmtId="0" fontId="11" fillId="7" borderId="1" xfId="0" applyNumberFormat="1" applyFont="1" applyFill="1" applyBorder="1" applyAlignment="1">
      <alignment horizontal="left" vertical="center"/>
    </xf>
    <xf numFmtId="49" fontId="11" fillId="7" borderId="1" xfId="0" applyNumberFormat="1" applyFont="1" applyFill="1" applyBorder="1">
      <alignment vertical="center"/>
    </xf>
    <xf numFmtId="49" fontId="16" fillId="0" borderId="0" xfId="0" applyNumberFormat="1" applyFont="1">
      <alignment vertical="center"/>
    </xf>
    <xf numFmtId="49" fontId="17" fillId="3" borderId="0" xfId="0" applyNumberFormat="1" applyFont="1" applyFill="1">
      <alignment vertical="center"/>
    </xf>
    <xf numFmtId="49" fontId="18" fillId="0" borderId="0" xfId="0" applyNumberFormat="1" applyFont="1">
      <alignment vertical="center"/>
    </xf>
    <xf numFmtId="49" fontId="17" fillId="3" borderId="1" xfId="0" applyNumberFormat="1" applyFont="1" applyFill="1" applyBorder="1">
      <alignment vertical="center"/>
    </xf>
    <xf numFmtId="0" fontId="17" fillId="3" borderId="1" xfId="0" applyNumberFormat="1" applyFont="1" applyFill="1" applyBorder="1">
      <alignment vertical="center"/>
    </xf>
    <xf numFmtId="49" fontId="17" fillId="0" borderId="0" xfId="0" applyNumberFormat="1" applyFont="1" applyAlignment="1">
      <alignment horizontal="left" vertical="center"/>
    </xf>
    <xf numFmtId="0" fontId="17" fillId="0" borderId="0" xfId="0" applyNumberFormat="1" applyFont="1">
      <alignment vertical="center"/>
    </xf>
    <xf numFmtId="49" fontId="17" fillId="0" borderId="0" xfId="0" applyNumberFormat="1" applyFont="1" applyFill="1" applyBorder="1" applyAlignment="1">
      <alignment horizontal="left" vertical="center"/>
    </xf>
    <xf numFmtId="9" fontId="17" fillId="0" borderId="0" xfId="1" applyFont="1">
      <alignment vertical="center"/>
    </xf>
    <xf numFmtId="49" fontId="17" fillId="0" borderId="0" xfId="0" applyNumberFormat="1" applyFont="1" applyAlignment="1">
      <alignment horizontal="left"/>
    </xf>
    <xf numFmtId="49" fontId="17" fillId="0" borderId="8" xfId="0" applyNumberFormat="1" applyFont="1" applyBorder="1">
      <alignment vertical="center"/>
    </xf>
    <xf numFmtId="49" fontId="17" fillId="0" borderId="9" xfId="0" applyNumberFormat="1" applyFont="1" applyBorder="1">
      <alignment vertical="center"/>
    </xf>
    <xf numFmtId="49" fontId="16" fillId="0" borderId="0" xfId="0" applyNumberFormat="1" applyFont="1" applyAlignment="1">
      <alignment horizontal="left" vertical="center"/>
    </xf>
    <xf numFmtId="49" fontId="17" fillId="3" borderId="0" xfId="0" applyNumberFormat="1" applyFont="1" applyFill="1" applyAlignment="1">
      <alignment horizontal="left" vertical="center"/>
    </xf>
    <xf numFmtId="49" fontId="17" fillId="0" borderId="6" xfId="0" applyNumberFormat="1" applyFont="1" applyBorder="1" applyAlignment="1">
      <alignment horizontal="left" vertical="center"/>
    </xf>
    <xf numFmtId="49" fontId="17" fillId="0" borderId="7" xfId="0" applyNumberFormat="1" applyFont="1" applyBorder="1" applyAlignment="1">
      <alignment horizontal="left" vertical="center"/>
    </xf>
    <xf numFmtId="0" fontId="17" fillId="10" borderId="0" xfId="0" applyNumberFormat="1" applyFont="1" applyFill="1" applyAlignment="1">
      <alignment horizontal="left" vertical="center"/>
    </xf>
    <xf numFmtId="49" fontId="17" fillId="10" borderId="0" xfId="0" applyNumberFormat="1" applyFont="1" applyFill="1" applyAlignment="1">
      <alignment horizontal="left" vertical="center"/>
    </xf>
    <xf numFmtId="0" fontId="17" fillId="10" borderId="8" xfId="0" applyNumberFormat="1" applyFont="1" applyFill="1" applyBorder="1" applyAlignment="1">
      <alignment horizontal="left" vertical="center"/>
    </xf>
    <xf numFmtId="176" fontId="17" fillId="10" borderId="0" xfId="0" applyNumberFormat="1" applyFont="1" applyFill="1" applyAlignment="1">
      <alignment horizontal="left" vertical="center"/>
    </xf>
    <xf numFmtId="0" fontId="17" fillId="0" borderId="0" xfId="0" applyNumberFormat="1" applyFont="1" applyAlignment="1">
      <alignment horizontal="left" vertical="center"/>
    </xf>
    <xf numFmtId="0" fontId="17" fillId="3" borderId="0" xfId="0" applyNumberFormat="1" applyFont="1" applyFill="1" applyAlignment="1">
      <alignment horizontal="left" vertical="center"/>
    </xf>
    <xf numFmtId="0" fontId="17" fillId="0" borderId="8" xfId="0" applyNumberFormat="1" applyFont="1" applyBorder="1" applyAlignment="1">
      <alignment horizontal="left" vertical="center"/>
    </xf>
    <xf numFmtId="176" fontId="17" fillId="0" borderId="0" xfId="0" applyNumberFormat="1" applyFont="1" applyAlignment="1">
      <alignment horizontal="left" vertical="center"/>
    </xf>
    <xf numFmtId="0" fontId="17" fillId="10" borderId="1" xfId="0" applyNumberFormat="1" applyFont="1" applyFill="1" applyBorder="1" applyAlignment="1">
      <alignment horizontal="left" vertical="center"/>
    </xf>
    <xf numFmtId="49" fontId="17" fillId="10" borderId="1" xfId="0" applyNumberFormat="1" applyFont="1" applyFill="1" applyBorder="1" applyAlignment="1">
      <alignment horizontal="left" vertical="center"/>
    </xf>
    <xf numFmtId="0" fontId="19" fillId="10" borderId="1" xfId="0" applyNumberFormat="1" applyFont="1" applyFill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16" fillId="0" borderId="1" xfId="0" applyNumberFormat="1" applyFont="1" applyBorder="1">
      <alignment vertical="center"/>
    </xf>
    <xf numFmtId="0" fontId="17" fillId="11" borderId="1" xfId="0" applyNumberFormat="1" applyFont="1" applyFill="1" applyBorder="1">
      <alignment vertical="center"/>
    </xf>
    <xf numFmtId="0" fontId="17" fillId="0" borderId="1" xfId="0" applyNumberFormat="1" applyFont="1" applyFill="1" applyBorder="1" applyAlignment="1">
      <alignment horizontal="left" vertical="center"/>
    </xf>
    <xf numFmtId="49" fontId="17" fillId="0" borderId="1" xfId="0" applyNumberFormat="1" applyFont="1" applyFill="1" applyBorder="1" applyAlignment="1">
      <alignment horizontal="left" vertical="center"/>
    </xf>
    <xf numFmtId="0" fontId="19" fillId="0" borderId="1" xfId="0" applyNumberFormat="1" applyFont="1" applyFill="1" applyBorder="1" applyAlignment="1">
      <alignment horizontal="left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540123</xdr:colOff>
      <xdr:row>6</xdr:row>
      <xdr:rowOff>161364</xdr:rowOff>
    </xdr:from>
    <xdr:to>
      <xdr:col>9</xdr:col>
      <xdr:colOff>1218079</xdr:colOff>
      <xdr:row>10</xdr:row>
      <xdr:rowOff>82923</xdr:rowOff>
    </xdr:to>
    <xdr:sp macro="[0]!entourage_activate" textlink="">
      <xdr:nvSpPr>
        <xdr:cNvPr id="2" name="矩形 1"/>
        <xdr:cNvSpPr/>
      </xdr:nvSpPr>
      <xdr:spPr>
        <a:xfrm>
          <a:off x="8683998" y="1247214"/>
          <a:ext cx="1897156" cy="64545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zh-CN" altLang="en-US" sz="1100"/>
            <a:t>生成自动激活佣兵</a:t>
          </a:r>
          <a:endParaRPr lang="en-US" altLang="zh-C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216;&#33021;&#37197;&#32622;SkillConfi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&#38543;&#20174;Entourage&#35830;&#25105;&#21435;&#20108;&#32676;&#20108;&#32676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&#29289;&#21697;ItemConfig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bigmap&#22823;&#22320;&#2227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更新说明"/>
      <sheetName val="总体设计"/>
      <sheetName val="performance设计"/>
      <sheetName val="技能配置"/>
      <sheetName val="main设计"/>
      <sheetName val="levelData设计"/>
      <sheetName val="mainLvlConfig"/>
      <sheetName val="buff设计"/>
      <sheetName val="skillRune设计"/>
      <sheetName val="skillPerformanceConfig"/>
      <sheetName val="skillLevelDataConfig"/>
      <sheetName val="buffConfig"/>
      <sheetName val="skillMainConfig"/>
      <sheetName val="skillMainLvlConfig"/>
      <sheetName val="skillRuneConfig"/>
      <sheetName val="TrapConfig"/>
      <sheetName val="ArrowConfig"/>
      <sheetName val="trap和arrow的说明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1">
          <cell r="A1" t="str">
            <v>skillId</v>
          </cell>
          <cell r="B1" t="str">
            <v>skillName</v>
          </cell>
          <cell r="C1" t="str">
            <v>frontAction</v>
          </cell>
          <cell r="D1" t="str">
            <v>processAction</v>
          </cell>
          <cell r="E1" t="str">
            <v>afterAction</v>
          </cell>
          <cell r="F1" t="str">
            <v>frontEffect</v>
          </cell>
          <cell r="G1" t="str">
            <v>processEffect</v>
          </cell>
          <cell r="H1" t="str">
            <v>afterEffect</v>
          </cell>
          <cell r="I1" t="str">
            <v>frontTime</v>
          </cell>
          <cell r="J1" t="str">
            <v>processTime</v>
          </cell>
          <cell r="K1" t="str">
            <v>afterTime</v>
          </cell>
          <cell r="L1" t="str">
            <v>damageTime</v>
          </cell>
          <cell r="M1" t="str">
            <v>damageRate</v>
          </cell>
          <cell r="N1" t="str">
            <v>hitEffect</v>
          </cell>
          <cell r="O1" t="str">
            <v>castRange</v>
          </cell>
        </row>
        <row r="2">
          <cell r="A2">
            <v>19</v>
          </cell>
          <cell r="B2" t="str">
            <v>[b]怪物普攻[-]</v>
          </cell>
          <cell r="D2" t="str">
            <v>attack1</v>
          </cell>
          <cell r="I2" t="str">
            <v>0</v>
          </cell>
          <cell r="J2" t="str">
            <v>1200</v>
          </cell>
          <cell r="K2" t="str">
            <v>0</v>
          </cell>
          <cell r="L2" t="str">
            <v>600</v>
          </cell>
          <cell r="M2" t="str">
            <v>100</v>
          </cell>
          <cell r="N2" t="str">
            <v>e_c_a_attack1_hit_4</v>
          </cell>
          <cell r="O2" t="str">
            <v>3</v>
          </cell>
        </row>
        <row r="3">
          <cell r="A3">
            <v>101</v>
          </cell>
          <cell r="B3" t="str">
            <v>[b]战士急救术[-]</v>
          </cell>
          <cell r="I3" t="str">
            <v>0</v>
          </cell>
          <cell r="J3" t="str">
            <v>1</v>
          </cell>
          <cell r="K3" t="str">
            <v>0</v>
          </cell>
          <cell r="L3" t="str">
            <v>0</v>
          </cell>
          <cell r="M3" t="str">
            <v>100</v>
          </cell>
          <cell r="O3" t="str">
            <v>3</v>
          </cell>
        </row>
        <row r="4">
          <cell r="A4">
            <v>102</v>
          </cell>
          <cell r="B4" t="str">
            <v>[b]法师急救术[-]</v>
          </cell>
          <cell r="I4" t="str">
            <v>0</v>
          </cell>
          <cell r="J4" t="str">
            <v>1</v>
          </cell>
          <cell r="K4" t="str">
            <v>0</v>
          </cell>
          <cell r="L4" t="str">
            <v>0</v>
          </cell>
          <cell r="M4" t="str">
            <v>100</v>
          </cell>
          <cell r="O4" t="str">
            <v>3</v>
          </cell>
        </row>
        <row r="5">
          <cell r="A5">
            <v>103</v>
          </cell>
          <cell r="B5" t="str">
            <v>[b]骑士急救术[-]</v>
          </cell>
          <cell r="I5" t="str">
            <v>0</v>
          </cell>
          <cell r="J5" t="str">
            <v>1</v>
          </cell>
          <cell r="K5" t="str">
            <v>0</v>
          </cell>
          <cell r="L5" t="str">
            <v>0</v>
          </cell>
          <cell r="M5" t="str">
            <v>100</v>
          </cell>
          <cell r="O5" t="str">
            <v>3</v>
          </cell>
        </row>
        <row r="6">
          <cell r="A6">
            <v>701</v>
          </cell>
          <cell r="B6" t="str">
            <v>[b]赤月突击[-]</v>
          </cell>
          <cell r="D6" t="str">
            <v>skill_2</v>
          </cell>
          <cell r="G6" t="str">
            <v>e_c_cast_004</v>
          </cell>
          <cell r="I6" t="str">
            <v>1</v>
          </cell>
          <cell r="J6" t="str">
            <v>500</v>
          </cell>
          <cell r="K6">
            <v>0</v>
          </cell>
          <cell r="L6" t="str">
            <v>100|200|300|400</v>
          </cell>
          <cell r="M6" t="str">
            <v>25|25|25|25</v>
          </cell>
          <cell r="N6" t="str">
            <v>e_c_a_attack1_hit_4</v>
          </cell>
          <cell r="O6" t="str">
            <v>8</v>
          </cell>
        </row>
        <row r="7">
          <cell r="A7">
            <v>702</v>
          </cell>
          <cell r="B7" t="str">
            <v>[b]月影突击[-]</v>
          </cell>
          <cell r="D7" t="str">
            <v>move2</v>
          </cell>
          <cell r="G7" t="str">
            <v>e_c_a_chargeassault</v>
          </cell>
          <cell r="I7" t="str">
            <v>1</v>
          </cell>
          <cell r="J7" t="str">
            <v>400</v>
          </cell>
          <cell r="K7">
            <v>0</v>
          </cell>
          <cell r="L7" t="str">
            <v>200</v>
          </cell>
          <cell r="M7" t="str">
            <v>100</v>
          </cell>
          <cell r="N7" t="str">
            <v>e_c_a_attack1_hit_4</v>
          </cell>
          <cell r="O7" t="str">
            <v>8</v>
          </cell>
        </row>
        <row r="8">
          <cell r="A8">
            <v>705</v>
          </cell>
          <cell r="B8" t="str">
            <v>[b]潮汐普攻[-]</v>
          </cell>
          <cell r="D8" t="str">
            <v>attack1_01|attack1_02</v>
          </cell>
          <cell r="I8" t="str">
            <v>0</v>
          </cell>
          <cell r="J8" t="str">
            <v>800|500</v>
          </cell>
          <cell r="K8">
            <v>0</v>
          </cell>
          <cell r="L8" t="str">
            <v>1000</v>
          </cell>
          <cell r="M8" t="str">
            <v>100</v>
          </cell>
          <cell r="N8" t="str">
            <v>e_c_ice_hit_big</v>
          </cell>
          <cell r="O8" t="str">
            <v>3</v>
          </cell>
        </row>
        <row r="9">
          <cell r="A9">
            <v>706</v>
          </cell>
          <cell r="B9" t="str">
            <v>[b]雷霆一击[-]</v>
          </cell>
          <cell r="C9" t="str">
            <v>attack1_01</v>
          </cell>
          <cell r="D9" t="str">
            <v>attack1_02</v>
          </cell>
          <cell r="I9" t="str">
            <v>400</v>
          </cell>
          <cell r="J9" t="str">
            <v>250</v>
          </cell>
          <cell r="K9" t="str">
            <v>0</v>
          </cell>
          <cell r="L9" t="str">
            <v>50</v>
          </cell>
          <cell r="M9" t="str">
            <v>100</v>
          </cell>
          <cell r="N9" t="str">
            <v>e_c_light_hit</v>
          </cell>
          <cell r="O9" t="str">
            <v>3</v>
          </cell>
        </row>
        <row r="10">
          <cell r="A10">
            <v>707</v>
          </cell>
          <cell r="B10" t="str">
            <v>[b]潮汐祝福[-]</v>
          </cell>
          <cell r="D10" t="str">
            <v>skill1</v>
          </cell>
          <cell r="I10" t="str">
            <v>0</v>
          </cell>
          <cell r="J10" t="str">
            <v>500</v>
          </cell>
          <cell r="K10">
            <v>0</v>
          </cell>
          <cell r="L10" t="str">
            <v>1</v>
          </cell>
          <cell r="M10" t="str">
            <v>100</v>
          </cell>
          <cell r="O10" t="str">
            <v>10</v>
          </cell>
        </row>
        <row r="11">
          <cell r="A11">
            <v>708</v>
          </cell>
          <cell r="B11" t="str">
            <v>[b]潮汐护盾[-]</v>
          </cell>
          <cell r="D11" t="str">
            <v>skill1</v>
          </cell>
          <cell r="I11" t="str">
            <v>0</v>
          </cell>
          <cell r="J11" t="str">
            <v>500</v>
          </cell>
          <cell r="K11">
            <v>0</v>
          </cell>
          <cell r="L11" t="str">
            <v>1</v>
          </cell>
          <cell r="M11" t="str">
            <v>100</v>
          </cell>
          <cell r="O11" t="str">
            <v>10</v>
          </cell>
        </row>
        <row r="12">
          <cell r="A12">
            <v>709</v>
          </cell>
          <cell r="B12" t="str">
            <v>[b]喷涌之汐[-]</v>
          </cell>
          <cell r="D12" t="str">
            <v>attack1_01|attack1_02</v>
          </cell>
          <cell r="I12" t="str">
            <v>0</v>
          </cell>
          <cell r="J12" t="str">
            <v>800|500</v>
          </cell>
          <cell r="K12">
            <v>0</v>
          </cell>
          <cell r="L12" t="str">
            <v>1000</v>
          </cell>
          <cell r="M12" t="str">
            <v>100</v>
          </cell>
          <cell r="N12" t="str">
            <v>e_c_fire_hit_big</v>
          </cell>
          <cell r="O12" t="str">
            <v>4</v>
          </cell>
        </row>
        <row r="13">
          <cell r="A13">
            <v>715</v>
          </cell>
          <cell r="B13" t="str">
            <v>[b]塔隆普攻[-]</v>
          </cell>
          <cell r="D13" t="str">
            <v>attack1</v>
          </cell>
          <cell r="I13" t="str">
            <v>0</v>
          </cell>
          <cell r="J13" t="str">
            <v>1700</v>
          </cell>
          <cell r="K13">
            <v>0</v>
          </cell>
          <cell r="L13">
            <v>748</v>
          </cell>
          <cell r="M13" t="str">
            <v>100</v>
          </cell>
          <cell r="N13" t="str">
            <v>e_c_a_attack1_hit_1</v>
          </cell>
          <cell r="O13" t="str">
            <v>3</v>
          </cell>
        </row>
        <row r="14">
          <cell r="A14">
            <v>716</v>
          </cell>
          <cell r="B14" t="str">
            <v>[b]暗影横扫[-]</v>
          </cell>
          <cell r="D14" t="str">
            <v>skill_1</v>
          </cell>
          <cell r="I14" t="str">
            <v>0</v>
          </cell>
          <cell r="J14" t="str">
            <v>800</v>
          </cell>
          <cell r="K14">
            <v>0</v>
          </cell>
          <cell r="L14">
            <v>320</v>
          </cell>
          <cell r="M14" t="str">
            <v>100</v>
          </cell>
          <cell r="N14" t="str">
            <v>e_c_a_attack1_hit_1</v>
          </cell>
          <cell r="O14" t="str">
            <v>3</v>
          </cell>
        </row>
        <row r="15">
          <cell r="A15">
            <v>717</v>
          </cell>
          <cell r="B15" t="str">
            <v>[b]暗影之势[-]</v>
          </cell>
          <cell r="D15" t="str">
            <v>skill_1</v>
          </cell>
          <cell r="G15" t="str">
            <v>e_c_a_chargeassault</v>
          </cell>
          <cell r="I15" t="str">
            <v>1</v>
          </cell>
          <cell r="J15" t="str">
            <v>500</v>
          </cell>
          <cell r="K15">
            <v>0</v>
          </cell>
          <cell r="L15" t="str">
            <v>200</v>
          </cell>
          <cell r="M15" t="str">
            <v>100</v>
          </cell>
          <cell r="N15" t="str">
            <v>e_c_a_attack1_hit_4</v>
          </cell>
          <cell r="O15" t="str">
            <v>8</v>
          </cell>
        </row>
        <row r="16">
          <cell r="A16">
            <v>718</v>
          </cell>
          <cell r="B16" t="str">
            <v>[b]黑暗之手[-]</v>
          </cell>
          <cell r="D16" t="str">
            <v>skill_2</v>
          </cell>
          <cell r="I16" t="str">
            <v>0</v>
          </cell>
          <cell r="J16" t="str">
            <v>1467</v>
          </cell>
          <cell r="K16">
            <v>0</v>
          </cell>
          <cell r="L16">
            <v>733</v>
          </cell>
          <cell r="M16" t="str">
            <v>100</v>
          </cell>
          <cell r="N16" t="str">
            <v>e_c_n_01_hit</v>
          </cell>
          <cell r="O16" t="str">
            <v>5</v>
          </cell>
        </row>
        <row r="17">
          <cell r="A17">
            <v>719</v>
          </cell>
          <cell r="B17" t="str">
            <v>[b]暗影之力[-]</v>
          </cell>
          <cell r="D17" t="str">
            <v>skill_2</v>
          </cell>
          <cell r="I17" t="str">
            <v>0</v>
          </cell>
          <cell r="J17" t="str">
            <v>1467</v>
          </cell>
          <cell r="K17">
            <v>0</v>
          </cell>
          <cell r="L17">
            <v>733</v>
          </cell>
          <cell r="M17" t="str">
            <v>100</v>
          </cell>
          <cell r="O17" t="str">
            <v>3</v>
          </cell>
        </row>
        <row r="18">
          <cell r="A18">
            <v>721</v>
          </cell>
          <cell r="B18" t="str">
            <v>[b]炎爆[-]</v>
          </cell>
          <cell r="C18" t="str">
            <v>attack3_01</v>
          </cell>
          <cell r="E18" t="str">
            <v>attack3_02</v>
          </cell>
          <cell r="I18" t="str">
            <v>437</v>
          </cell>
          <cell r="J18" t="str">
            <v>1</v>
          </cell>
          <cell r="K18">
            <v>1000</v>
          </cell>
          <cell r="L18" t="str">
            <v>1</v>
          </cell>
          <cell r="M18" t="str">
            <v>100</v>
          </cell>
          <cell r="N18" t="str">
            <v>e_c_fire_hit_big</v>
          </cell>
          <cell r="O18">
            <v>10</v>
          </cell>
        </row>
        <row r="19">
          <cell r="A19">
            <v>727</v>
          </cell>
          <cell r="B19" t="str">
            <v>[b]无情之锤[-]</v>
          </cell>
          <cell r="D19" t="str">
            <v>skill_2</v>
          </cell>
          <cell r="I19" t="str">
            <v>0</v>
          </cell>
          <cell r="J19" t="str">
            <v>1500</v>
          </cell>
          <cell r="K19" t="str">
            <v>0</v>
          </cell>
          <cell r="L19" t="str">
            <v>1</v>
          </cell>
          <cell r="M19" t="str">
            <v>100</v>
          </cell>
          <cell r="N19" t="str">
            <v>e_c_fire_hit_big</v>
          </cell>
          <cell r="O19" t="str">
            <v>10</v>
          </cell>
        </row>
        <row r="20">
          <cell r="A20">
            <v>730</v>
          </cell>
          <cell r="B20" t="str">
            <v>[b]狄亚娜普攻[-]</v>
          </cell>
          <cell r="D20" t="str">
            <v>attack2_01</v>
          </cell>
          <cell r="E20" t="str">
            <v>attack2_02</v>
          </cell>
          <cell r="I20" t="str">
            <v>0</v>
          </cell>
          <cell r="J20" t="str">
            <v>600</v>
          </cell>
          <cell r="K20" t="str">
            <v>300</v>
          </cell>
          <cell r="L20" t="str">
            <v>1</v>
          </cell>
          <cell r="M20" t="str">
            <v>100</v>
          </cell>
          <cell r="N20" t="str">
            <v>e_c_fire_hit_big</v>
          </cell>
          <cell r="O20" t="str">
            <v>10</v>
          </cell>
        </row>
        <row r="21">
          <cell r="A21">
            <v>731</v>
          </cell>
          <cell r="B21" t="str">
            <v>[b]血色之火[-]</v>
          </cell>
          <cell r="D21" t="str">
            <v>skill6</v>
          </cell>
          <cell r="I21" t="str">
            <v>0</v>
          </cell>
          <cell r="J21" t="str">
            <v>1100</v>
          </cell>
          <cell r="K21">
            <v>0</v>
          </cell>
          <cell r="L21" t="str">
            <v>800</v>
          </cell>
          <cell r="M21" t="str">
            <v>100</v>
          </cell>
          <cell r="N21" t="str">
            <v>e_c_fire_hit_big</v>
          </cell>
          <cell r="O21" t="str">
            <v>8</v>
          </cell>
        </row>
        <row r="22">
          <cell r="A22">
            <v>732</v>
          </cell>
          <cell r="B22" t="str">
            <v>[b]审判之锤[-]</v>
          </cell>
          <cell r="D22" t="str">
            <v>skill6</v>
          </cell>
          <cell r="I22" t="str">
            <v>0</v>
          </cell>
          <cell r="J22" t="str">
            <v>1200</v>
          </cell>
          <cell r="K22" t="str">
            <v>1</v>
          </cell>
          <cell r="L22" t="str">
            <v>0</v>
          </cell>
          <cell r="M22" t="str">
            <v>100</v>
          </cell>
          <cell r="N22" t="str">
            <v>e_c_fire_hit_big</v>
          </cell>
          <cell r="O22" t="str">
            <v>10</v>
          </cell>
        </row>
        <row r="23">
          <cell r="A23">
            <v>733</v>
          </cell>
          <cell r="B23" t="str">
            <v>[b]复仇之怒[-]</v>
          </cell>
          <cell r="D23" t="str">
            <v>attack3_02</v>
          </cell>
          <cell r="I23" t="str">
            <v>0</v>
          </cell>
          <cell r="J23" t="str">
            <v>1100</v>
          </cell>
          <cell r="K23">
            <v>0</v>
          </cell>
          <cell r="L23">
            <v>600</v>
          </cell>
          <cell r="M23" t="str">
            <v>100</v>
          </cell>
          <cell r="O23" t="str">
            <v>10</v>
          </cell>
        </row>
        <row r="24">
          <cell r="A24">
            <v>734</v>
          </cell>
          <cell r="B24" t="str">
            <v>[b]神罚之锤[-]</v>
          </cell>
          <cell r="D24" t="str">
            <v>skill5</v>
          </cell>
          <cell r="I24" t="str">
            <v>0</v>
          </cell>
          <cell r="J24" t="str">
            <v>1500</v>
          </cell>
          <cell r="K24">
            <v>0</v>
          </cell>
          <cell r="L24" t="str">
            <v>1</v>
          </cell>
          <cell r="M24" t="str">
            <v>100</v>
          </cell>
          <cell r="N24" t="str">
            <v>e_c_fire_hit_big</v>
          </cell>
          <cell r="O24" t="str">
            <v>10</v>
          </cell>
        </row>
        <row r="25">
          <cell r="A25">
            <v>736</v>
          </cell>
          <cell r="B25" t="str">
            <v>[b]巨龙打击[-]</v>
          </cell>
          <cell r="D25" t="str">
            <v>attack2</v>
          </cell>
          <cell r="G25" t="str">
            <v>e_c_e_skill1_cast</v>
          </cell>
          <cell r="I25" t="str">
            <v>0</v>
          </cell>
          <cell r="J25" t="str">
            <v>2000</v>
          </cell>
          <cell r="K25">
            <v>0</v>
          </cell>
          <cell r="L25">
            <v>1140</v>
          </cell>
          <cell r="M25" t="str">
            <v>100</v>
          </cell>
          <cell r="N25" t="str">
            <v>e_c_fire_hit_big</v>
          </cell>
          <cell r="O25" t="str">
            <v>3</v>
          </cell>
        </row>
        <row r="26">
          <cell r="A26">
            <v>738</v>
          </cell>
          <cell r="B26" t="str">
            <v>[b]寒铁之躯[-]</v>
          </cell>
          <cell r="D26" t="str">
            <v>attack2</v>
          </cell>
          <cell r="G26" t="str">
            <v>e_c_e_skill1_cast</v>
          </cell>
          <cell r="I26" t="str">
            <v>0</v>
          </cell>
          <cell r="J26" t="str">
            <v>1000</v>
          </cell>
          <cell r="K26">
            <v>0</v>
          </cell>
          <cell r="L26">
            <v>570</v>
          </cell>
          <cell r="M26" t="str">
            <v>100</v>
          </cell>
          <cell r="N26" t="str">
            <v>e_c_ice_hit_big</v>
          </cell>
          <cell r="O26" t="str">
            <v>3</v>
          </cell>
        </row>
        <row r="27">
          <cell r="A27">
            <v>739</v>
          </cell>
          <cell r="B27" t="str">
            <v>[b]裂地重击[-]</v>
          </cell>
          <cell r="D27" t="str">
            <v>attack2</v>
          </cell>
          <cell r="G27" t="str">
            <v>e_c_e_skill1_cast</v>
          </cell>
          <cell r="I27" t="str">
            <v>0</v>
          </cell>
          <cell r="J27" t="str">
            <v>2000</v>
          </cell>
          <cell r="K27">
            <v>0</v>
          </cell>
          <cell r="L27">
            <v>1140</v>
          </cell>
          <cell r="M27" t="str">
            <v>100</v>
          </cell>
          <cell r="N27" t="str">
            <v>e_c_a_attack1_hit_1</v>
          </cell>
          <cell r="O27" t="str">
            <v>3</v>
          </cell>
        </row>
        <row r="28">
          <cell r="A28">
            <v>742</v>
          </cell>
          <cell r="B28" t="str">
            <v>[b]不稳定的地精雷管[-]</v>
          </cell>
          <cell r="D28" t="str">
            <v>attack1</v>
          </cell>
          <cell r="I28" t="str">
            <v>0</v>
          </cell>
          <cell r="J28" t="str">
            <v>1367</v>
          </cell>
          <cell r="K28">
            <v>0</v>
          </cell>
          <cell r="L28">
            <v>837</v>
          </cell>
          <cell r="M28" t="str">
            <v>100</v>
          </cell>
          <cell r="N28" t="str">
            <v>e_c_fire_hit_big</v>
          </cell>
          <cell r="O28" t="str">
            <v>3</v>
          </cell>
        </row>
        <row r="29">
          <cell r="A29">
            <v>751</v>
          </cell>
          <cell r="B29" t="str">
            <v>[b]恶魔冲锋[-]</v>
          </cell>
          <cell r="D29" t="str">
            <v>move2</v>
          </cell>
          <cell r="G29" t="str">
            <v>e_dh_attack5</v>
          </cell>
          <cell r="I29" t="str">
            <v>0</v>
          </cell>
          <cell r="J29" t="str">
            <v>500</v>
          </cell>
          <cell r="K29">
            <v>0</v>
          </cell>
          <cell r="L29" t="str">
            <v>500</v>
          </cell>
          <cell r="M29" t="str">
            <v>100</v>
          </cell>
          <cell r="N29" t="str">
            <v>e_c_a_attack1_hit_1</v>
          </cell>
          <cell r="O29" t="str">
            <v>8</v>
          </cell>
        </row>
        <row r="30">
          <cell r="A30">
            <v>752</v>
          </cell>
          <cell r="B30" t="str">
            <v>[b]恶魔咆哮[-]</v>
          </cell>
          <cell r="D30" t="str">
            <v>scream</v>
          </cell>
          <cell r="G30" t="str">
            <v>e_c_e_skill1_cast</v>
          </cell>
          <cell r="I30" t="str">
            <v>0</v>
          </cell>
          <cell r="J30" t="str">
            <v>2000</v>
          </cell>
          <cell r="K30">
            <v>0</v>
          </cell>
          <cell r="L30">
            <v>1320</v>
          </cell>
          <cell r="M30" t="str">
            <v>100</v>
          </cell>
          <cell r="N30" t="str">
            <v>e_c_fire_hit_big|e_c_fire_hit_big|e_c_fire_hit_big|e_c_fire_hit_big</v>
          </cell>
          <cell r="O30" t="str">
            <v>3</v>
          </cell>
        </row>
        <row r="31">
          <cell r="A31">
            <v>754</v>
          </cell>
          <cell r="B31" t="str">
            <v>[b]地狱爆裂[-]</v>
          </cell>
          <cell r="D31" t="str">
            <v>skill1|skill1|skill1|skill1</v>
          </cell>
          <cell r="G31" t="str">
            <v>e_c_a_skill4_cast_delay|e_c_a_skill4_cast_delay|e_c_a_skill4_cast_delay|e_c_a_skill4_cast_delay</v>
          </cell>
          <cell r="I31" t="str">
            <v>0</v>
          </cell>
          <cell r="J31" t="str">
            <v>500|500|500|1000</v>
          </cell>
          <cell r="K31">
            <v>0</v>
          </cell>
          <cell r="L31" t="str">
            <v>160|660|1160|1820</v>
          </cell>
          <cell r="M31" t="str">
            <v>10|10|10|70</v>
          </cell>
          <cell r="N31" t="str">
            <v>e_c_fire_hit_big|e_c_fire_hit_big|e_c_fire_hit_big|e_c_fire_hit_big</v>
          </cell>
          <cell r="O31" t="str">
            <v>3</v>
          </cell>
        </row>
        <row r="32">
          <cell r="A32">
            <v>756</v>
          </cell>
          <cell r="B32" t="str">
            <v>[b]暗影之怒[-]</v>
          </cell>
          <cell r="D32" t="str">
            <v>skill1</v>
          </cell>
          <cell r="I32" t="str">
            <v>0</v>
          </cell>
          <cell r="J32" t="str">
            <v>2000</v>
          </cell>
          <cell r="K32" t="str">
            <v>0</v>
          </cell>
          <cell r="L32" t="str">
            <v>1000</v>
          </cell>
          <cell r="M32" t="str">
            <v>100</v>
          </cell>
          <cell r="N32" t="str">
            <v>e_c_n_01_hit</v>
          </cell>
          <cell r="O32" t="str">
            <v>5</v>
          </cell>
        </row>
        <row r="33">
          <cell r="A33">
            <v>760</v>
          </cell>
          <cell r="B33" t="str">
            <v>[b]潮汐普攻[-]</v>
          </cell>
          <cell r="D33" t="str">
            <v>attack1_01|attack1_02</v>
          </cell>
          <cell r="I33" t="str">
            <v>0</v>
          </cell>
          <cell r="J33" t="str">
            <v>800|500</v>
          </cell>
          <cell r="K33">
            <v>0</v>
          </cell>
          <cell r="L33" t="str">
            <v>1000</v>
          </cell>
          <cell r="M33" t="str">
            <v>100</v>
          </cell>
          <cell r="N33" t="str">
            <v>e_c_ice_hit_big</v>
          </cell>
          <cell r="O33" t="str">
            <v>3</v>
          </cell>
        </row>
        <row r="34">
          <cell r="A34">
            <v>761</v>
          </cell>
          <cell r="B34" t="str">
            <v>[b]雷霆一击[-]</v>
          </cell>
          <cell r="D34" t="str">
            <v>attack1_01|attack1_02</v>
          </cell>
          <cell r="I34" t="str">
            <v>0</v>
          </cell>
          <cell r="J34" t="str">
            <v>800|500</v>
          </cell>
          <cell r="K34" t="str">
            <v>0</v>
          </cell>
          <cell r="L34" t="str">
            <v>50</v>
          </cell>
          <cell r="M34" t="str">
            <v>100</v>
          </cell>
          <cell r="N34" t="str">
            <v>e_c_light_hit</v>
          </cell>
          <cell r="O34" t="str">
            <v>3</v>
          </cell>
        </row>
        <row r="35">
          <cell r="A35">
            <v>762</v>
          </cell>
          <cell r="B35" t="str">
            <v>[b]潮汐祝福[-]</v>
          </cell>
          <cell r="D35" t="str">
            <v>skill1</v>
          </cell>
          <cell r="I35" t="str">
            <v>0</v>
          </cell>
          <cell r="J35" t="str">
            <v>500</v>
          </cell>
          <cell r="K35">
            <v>0</v>
          </cell>
          <cell r="L35" t="str">
            <v>1</v>
          </cell>
          <cell r="M35" t="str">
            <v>100</v>
          </cell>
          <cell r="O35" t="str">
            <v>10</v>
          </cell>
        </row>
        <row r="36">
          <cell r="A36">
            <v>763</v>
          </cell>
          <cell r="B36" t="str">
            <v>[b]潮汐护盾[-]</v>
          </cell>
          <cell r="D36" t="str">
            <v>skill1</v>
          </cell>
          <cell r="I36" t="str">
            <v>0</v>
          </cell>
          <cell r="J36" t="str">
            <v>500</v>
          </cell>
          <cell r="K36">
            <v>0</v>
          </cell>
          <cell r="L36" t="str">
            <v>1</v>
          </cell>
          <cell r="M36" t="str">
            <v>100</v>
          </cell>
          <cell r="O36" t="str">
            <v>10</v>
          </cell>
        </row>
        <row r="37">
          <cell r="A37">
            <v>764</v>
          </cell>
          <cell r="B37" t="str">
            <v>[b]喷涌之汐[-]</v>
          </cell>
          <cell r="D37" t="str">
            <v>attack1_01|attack1_02</v>
          </cell>
          <cell r="I37" t="str">
            <v>0</v>
          </cell>
          <cell r="J37" t="str">
            <v>800|500</v>
          </cell>
          <cell r="K37">
            <v>0</v>
          </cell>
          <cell r="L37" t="str">
            <v>1000</v>
          </cell>
          <cell r="M37" t="str">
            <v>100</v>
          </cell>
          <cell r="N37" t="str">
            <v>e_c_ice_hit_big</v>
          </cell>
          <cell r="O37" t="str">
            <v>4</v>
          </cell>
        </row>
        <row r="38">
          <cell r="A38">
            <v>902</v>
          </cell>
          <cell r="B38" t="str">
            <v>[b]冰霜护盾[-]</v>
          </cell>
          <cell r="D38" t="str">
            <v>prepare</v>
          </cell>
          <cell r="I38" t="str">
            <v>0</v>
          </cell>
          <cell r="J38" t="str">
            <v>2000</v>
          </cell>
          <cell r="K38" t="str">
            <v>0</v>
          </cell>
          <cell r="L38" t="str">
            <v>620</v>
          </cell>
          <cell r="M38" t="str">
            <v>100</v>
          </cell>
          <cell r="O38" t="str">
            <v>10</v>
          </cell>
        </row>
        <row r="39">
          <cell r="A39">
            <v>911</v>
          </cell>
          <cell r="B39" t="str">
            <v>[b]正义防卫[-]</v>
          </cell>
          <cell r="D39" t="str">
            <v>attack1</v>
          </cell>
          <cell r="I39" t="str">
            <v>0</v>
          </cell>
          <cell r="J39" t="str">
            <v>1000</v>
          </cell>
          <cell r="K39">
            <v>0</v>
          </cell>
          <cell r="L39">
            <v>500</v>
          </cell>
          <cell r="M39" t="str">
            <v>100</v>
          </cell>
          <cell r="N39" t="str">
            <v>e_c_a_attack1_hit_1</v>
          </cell>
          <cell r="O39" t="str">
            <v>3</v>
          </cell>
        </row>
        <row r="40">
          <cell r="A40">
            <v>913</v>
          </cell>
          <cell r="B40" t="str">
            <v>[b]战斗意志[-]</v>
          </cell>
          <cell r="D40" t="str">
            <v>attack1</v>
          </cell>
          <cell r="I40" t="str">
            <v>0</v>
          </cell>
          <cell r="J40" t="str">
            <v>1000</v>
          </cell>
          <cell r="K40">
            <v>0</v>
          </cell>
          <cell r="L40">
            <v>500</v>
          </cell>
          <cell r="M40" t="str">
            <v>100</v>
          </cell>
          <cell r="N40" t="str">
            <v>e_c_a_attack1_hit_1</v>
          </cell>
          <cell r="O40" t="str">
            <v>3</v>
          </cell>
        </row>
        <row r="41">
          <cell r="A41">
            <v>914</v>
          </cell>
          <cell r="B41" t="str">
            <v>[b]双重打击[-]</v>
          </cell>
          <cell r="D41" t="str">
            <v>attack1|attack1</v>
          </cell>
          <cell r="I41" t="str">
            <v>0</v>
          </cell>
          <cell r="J41" t="str">
            <v>400|400</v>
          </cell>
          <cell r="K41">
            <v>0</v>
          </cell>
          <cell r="L41" t="str">
            <v>200|600</v>
          </cell>
          <cell r="M41" t="str">
            <v>50|50</v>
          </cell>
          <cell r="N41" t="str">
            <v>e_c_a_attack1_hit_1|e_c_a_attack1_hit_1</v>
          </cell>
          <cell r="O41" t="str">
            <v>3</v>
          </cell>
        </row>
        <row r="42">
          <cell r="A42">
            <v>916</v>
          </cell>
          <cell r="B42" t="str">
            <v>[b]虚弱[-]</v>
          </cell>
          <cell r="D42" t="str">
            <v>attack1_01|attack1_02</v>
          </cell>
          <cell r="E42" t="str">
            <v>attack1_03</v>
          </cell>
          <cell r="I42" t="str">
            <v>0</v>
          </cell>
          <cell r="J42" t="str">
            <v>600|100</v>
          </cell>
          <cell r="K42" t="str">
            <v>300</v>
          </cell>
          <cell r="L42" t="str">
            <v>1</v>
          </cell>
          <cell r="M42" t="str">
            <v>100</v>
          </cell>
          <cell r="N42" t="str">
            <v>e_c_n_01_hit</v>
          </cell>
          <cell r="O42">
            <v>10</v>
          </cell>
        </row>
        <row r="43">
          <cell r="A43">
            <v>917</v>
          </cell>
          <cell r="B43" t="str">
            <v>[b]疯狂姿态[-]</v>
          </cell>
          <cell r="D43" t="str">
            <v>prepare</v>
          </cell>
          <cell r="G43" t="str">
            <v>e_c_e_skill1_cast</v>
          </cell>
          <cell r="I43" t="str">
            <v>0</v>
          </cell>
          <cell r="J43" t="str">
            <v>1000</v>
          </cell>
          <cell r="K43">
            <v>0</v>
          </cell>
          <cell r="L43">
            <v>500</v>
          </cell>
          <cell r="M43" t="str">
            <v>100</v>
          </cell>
          <cell r="O43" t="str">
            <v>10</v>
          </cell>
        </row>
        <row r="44">
          <cell r="A44">
            <v>918</v>
          </cell>
          <cell r="B44" t="str">
            <v>[b]炽热伤害[-]</v>
          </cell>
          <cell r="D44" t="str">
            <v>attack1_01|attack1_02</v>
          </cell>
          <cell r="E44" t="str">
            <v>attack1_03</v>
          </cell>
          <cell r="I44" t="str">
            <v>0</v>
          </cell>
          <cell r="J44" t="str">
            <v>600|100</v>
          </cell>
          <cell r="K44" t="str">
            <v>300</v>
          </cell>
          <cell r="L44" t="str">
            <v>1</v>
          </cell>
          <cell r="M44" t="str">
            <v>100</v>
          </cell>
          <cell r="N44" t="str">
            <v>e_c_fire_hit_big</v>
          </cell>
          <cell r="O44">
            <v>10</v>
          </cell>
        </row>
        <row r="45">
          <cell r="A45">
            <v>922</v>
          </cell>
          <cell r="B45" t="str">
            <v>[b]狂暴[-]</v>
          </cell>
          <cell r="D45" t="str">
            <v>attack1|attack2|attack2</v>
          </cell>
          <cell r="I45" t="str">
            <v>0</v>
          </cell>
          <cell r="J45" t="str">
            <v>300|300|300</v>
          </cell>
          <cell r="K45">
            <v>0</v>
          </cell>
          <cell r="L45" t="str">
            <v>108|395|695</v>
          </cell>
          <cell r="M45" t="str">
            <v>33|33|34</v>
          </cell>
          <cell r="N45" t="str">
            <v>e_c_a_attack1_hit_1|e_c_a_attack1_hit_1</v>
          </cell>
          <cell r="O45" t="str">
            <v>3</v>
          </cell>
        </row>
        <row r="46">
          <cell r="A46">
            <v>923</v>
          </cell>
          <cell r="B46" t="str">
            <v>[b]嘲讽[-]</v>
          </cell>
          <cell r="D46" t="str">
            <v>scream</v>
          </cell>
          <cell r="G46" t="str">
            <v>e_c_e_skill1_cast</v>
          </cell>
          <cell r="I46" t="str">
            <v>0</v>
          </cell>
          <cell r="J46" t="str">
            <v>1000</v>
          </cell>
          <cell r="K46">
            <v>0</v>
          </cell>
          <cell r="L46">
            <v>308</v>
          </cell>
          <cell r="M46" t="str">
            <v>100</v>
          </cell>
          <cell r="O46" t="str">
            <v>5</v>
          </cell>
        </row>
        <row r="47">
          <cell r="A47">
            <v>924</v>
          </cell>
          <cell r="B47" t="str">
            <v>[b]眩晕[-]</v>
          </cell>
          <cell r="D47" t="str">
            <v>attack1</v>
          </cell>
          <cell r="I47" t="str">
            <v>0</v>
          </cell>
          <cell r="J47" t="str">
            <v>500</v>
          </cell>
          <cell r="K47">
            <v>0</v>
          </cell>
          <cell r="L47">
            <v>180</v>
          </cell>
          <cell r="M47" t="str">
            <v>100</v>
          </cell>
          <cell r="N47" t="str">
            <v>e_c_a_attack1_hit_1</v>
          </cell>
          <cell r="O47" t="str">
            <v>3</v>
          </cell>
        </row>
        <row r="48">
          <cell r="A48">
            <v>926</v>
          </cell>
          <cell r="B48" t="str">
            <v>[b]定时炸弹[-]</v>
          </cell>
          <cell r="D48" t="str">
            <v>attack2</v>
          </cell>
          <cell r="I48" t="str">
            <v>0</v>
          </cell>
          <cell r="J48" t="str">
            <v>1000</v>
          </cell>
          <cell r="K48">
            <v>0</v>
          </cell>
          <cell r="L48" t="str">
            <v>0</v>
          </cell>
          <cell r="M48" t="str">
            <v>100</v>
          </cell>
          <cell r="N48" t="str">
            <v>e_c_fire_hit_big</v>
          </cell>
          <cell r="O48" t="str">
            <v>3</v>
          </cell>
        </row>
        <row r="49">
          <cell r="A49">
            <v>928</v>
          </cell>
          <cell r="B49" t="str">
            <v>[b]重击[-]</v>
          </cell>
          <cell r="D49" t="str">
            <v>attack2</v>
          </cell>
          <cell r="G49" t="str">
            <v>e_c_e_skill1_cast</v>
          </cell>
          <cell r="I49" t="str">
            <v>0</v>
          </cell>
          <cell r="J49" t="str">
            <v>2200</v>
          </cell>
          <cell r="K49">
            <v>0</v>
          </cell>
          <cell r="L49">
            <v>792</v>
          </cell>
          <cell r="M49" t="str">
            <v>100</v>
          </cell>
          <cell r="N49" t="str">
            <v>e_c_a_attack1_hit_1</v>
          </cell>
          <cell r="O49" t="str">
            <v>3</v>
          </cell>
        </row>
        <row r="50">
          <cell r="A50">
            <v>932</v>
          </cell>
          <cell r="B50" t="str">
            <v>[b]炎爆术[-]</v>
          </cell>
          <cell r="D50" t="str">
            <v>scream</v>
          </cell>
          <cell r="I50" t="str">
            <v>0</v>
          </cell>
          <cell r="J50" t="str">
            <v>500</v>
          </cell>
          <cell r="K50">
            <v>0</v>
          </cell>
          <cell r="L50" t="str">
            <v>1</v>
          </cell>
          <cell r="M50" t="str">
            <v>100</v>
          </cell>
          <cell r="N50" t="str">
            <v>e_c_fire_hit_big</v>
          </cell>
          <cell r="O50">
            <v>10</v>
          </cell>
        </row>
        <row r="51">
          <cell r="A51">
            <v>934</v>
          </cell>
          <cell r="B51" t="str">
            <v>[b]火雨[-]</v>
          </cell>
          <cell r="D51" t="str">
            <v>scream</v>
          </cell>
          <cell r="I51" t="str">
            <v>0</v>
          </cell>
          <cell r="J51" t="str">
            <v>1000</v>
          </cell>
          <cell r="K51">
            <v>0</v>
          </cell>
          <cell r="L51">
            <v>300</v>
          </cell>
          <cell r="M51" t="str">
            <v>100</v>
          </cell>
          <cell r="N51" t="str">
            <v>e_c_a_attack1_hit_1</v>
          </cell>
          <cell r="O51" t="str">
            <v>8</v>
          </cell>
        </row>
        <row r="52">
          <cell r="A52">
            <v>937</v>
          </cell>
          <cell r="B52" t="str">
            <v>[b]灵风守护[-]</v>
          </cell>
          <cell r="D52" t="str">
            <v>scream</v>
          </cell>
          <cell r="G52" t="str">
            <v>e_c_e_skill1_cast</v>
          </cell>
          <cell r="I52" t="str">
            <v>0</v>
          </cell>
          <cell r="J52" t="str">
            <v>1000</v>
          </cell>
          <cell r="K52">
            <v>0</v>
          </cell>
          <cell r="L52">
            <v>300</v>
          </cell>
          <cell r="M52" t="str">
            <v>100</v>
          </cell>
          <cell r="O52" t="str">
            <v>3</v>
          </cell>
        </row>
        <row r="53">
          <cell r="A53">
            <v>938</v>
          </cell>
          <cell r="B53" t="str">
            <v>[b]龙卷风[-]</v>
          </cell>
          <cell r="D53" t="str">
            <v>scream</v>
          </cell>
          <cell r="G53" t="str">
            <v>e_c_a_skill2_4_cast</v>
          </cell>
          <cell r="I53" t="str">
            <v>0</v>
          </cell>
          <cell r="J53" t="str">
            <v>1500</v>
          </cell>
          <cell r="K53">
            <v>0</v>
          </cell>
          <cell r="L53" t="str">
            <v>300|450|600</v>
          </cell>
          <cell r="M53" t="str">
            <v>33|33|34</v>
          </cell>
          <cell r="N53" t="str">
            <v>e_c_a_attack1_hit_1|e_c_a_attack1_hit_1|e_c_a_attack1_hit_1</v>
          </cell>
          <cell r="O53" t="str">
            <v>3</v>
          </cell>
        </row>
        <row r="54">
          <cell r="A54">
            <v>943</v>
          </cell>
          <cell r="B54" t="str">
            <v>[b]无畏冲锋[-]</v>
          </cell>
          <cell r="D54" t="str">
            <v>skill1</v>
          </cell>
          <cell r="G54" t="str">
            <v>e_c_a_skill_bullet</v>
          </cell>
          <cell r="I54" t="str">
            <v>0</v>
          </cell>
          <cell r="J54" t="str">
            <v>500</v>
          </cell>
          <cell r="K54">
            <v>0</v>
          </cell>
          <cell r="L54" t="str">
            <v>500</v>
          </cell>
          <cell r="M54" t="str">
            <v>100</v>
          </cell>
          <cell r="O54" t="str">
            <v>8</v>
          </cell>
        </row>
        <row r="55">
          <cell r="A55">
            <v>944</v>
          </cell>
          <cell r="B55" t="str">
            <v>[b]嘲讽[-]</v>
          </cell>
          <cell r="D55" t="str">
            <v>attack2</v>
          </cell>
          <cell r="G55" t="str">
            <v>e_c_e_attack1_cast</v>
          </cell>
          <cell r="I55" t="str">
            <v>0</v>
          </cell>
          <cell r="J55" t="str">
            <v>1000</v>
          </cell>
          <cell r="K55" t="str">
            <v>0</v>
          </cell>
          <cell r="L55" t="str">
            <v>494</v>
          </cell>
          <cell r="M55" t="str">
            <v>100</v>
          </cell>
          <cell r="N55" t="str">
            <v>e_c_a_attack1_hit_4</v>
          </cell>
          <cell r="O55" t="str">
            <v>3</v>
          </cell>
        </row>
        <row r="56">
          <cell r="A56">
            <v>946</v>
          </cell>
          <cell r="B56" t="str">
            <v>[b]暗影新星[-]</v>
          </cell>
          <cell r="D56" t="str">
            <v>attack2</v>
          </cell>
          <cell r="G56" t="str">
            <v>e_c_e_skill1_cast</v>
          </cell>
          <cell r="I56" t="str">
            <v>0</v>
          </cell>
          <cell r="J56" t="str">
            <v>1000</v>
          </cell>
          <cell r="K56" t="str">
            <v>0</v>
          </cell>
          <cell r="L56" t="str">
            <v>500</v>
          </cell>
          <cell r="M56" t="str">
            <v>100</v>
          </cell>
          <cell r="N56" t="str">
            <v>e_c_n_01_hit</v>
          </cell>
          <cell r="O56" t="str">
            <v>5</v>
          </cell>
        </row>
        <row r="57">
          <cell r="A57">
            <v>949</v>
          </cell>
          <cell r="B57" t="str">
            <v>[b]暗影冲击[-]</v>
          </cell>
          <cell r="D57" t="str">
            <v>attack1_01</v>
          </cell>
          <cell r="E57" t="str">
            <v>attack1_02</v>
          </cell>
          <cell r="I57" t="str">
            <v>0</v>
          </cell>
          <cell r="J57" t="str">
            <v>300</v>
          </cell>
          <cell r="K57" t="str">
            <v>320</v>
          </cell>
          <cell r="L57" t="str">
            <v>1</v>
          </cell>
          <cell r="M57" t="str">
            <v>100</v>
          </cell>
          <cell r="N57" t="str">
            <v>e_c_n_01_hit</v>
          </cell>
          <cell r="O57" t="str">
            <v>8</v>
          </cell>
        </row>
        <row r="58">
          <cell r="A58">
            <v>951</v>
          </cell>
          <cell r="B58" t="str">
            <v>[b]万箭穿心[-]</v>
          </cell>
          <cell r="D58" t="str">
            <v>skill_2</v>
          </cell>
          <cell r="G58" t="str">
            <v>e_c_multishot_cast</v>
          </cell>
          <cell r="I58" t="str">
            <v>0</v>
          </cell>
          <cell r="J58" t="str">
            <v>1500</v>
          </cell>
          <cell r="K58">
            <v>0</v>
          </cell>
          <cell r="L58">
            <v>800</v>
          </cell>
          <cell r="M58" t="str">
            <v>100</v>
          </cell>
          <cell r="N58" t="str">
            <v>e_c_a_attack1_hit_1</v>
          </cell>
          <cell r="O58" t="str">
            <v>5</v>
          </cell>
        </row>
        <row r="59">
          <cell r="A59">
            <v>952</v>
          </cell>
          <cell r="B59" t="str">
            <v>[b]星光术[-]</v>
          </cell>
          <cell r="D59" t="str">
            <v>skill_1</v>
          </cell>
          <cell r="I59" t="str">
            <v>0</v>
          </cell>
          <cell r="J59" t="str">
            <v>800</v>
          </cell>
          <cell r="K59">
            <v>0</v>
          </cell>
          <cell r="L59">
            <v>800</v>
          </cell>
          <cell r="M59" t="str">
            <v>100</v>
          </cell>
          <cell r="N59" t="str">
            <v>e_c_a_attack1_hit_1</v>
          </cell>
          <cell r="O59" t="str">
            <v>8</v>
          </cell>
        </row>
        <row r="60">
          <cell r="A60">
            <v>954</v>
          </cell>
          <cell r="B60" t="str">
            <v>[b]极速穿越[-]</v>
          </cell>
          <cell r="D60" t="str">
            <v>attack1_01</v>
          </cell>
          <cell r="E60" t="str">
            <v>attack1_02</v>
          </cell>
          <cell r="I60" t="str">
            <v>0</v>
          </cell>
          <cell r="J60" t="str">
            <v>100</v>
          </cell>
          <cell r="K60" t="str">
            <v>500</v>
          </cell>
          <cell r="L60" t="str">
            <v>0</v>
          </cell>
          <cell r="M60" t="str">
            <v>100</v>
          </cell>
          <cell r="O60" t="str">
            <v>5</v>
          </cell>
        </row>
        <row r="61">
          <cell r="A61">
            <v>959</v>
          </cell>
          <cell r="B61" t="str">
            <v>[b]闪电链[-]</v>
          </cell>
          <cell r="D61" t="str">
            <v>attack2_01</v>
          </cell>
          <cell r="E61" t="str">
            <v>attack2_02</v>
          </cell>
          <cell r="I61" t="str">
            <v>0</v>
          </cell>
          <cell r="J61" t="str">
            <v>300</v>
          </cell>
          <cell r="K61" t="str">
            <v>200</v>
          </cell>
          <cell r="L61" t="str">
            <v>1</v>
          </cell>
          <cell r="M61" t="str">
            <v>100</v>
          </cell>
          <cell r="N61" t="str">
            <v>e_c_light_hit</v>
          </cell>
          <cell r="O61" t="str">
            <v>3</v>
          </cell>
        </row>
        <row r="62">
          <cell r="A62">
            <v>965</v>
          </cell>
          <cell r="B62" t="str">
            <v>[b]瑞文戴尔普攻[-]</v>
          </cell>
          <cell r="D62" t="str">
            <v>attack1</v>
          </cell>
          <cell r="I62" t="str">
            <v>0</v>
          </cell>
          <cell r="J62" t="str">
            <v>1660</v>
          </cell>
          <cell r="K62" t="str">
            <v>0</v>
          </cell>
          <cell r="L62">
            <v>777</v>
          </cell>
          <cell r="M62" t="str">
            <v>100</v>
          </cell>
          <cell r="N62" t="str">
            <v>e_c_ice_hit_big</v>
          </cell>
          <cell r="O62" t="str">
            <v>3</v>
          </cell>
        </row>
        <row r="63">
          <cell r="A63">
            <v>966</v>
          </cell>
          <cell r="B63" t="str">
            <v>[b]恐惧风暴[-]</v>
          </cell>
          <cell r="D63" t="str">
            <v>skill_1</v>
          </cell>
          <cell r="I63" t="str">
            <v>0</v>
          </cell>
          <cell r="J63" t="str">
            <v>1833</v>
          </cell>
          <cell r="K63" t="str">
            <v>0</v>
          </cell>
          <cell r="L63" t="str">
            <v>1237</v>
          </cell>
          <cell r="M63" t="str">
            <v>100</v>
          </cell>
          <cell r="N63" t="str">
            <v>e_c_n_01_hit</v>
          </cell>
          <cell r="O63" t="str">
            <v>8</v>
          </cell>
        </row>
        <row r="64">
          <cell r="A64">
            <v>967</v>
          </cell>
          <cell r="B64" t="str">
            <v>[b]黑暗漩涡[-]</v>
          </cell>
          <cell r="D64" t="str">
            <v>skill_1</v>
          </cell>
          <cell r="I64" t="str">
            <v>0</v>
          </cell>
          <cell r="J64" t="str">
            <v>1833</v>
          </cell>
          <cell r="K64" t="str">
            <v>0</v>
          </cell>
          <cell r="L64" t="str">
            <v>1237</v>
          </cell>
          <cell r="M64" t="str">
            <v>100</v>
          </cell>
          <cell r="N64" t="str">
            <v>e_c_n_01_hit</v>
          </cell>
          <cell r="O64" t="str">
            <v>5</v>
          </cell>
        </row>
        <row r="65">
          <cell r="A65">
            <v>968</v>
          </cell>
          <cell r="B65" t="str">
            <v>[b]邪恶之影[-]</v>
          </cell>
          <cell r="C65" t="str">
            <v>skill_1</v>
          </cell>
          <cell r="I65" t="str">
            <v>1833</v>
          </cell>
          <cell r="J65" t="str">
            <v>1</v>
          </cell>
          <cell r="K65" t="str">
            <v>0</v>
          </cell>
          <cell r="L65" t="str">
            <v>1</v>
          </cell>
          <cell r="M65" t="str">
            <v>100</v>
          </cell>
          <cell r="N65" t="str">
            <v>e_c_n_01_hit</v>
          </cell>
          <cell r="O65" t="str">
            <v>8</v>
          </cell>
        </row>
        <row r="66">
          <cell r="A66">
            <v>969</v>
          </cell>
          <cell r="B66" t="str">
            <v>[b]冰霜锁链[-]</v>
          </cell>
          <cell r="D66" t="str">
            <v>skill_2</v>
          </cell>
          <cell r="I66" t="str">
            <v>0</v>
          </cell>
          <cell r="J66" t="str">
            <v>1600</v>
          </cell>
          <cell r="K66" t="str">
            <v>0</v>
          </cell>
          <cell r="L66" t="str">
            <v>1250|1375|1500</v>
          </cell>
          <cell r="M66" t="str">
            <v>34|33|33</v>
          </cell>
          <cell r="N66" t="str">
            <v>e_c_ice_hit_big</v>
          </cell>
          <cell r="O66" t="str">
            <v>5</v>
          </cell>
        </row>
        <row r="67">
          <cell r="A67">
            <v>972</v>
          </cell>
          <cell r="B67" t="str">
            <v>[b]嗜血狂暴[-]</v>
          </cell>
          <cell r="D67" t="str">
            <v>scream</v>
          </cell>
          <cell r="I67" t="str">
            <v>0</v>
          </cell>
          <cell r="J67" t="str">
            <v>1200</v>
          </cell>
          <cell r="K67">
            <v>0</v>
          </cell>
          <cell r="L67">
            <v>552</v>
          </cell>
          <cell r="M67" t="str">
            <v>100</v>
          </cell>
          <cell r="O67" t="str">
            <v>3</v>
          </cell>
        </row>
        <row r="68">
          <cell r="A68">
            <v>976</v>
          </cell>
          <cell r="B68" t="str">
            <v>[b]多重打击[-]</v>
          </cell>
          <cell r="D68" t="str">
            <v>skill_2</v>
          </cell>
          <cell r="G68" t="str">
            <v>e_c_cast_004</v>
          </cell>
          <cell r="I68" t="str">
            <v>250</v>
          </cell>
          <cell r="J68" t="str">
            <v>1200</v>
          </cell>
          <cell r="K68">
            <v>0</v>
          </cell>
          <cell r="L68" t="str">
            <v>207|303|410|511|612|696</v>
          </cell>
          <cell r="M68" t="str">
            <v>15|15|15|15|15|25</v>
          </cell>
          <cell r="N68" t="str">
            <v>e_c_a_attack1_hit_4|e_c_a_attack1_hit_4|e_c_a_attack1_hit_4</v>
          </cell>
          <cell r="O68" t="str">
            <v>3</v>
          </cell>
        </row>
        <row r="69">
          <cell r="A69">
            <v>982</v>
          </cell>
          <cell r="B69" t="str">
            <v>[b]神圣征服[-]</v>
          </cell>
          <cell r="D69" t="str">
            <v>skill_1</v>
          </cell>
          <cell r="G69" t="str">
            <v>e_c_e_skill2_cast</v>
          </cell>
          <cell r="I69" t="str">
            <v>1</v>
          </cell>
          <cell r="J69" t="str">
            <v>500</v>
          </cell>
          <cell r="K69">
            <v>0</v>
          </cell>
          <cell r="L69" t="str">
            <v>200</v>
          </cell>
          <cell r="M69" t="str">
            <v>100</v>
          </cell>
          <cell r="N69" t="str">
            <v>e_c_a_attack1_hit_4</v>
          </cell>
          <cell r="O69" t="str">
            <v>8</v>
          </cell>
        </row>
        <row r="70">
          <cell r="A70">
            <v>987</v>
          </cell>
          <cell r="B70" t="str">
            <v>[b]盾墙[-]</v>
          </cell>
          <cell r="D70" t="str">
            <v>skill1</v>
          </cell>
          <cell r="G70" t="str">
            <v>e_c_e_skill1_cast</v>
          </cell>
          <cell r="I70" t="str">
            <v>0</v>
          </cell>
          <cell r="J70" t="str">
            <v>1425</v>
          </cell>
          <cell r="K70">
            <v>0</v>
          </cell>
          <cell r="L70">
            <v>285</v>
          </cell>
          <cell r="M70" t="str">
            <v>100</v>
          </cell>
          <cell r="O70" t="str">
            <v>3</v>
          </cell>
        </row>
        <row r="71">
          <cell r="A71">
            <v>991</v>
          </cell>
          <cell r="B71" t="str">
            <v>[b]神圣威慑[-]</v>
          </cell>
          <cell r="D71" t="str">
            <v>skill_1</v>
          </cell>
          <cell r="G71" t="str">
            <v>e_c_e_skill2_cast</v>
          </cell>
          <cell r="I71" t="str">
            <v>1</v>
          </cell>
          <cell r="J71" t="str">
            <v>500</v>
          </cell>
          <cell r="K71">
            <v>0</v>
          </cell>
          <cell r="L71" t="str">
            <v>200</v>
          </cell>
          <cell r="M71" t="str">
            <v>100</v>
          </cell>
          <cell r="N71" t="str">
            <v>e_c_a_attack1_hit_4</v>
          </cell>
          <cell r="O71" t="str">
            <v>8</v>
          </cell>
        </row>
        <row r="72">
          <cell r="A72">
            <v>995</v>
          </cell>
          <cell r="B72" t="str">
            <v>[b]奥蕾莉亚普攻[-]</v>
          </cell>
          <cell r="D72" t="str">
            <v>attack1_01</v>
          </cell>
          <cell r="E72" t="str">
            <v>attack1_02</v>
          </cell>
          <cell r="I72" t="str">
            <v>0</v>
          </cell>
          <cell r="J72" t="str">
            <v>800</v>
          </cell>
          <cell r="K72" t="str">
            <v>500</v>
          </cell>
          <cell r="L72" t="str">
            <v>1</v>
          </cell>
          <cell r="M72" t="str">
            <v>100</v>
          </cell>
          <cell r="N72" t="str">
            <v>e_c_a_attack1_hit_1</v>
          </cell>
          <cell r="O72">
            <v>10</v>
          </cell>
        </row>
        <row r="73">
          <cell r="A73">
            <v>996</v>
          </cell>
          <cell r="B73" t="str">
            <v>[b]幻影之箭[-]</v>
          </cell>
          <cell r="D73" t="str">
            <v>attack1_01|attack1_01|attack1_01|attack1_01|skill_2</v>
          </cell>
          <cell r="E73" t="str">
            <v>attack1_02</v>
          </cell>
          <cell r="G73" t="str">
            <v>e_c_zzsj_cast|e_c_zzsj_cast|e_c_zzsj_cast|e_c_zzsj_cast|e_c_zzsj_cast</v>
          </cell>
          <cell r="I73" t="str">
            <v>0</v>
          </cell>
          <cell r="J73" t="str">
            <v>250|250|250|250|250</v>
          </cell>
          <cell r="K73">
            <v>300</v>
          </cell>
          <cell r="L73" t="str">
            <v>300|450|600|750|850</v>
          </cell>
          <cell r="M73" t="str">
            <v>20|20|20|20|20</v>
          </cell>
          <cell r="N73" t="str">
            <v>e_c_a_attack1_hit_1|e_c_a_attack1_hit_1|e_c_a_attack1_hit_1|e_c_a_attack1_hit_1|e_c_a_attack1_hit_1</v>
          </cell>
          <cell r="O73" t="str">
            <v>8</v>
          </cell>
        </row>
        <row r="74">
          <cell r="A74">
            <v>997</v>
          </cell>
          <cell r="B74" t="str">
            <v>[b]箭雨[-]</v>
          </cell>
          <cell r="D74" t="str">
            <v>skill_1</v>
          </cell>
          <cell r="I74" t="str">
            <v>0</v>
          </cell>
          <cell r="J74" t="str">
            <v>1000</v>
          </cell>
          <cell r="K74">
            <v>0</v>
          </cell>
          <cell r="L74">
            <v>800</v>
          </cell>
          <cell r="M74" t="str">
            <v>100</v>
          </cell>
          <cell r="N74" t="str">
            <v>e_c_a_attack1_hit_1</v>
          </cell>
          <cell r="O74" t="str">
            <v>8</v>
          </cell>
        </row>
        <row r="75">
          <cell r="A75">
            <v>998</v>
          </cell>
          <cell r="B75" t="str">
            <v>[b]震荡箭[-]</v>
          </cell>
          <cell r="D75" t="str">
            <v>attack1_01</v>
          </cell>
          <cell r="E75" t="str">
            <v>attack1_02</v>
          </cell>
          <cell r="I75" t="str">
            <v>0</v>
          </cell>
          <cell r="J75" t="str">
            <v>400</v>
          </cell>
          <cell r="K75" t="str">
            <v>250</v>
          </cell>
          <cell r="L75" t="str">
            <v>1</v>
          </cell>
          <cell r="M75" t="str">
            <v>100</v>
          </cell>
          <cell r="N75" t="str">
            <v>e_c_a_attack1_hit_1</v>
          </cell>
          <cell r="O75">
            <v>10</v>
          </cell>
        </row>
        <row r="76">
          <cell r="A76">
            <v>999</v>
          </cell>
          <cell r="B76" t="str">
            <v>[b]心眼[-]</v>
          </cell>
          <cell r="D76" t="str">
            <v>skill_1</v>
          </cell>
          <cell r="G76" t="str">
            <v>e_c_e_skill1_cast</v>
          </cell>
          <cell r="I76" t="str">
            <v>0</v>
          </cell>
          <cell r="J76" t="str">
            <v>1000</v>
          </cell>
          <cell r="K76" t="str">
            <v>0</v>
          </cell>
          <cell r="L76" t="str">
            <v>350</v>
          </cell>
          <cell r="M76" t="str">
            <v>100</v>
          </cell>
          <cell r="O76" t="str">
            <v>10</v>
          </cell>
        </row>
        <row r="77">
          <cell r="A77">
            <v>7014</v>
          </cell>
          <cell r="B77" t="str">
            <v>[b]荣耀之盾1阶[-]</v>
          </cell>
          <cell r="D77" t="str">
            <v>scream</v>
          </cell>
          <cell r="I77" t="str">
            <v>0</v>
          </cell>
          <cell r="J77" t="str">
            <v>500</v>
          </cell>
          <cell r="K77" t="str">
            <v>0</v>
          </cell>
          <cell r="L77" t="str">
            <v>0</v>
          </cell>
          <cell r="M77" t="str">
            <v/>
          </cell>
          <cell r="O77" t="str">
            <v>3</v>
          </cell>
        </row>
        <row r="78">
          <cell r="A78">
            <v>7015</v>
          </cell>
          <cell r="B78" t="str">
            <v>[b]荣耀之剑1阶[-]-5</v>
          </cell>
          <cell r="D78" t="str">
            <v>scream</v>
          </cell>
          <cell r="I78" t="str">
            <v>0</v>
          </cell>
          <cell r="J78" t="str">
            <v>500</v>
          </cell>
          <cell r="K78" t="str">
            <v>0</v>
          </cell>
          <cell r="L78" t="str">
            <v>0</v>
          </cell>
          <cell r="M78" t="str">
            <v/>
          </cell>
          <cell r="O78" t="str">
            <v>3</v>
          </cell>
        </row>
        <row r="79">
          <cell r="A79">
            <v>7016</v>
          </cell>
          <cell r="B79" t="str">
            <v>[b]荣耀之捷1阶[-]</v>
          </cell>
          <cell r="D79" t="str">
            <v>scream</v>
          </cell>
          <cell r="I79" t="str">
            <v>0</v>
          </cell>
          <cell r="J79" t="str">
            <v>500</v>
          </cell>
          <cell r="K79" t="str">
            <v>0</v>
          </cell>
          <cell r="L79" t="str">
            <v>0</v>
          </cell>
          <cell r="M79" t="str">
            <v/>
          </cell>
          <cell r="O79" t="str">
            <v>3</v>
          </cell>
        </row>
        <row r="80">
          <cell r="A80">
            <v>7114</v>
          </cell>
          <cell r="B80" t="str">
            <v>[b]荣耀之盾2阶[-]</v>
          </cell>
          <cell r="D80" t="str">
            <v>scream</v>
          </cell>
          <cell r="I80" t="str">
            <v>0</v>
          </cell>
          <cell r="J80" t="str">
            <v>500</v>
          </cell>
          <cell r="K80" t="str">
            <v>0</v>
          </cell>
          <cell r="L80" t="str">
            <v>0</v>
          </cell>
          <cell r="M80" t="str">
            <v/>
          </cell>
          <cell r="O80" t="str">
            <v>3</v>
          </cell>
        </row>
        <row r="81">
          <cell r="A81">
            <v>7115</v>
          </cell>
          <cell r="B81" t="str">
            <v>[b]荣耀之剑2阶[-]-5</v>
          </cell>
          <cell r="D81" t="str">
            <v>scream</v>
          </cell>
          <cell r="I81" t="str">
            <v>0</v>
          </cell>
          <cell r="J81" t="str">
            <v>500</v>
          </cell>
          <cell r="K81" t="str">
            <v>0</v>
          </cell>
          <cell r="L81" t="str">
            <v>0</v>
          </cell>
          <cell r="M81" t="str">
            <v/>
          </cell>
          <cell r="O81" t="str">
            <v>3</v>
          </cell>
        </row>
        <row r="82">
          <cell r="A82">
            <v>7116</v>
          </cell>
          <cell r="B82" t="str">
            <v>[b]荣耀之捷2阶[-]</v>
          </cell>
          <cell r="D82" t="str">
            <v>scream</v>
          </cell>
          <cell r="I82" t="str">
            <v>0</v>
          </cell>
          <cell r="J82" t="str">
            <v>500</v>
          </cell>
          <cell r="K82" t="str">
            <v>0</v>
          </cell>
          <cell r="L82" t="str">
            <v>0</v>
          </cell>
          <cell r="M82" t="str">
            <v/>
          </cell>
          <cell r="O82" t="str">
            <v>3</v>
          </cell>
        </row>
        <row r="83">
          <cell r="A83">
            <v>7214</v>
          </cell>
          <cell r="B83" t="str">
            <v>[b]荣耀之盾3阶[-]</v>
          </cell>
          <cell r="D83" t="str">
            <v>scream</v>
          </cell>
          <cell r="I83" t="str">
            <v>0</v>
          </cell>
          <cell r="J83" t="str">
            <v>500</v>
          </cell>
          <cell r="K83" t="str">
            <v>0</v>
          </cell>
          <cell r="L83" t="str">
            <v>0</v>
          </cell>
          <cell r="M83" t="str">
            <v/>
          </cell>
          <cell r="O83" t="str">
            <v>3</v>
          </cell>
        </row>
        <row r="84">
          <cell r="A84">
            <v>7215</v>
          </cell>
          <cell r="B84" t="str">
            <v>[b]荣耀之剑3阶[-]-5</v>
          </cell>
          <cell r="D84" t="str">
            <v>scream</v>
          </cell>
          <cell r="I84" t="str">
            <v>0</v>
          </cell>
          <cell r="J84" t="str">
            <v>500</v>
          </cell>
          <cell r="K84" t="str">
            <v>0</v>
          </cell>
          <cell r="L84" t="str">
            <v>0</v>
          </cell>
          <cell r="M84" t="str">
            <v/>
          </cell>
          <cell r="O84" t="str">
            <v>3</v>
          </cell>
        </row>
        <row r="85">
          <cell r="A85">
            <v>7216</v>
          </cell>
          <cell r="B85" t="str">
            <v>[b]荣耀之捷3阶[-]</v>
          </cell>
          <cell r="D85" t="str">
            <v>scream</v>
          </cell>
          <cell r="I85" t="str">
            <v>0</v>
          </cell>
          <cell r="J85" t="str">
            <v>500</v>
          </cell>
          <cell r="K85" t="str">
            <v>0</v>
          </cell>
          <cell r="L85" t="str">
            <v>0</v>
          </cell>
          <cell r="M85" t="str">
            <v/>
          </cell>
          <cell r="O85" t="str">
            <v>3</v>
          </cell>
        </row>
        <row r="86">
          <cell r="A86">
            <v>7314</v>
          </cell>
          <cell r="B86" t="str">
            <v>[b]荣耀-破釜沉舟[-]</v>
          </cell>
          <cell r="D86" t="str">
            <v>prepare</v>
          </cell>
          <cell r="I86" t="str">
            <v>0</v>
          </cell>
          <cell r="J86" t="str">
            <v>1</v>
          </cell>
          <cell r="K86" t="str">
            <v>0</v>
          </cell>
          <cell r="L86" t="str">
            <v>0</v>
          </cell>
          <cell r="M86" t="str">
            <v/>
          </cell>
          <cell r="O86" t="str">
            <v>3</v>
          </cell>
        </row>
        <row r="87">
          <cell r="A87">
            <v>7315</v>
          </cell>
          <cell r="B87" t="str">
            <v>[b]荣耀·雷霆风暴[-]-5</v>
          </cell>
          <cell r="D87" t="str">
            <v>prepare</v>
          </cell>
          <cell r="I87" t="str">
            <v>0</v>
          </cell>
          <cell r="J87" t="str">
            <v>1</v>
          </cell>
          <cell r="K87" t="str">
            <v>0</v>
          </cell>
          <cell r="L87" t="str">
            <v>0</v>
          </cell>
          <cell r="M87" t="str">
            <v/>
          </cell>
          <cell r="O87" t="str">
            <v>3</v>
          </cell>
        </row>
        <row r="88">
          <cell r="A88">
            <v>7316</v>
          </cell>
          <cell r="B88" t="str">
            <v>[b]荣耀-火球冲击[-]</v>
          </cell>
          <cell r="D88" t="str">
            <v>prepare</v>
          </cell>
          <cell r="I88" t="str">
            <v>0</v>
          </cell>
          <cell r="J88" t="str">
            <v>1</v>
          </cell>
          <cell r="K88" t="str">
            <v>0</v>
          </cell>
          <cell r="L88" t="str">
            <v>1</v>
          </cell>
          <cell r="M88" t="str">
            <v>100</v>
          </cell>
          <cell r="N88" t="str">
            <v>e_c_fire_hit_big</v>
          </cell>
          <cell r="O88" t="str">
            <v>10</v>
          </cell>
        </row>
        <row r="89">
          <cell r="A89">
            <v>8887</v>
          </cell>
          <cell r="B89" t="str">
            <v>战士展示动作</v>
          </cell>
          <cell r="D89" t="str">
            <v>show</v>
          </cell>
          <cell r="G89" t="str">
            <v>e_c_show_1</v>
          </cell>
          <cell r="I89" t="str">
            <v>0</v>
          </cell>
          <cell r="J89" t="str">
            <v>3700</v>
          </cell>
          <cell r="K89">
            <v>0</v>
          </cell>
          <cell r="L89" t="str">
            <v>1</v>
          </cell>
          <cell r="M89" t="str">
            <v>100</v>
          </cell>
          <cell r="O89" t="str">
            <v>10</v>
          </cell>
        </row>
        <row r="90">
          <cell r="A90">
            <v>8888</v>
          </cell>
          <cell r="B90" t="str">
            <v>骑士展示动作</v>
          </cell>
          <cell r="D90" t="str">
            <v>show</v>
          </cell>
          <cell r="G90" t="str">
            <v>e_c_show_2</v>
          </cell>
          <cell r="I90" t="str">
            <v>0</v>
          </cell>
          <cell r="J90" t="str">
            <v>3967</v>
          </cell>
          <cell r="K90">
            <v>0</v>
          </cell>
          <cell r="L90" t="str">
            <v>1</v>
          </cell>
          <cell r="M90" t="str">
            <v>100</v>
          </cell>
          <cell r="O90" t="str">
            <v>10</v>
          </cell>
        </row>
        <row r="91">
          <cell r="A91">
            <v>8889</v>
          </cell>
          <cell r="B91" t="str">
            <v>法师展示动作</v>
          </cell>
          <cell r="D91" t="str">
            <v>show</v>
          </cell>
          <cell r="G91" t="str">
            <v>e_c_show_3</v>
          </cell>
          <cell r="I91" t="str">
            <v>0</v>
          </cell>
          <cell r="J91" t="str">
            <v>4333</v>
          </cell>
          <cell r="K91">
            <v>0</v>
          </cell>
          <cell r="L91" t="str">
            <v>1</v>
          </cell>
          <cell r="M91" t="str">
            <v>100</v>
          </cell>
          <cell r="O91" t="str">
            <v>10</v>
          </cell>
        </row>
        <row r="92">
          <cell r="A92">
            <v>9001</v>
          </cell>
          <cell r="B92" t="str">
            <v>[b]旋风斩-拉格霍尔[-]</v>
          </cell>
          <cell r="D92" t="str">
            <v>skill1</v>
          </cell>
          <cell r="G92" t="str">
            <v>e_c_a_skill2_cast</v>
          </cell>
          <cell r="I92" t="str">
            <v>0</v>
          </cell>
          <cell r="J92" t="str">
            <v>1400</v>
          </cell>
          <cell r="K92">
            <v>0</v>
          </cell>
          <cell r="L92" t="str">
            <v>420|550|680</v>
          </cell>
          <cell r="M92" t="str">
            <v>33|33|34</v>
          </cell>
          <cell r="N92" t="str">
            <v>e_c_a_attack1_hit_4|e_c_a_attack1_hit_4|e_c_a_attack1_hit_4</v>
          </cell>
          <cell r="O92" t="str">
            <v>3</v>
          </cell>
        </row>
        <row r="93">
          <cell r="A93">
            <v>9002</v>
          </cell>
          <cell r="B93" t="str">
            <v>[b]重伤-拉格霍尔[-]</v>
          </cell>
          <cell r="D93" t="str">
            <v>attack2</v>
          </cell>
          <cell r="I93" t="str">
            <v>0</v>
          </cell>
          <cell r="J93" t="str">
            <v>1000</v>
          </cell>
          <cell r="K93" t="str">
            <v>0</v>
          </cell>
          <cell r="L93" t="str">
            <v>494</v>
          </cell>
          <cell r="M93" t="str">
            <v>100</v>
          </cell>
          <cell r="N93" t="str">
            <v>e_c_a_attack1_hit_4</v>
          </cell>
          <cell r="O93" t="str">
            <v>3</v>
          </cell>
        </row>
        <row r="94">
          <cell r="A94">
            <v>9003</v>
          </cell>
          <cell r="B94" t="str">
            <v>[b]刀扇[-]</v>
          </cell>
          <cell r="C94" t="str">
            <v>scream</v>
          </cell>
          <cell r="D94" t="str">
            <v>skill_1</v>
          </cell>
          <cell r="G94" t="str">
            <v>e_c_cast_004</v>
          </cell>
          <cell r="I94" t="str">
            <v>1500</v>
          </cell>
          <cell r="J94" t="str">
            <v>1500</v>
          </cell>
          <cell r="K94" t="str">
            <v>0</v>
          </cell>
          <cell r="L94" t="str">
            <v>500</v>
          </cell>
          <cell r="M94" t="str">
            <v>100</v>
          </cell>
          <cell r="N94" t="str">
            <v>e_c_a_attack1_hit_1</v>
          </cell>
          <cell r="O94" t="str">
            <v>3</v>
          </cell>
        </row>
        <row r="95">
          <cell r="A95">
            <v>9004</v>
          </cell>
          <cell r="B95" t="str">
            <v>[b]定时炸弹[-]</v>
          </cell>
          <cell r="I95" t="str">
            <v>0</v>
          </cell>
          <cell r="J95" t="str">
            <v>0</v>
          </cell>
          <cell r="K95" t="str">
            <v>0</v>
          </cell>
          <cell r="L95" t="str">
            <v>0</v>
          </cell>
          <cell r="M95" t="str">
            <v>100</v>
          </cell>
          <cell r="N95" t="str">
            <v>e_c_fire_hit_big</v>
          </cell>
          <cell r="O95" t="str">
            <v>99</v>
          </cell>
        </row>
        <row r="96">
          <cell r="A96">
            <v>9005</v>
          </cell>
          <cell r="B96" t="str">
            <v>[b]范克利斧普攻[-]</v>
          </cell>
          <cell r="D96" t="str">
            <v>attack1_01|attack1_02</v>
          </cell>
          <cell r="I96" t="str">
            <v>0</v>
          </cell>
          <cell r="J96" t="str">
            <v>800|533</v>
          </cell>
          <cell r="K96" t="str">
            <v>0</v>
          </cell>
          <cell r="L96" t="str">
            <v>512|304</v>
          </cell>
          <cell r="M96" t="str">
            <v>50|50</v>
          </cell>
          <cell r="N96" t="str">
            <v>e_c_a_attack1_hit_1|e_c_a_attack1_hit_1</v>
          </cell>
          <cell r="O96" t="str">
            <v>3</v>
          </cell>
        </row>
        <row r="97">
          <cell r="A97">
            <v>9006</v>
          </cell>
          <cell r="B97" t="str">
            <v>[b]熔岩火球X3击晕[-]</v>
          </cell>
          <cell r="D97" t="str">
            <v>attack3_02</v>
          </cell>
          <cell r="I97" t="str">
            <v>0</v>
          </cell>
          <cell r="J97" t="str">
            <v>1500</v>
          </cell>
          <cell r="K97" t="str">
            <v>0</v>
          </cell>
          <cell r="L97" t="str">
            <v>0</v>
          </cell>
          <cell r="M97" t="str">
            <v>100</v>
          </cell>
          <cell r="N97" t="str">
            <v>e_c_fire_hit_big</v>
          </cell>
          <cell r="O97" t="str">
            <v>10</v>
          </cell>
        </row>
        <row r="98">
          <cell r="A98">
            <v>9007</v>
          </cell>
          <cell r="B98" t="str">
            <v>[b]熔岩喷发[-]</v>
          </cell>
          <cell r="I98" t="str">
            <v>0</v>
          </cell>
          <cell r="J98" t="str">
            <v>0</v>
          </cell>
          <cell r="K98" t="str">
            <v>0</v>
          </cell>
          <cell r="L98" t="str">
            <v>0</v>
          </cell>
          <cell r="M98" t="str">
            <v>100</v>
          </cell>
          <cell r="N98" t="str">
            <v>e_c_holy_hit</v>
          </cell>
          <cell r="O98" t="str">
            <v>99</v>
          </cell>
        </row>
        <row r="99">
          <cell r="A99">
            <v>9008</v>
          </cell>
          <cell r="B99" t="str">
            <v>[b]昏迷4sR30[-]</v>
          </cell>
          <cell r="D99" t="str">
            <v>scream</v>
          </cell>
          <cell r="G99" t="str">
            <v>e_c_a_battlecry_cast</v>
          </cell>
          <cell r="I99" t="str">
            <v>0</v>
          </cell>
          <cell r="J99" t="str">
            <v>4000</v>
          </cell>
          <cell r="K99" t="str">
            <v>0</v>
          </cell>
          <cell r="L99" t="str">
            <v>1</v>
          </cell>
          <cell r="M99" t="str">
            <v>100</v>
          </cell>
          <cell r="N99" t="str">
            <v>e_c_a_attack1_hit_1</v>
          </cell>
          <cell r="O99" t="str">
            <v>3</v>
          </cell>
        </row>
        <row r="100">
          <cell r="A100">
            <v>9009</v>
          </cell>
          <cell r="B100" t="str">
            <v>[b]冻结4s[-]</v>
          </cell>
          <cell r="C100" t="str">
            <v>skill_1</v>
          </cell>
          <cell r="D100" t="str">
            <v>skill_2</v>
          </cell>
          <cell r="G100" t="str">
            <v>e_c_d_iceBlast_cast</v>
          </cell>
          <cell r="I100" t="str">
            <v>4000</v>
          </cell>
          <cell r="J100" t="str">
            <v>500</v>
          </cell>
          <cell r="K100" t="str">
            <v>0</v>
          </cell>
          <cell r="L100" t="str">
            <v>300</v>
          </cell>
          <cell r="M100" t="str">
            <v>100</v>
          </cell>
          <cell r="N100" t="str">
            <v>e_c_ice_hit_big</v>
          </cell>
          <cell r="O100" t="str">
            <v>8</v>
          </cell>
        </row>
        <row r="101">
          <cell r="A101">
            <v>9010</v>
          </cell>
          <cell r="B101" t="str">
            <v>[b]单体昏迷[-]</v>
          </cell>
          <cell r="D101" t="str">
            <v>skill4_01</v>
          </cell>
          <cell r="G101" t="str">
            <v>e_c_e_skill1_cast</v>
          </cell>
          <cell r="I101" t="str">
            <v>0</v>
          </cell>
          <cell r="J101" t="str">
            <v>1000</v>
          </cell>
          <cell r="K101" t="str">
            <v>0</v>
          </cell>
          <cell r="L101" t="str">
            <v>1000</v>
          </cell>
          <cell r="M101" t="str">
            <v>100</v>
          </cell>
          <cell r="N101" t="str">
            <v>e_c_a_attack1_hit_1</v>
          </cell>
          <cell r="O101" t="str">
            <v>3</v>
          </cell>
        </row>
        <row r="102">
          <cell r="A102">
            <v>9011</v>
          </cell>
          <cell r="B102" t="str">
            <v>锁链捆人-反</v>
          </cell>
          <cell r="D102" t="str">
            <v>skill1</v>
          </cell>
          <cell r="I102" t="str">
            <v>600</v>
          </cell>
          <cell r="J102" t="str">
            <v>400</v>
          </cell>
          <cell r="K102" t="str">
            <v>0</v>
          </cell>
          <cell r="L102" t="str">
            <v>1</v>
          </cell>
          <cell r="M102" t="str">
            <v>100</v>
          </cell>
          <cell r="N102" t="str">
            <v>e_c_a_attack1_hit_1</v>
          </cell>
          <cell r="O102" t="str">
            <v>10</v>
          </cell>
        </row>
        <row r="103">
          <cell r="A103">
            <v>9012</v>
          </cell>
          <cell r="B103" t="str">
            <v>副本秒杀技能</v>
          </cell>
          <cell r="D103" t="str">
            <v>attack1</v>
          </cell>
          <cell r="I103" t="str">
            <v>0</v>
          </cell>
          <cell r="J103" t="str">
            <v>500</v>
          </cell>
          <cell r="K103" t="str">
            <v>0</v>
          </cell>
          <cell r="L103" t="str">
            <v>200</v>
          </cell>
          <cell r="M103" t="str">
            <v>100</v>
          </cell>
          <cell r="N103" t="str">
            <v>e_c_a_attack1_hit_1</v>
          </cell>
          <cell r="O103" t="str">
            <v>10</v>
          </cell>
        </row>
        <row r="104">
          <cell r="A104">
            <v>9013</v>
          </cell>
          <cell r="B104" t="str">
            <v>[b]格拉克希消失表现[-]</v>
          </cell>
          <cell r="D104" t="str">
            <v>skill4_01</v>
          </cell>
          <cell r="G104" t="str">
            <v>e_c_e_skill1_cast</v>
          </cell>
          <cell r="I104" t="str">
            <v>0</v>
          </cell>
          <cell r="J104" t="str">
            <v>1000</v>
          </cell>
          <cell r="K104" t="str">
            <v>0</v>
          </cell>
          <cell r="L104" t="str">
            <v>1000</v>
          </cell>
          <cell r="M104" t="str">
            <v>100</v>
          </cell>
          <cell r="N104" t="str">
            <v>e_c_a_attack1_hit_1</v>
          </cell>
          <cell r="O104" t="str">
            <v>3</v>
          </cell>
        </row>
        <row r="105">
          <cell r="A105">
            <v>9014</v>
          </cell>
          <cell r="B105" t="str">
            <v>[b]军衔护盾[-]</v>
          </cell>
          <cell r="I105" t="str">
            <v>0</v>
          </cell>
          <cell r="J105" t="str">
            <v>1</v>
          </cell>
          <cell r="K105" t="str">
            <v>0</v>
          </cell>
          <cell r="L105" t="str">
            <v>0</v>
          </cell>
          <cell r="M105" t="str">
            <v/>
          </cell>
          <cell r="O105" t="str">
            <v>3</v>
          </cell>
        </row>
        <row r="106">
          <cell r="A106">
            <v>9015</v>
          </cell>
          <cell r="B106" t="str">
            <v>[b]军衔加速[-]</v>
          </cell>
          <cell r="I106" t="str">
            <v>0</v>
          </cell>
          <cell r="J106" t="str">
            <v>1</v>
          </cell>
          <cell r="K106" t="str">
            <v>0</v>
          </cell>
          <cell r="L106" t="str">
            <v>0</v>
          </cell>
          <cell r="M106" t="str">
            <v/>
          </cell>
          <cell r="O106" t="str">
            <v>3</v>
          </cell>
        </row>
        <row r="107">
          <cell r="A107">
            <v>9016</v>
          </cell>
          <cell r="B107" t="str">
            <v>[b]军衔魔免[-]</v>
          </cell>
          <cell r="I107" t="str">
            <v>0</v>
          </cell>
          <cell r="J107" t="str">
            <v>1</v>
          </cell>
          <cell r="K107" t="str">
            <v>0</v>
          </cell>
          <cell r="L107" t="str">
            <v>0</v>
          </cell>
          <cell r="M107" t="str">
            <v/>
          </cell>
          <cell r="O107" t="str">
            <v>3</v>
          </cell>
        </row>
        <row r="108">
          <cell r="A108">
            <v>9017</v>
          </cell>
          <cell r="B108" t="str">
            <v>[b]火焰之怒[-]</v>
          </cell>
          <cell r="D108" t="str">
            <v>attack1_01|attack1_02</v>
          </cell>
          <cell r="I108" t="str">
            <v>0</v>
          </cell>
          <cell r="J108" t="str">
            <v>800|500</v>
          </cell>
          <cell r="K108">
            <v>0</v>
          </cell>
          <cell r="L108" t="str">
            <v>1000</v>
          </cell>
          <cell r="M108" t="str">
            <v>100</v>
          </cell>
          <cell r="N108" t="str">
            <v>e_c_a_attack1_hit_4</v>
          </cell>
          <cell r="O108" t="str">
            <v>25</v>
          </cell>
        </row>
        <row r="109">
          <cell r="A109">
            <v>9018</v>
          </cell>
          <cell r="B109" t="str">
            <v>[b]风雷之怒[-]</v>
          </cell>
          <cell r="D109" t="str">
            <v>attack1_01|attack1_02</v>
          </cell>
          <cell r="I109" t="str">
            <v>0</v>
          </cell>
          <cell r="J109" t="str">
            <v>800|500</v>
          </cell>
          <cell r="K109">
            <v>0</v>
          </cell>
          <cell r="L109" t="str">
            <v>1000</v>
          </cell>
          <cell r="M109" t="str">
            <v>100</v>
          </cell>
          <cell r="N109" t="str">
            <v>e_c_light_hit</v>
          </cell>
          <cell r="O109" t="str">
            <v>25</v>
          </cell>
        </row>
        <row r="110">
          <cell r="A110">
            <v>9019</v>
          </cell>
          <cell r="B110" t="str">
            <v>[b]玩家近战怪物普攻[-]</v>
          </cell>
          <cell r="D110" t="str">
            <v>attack1_01|attack2_01|attack3_01|attack1_01|attack1_02</v>
          </cell>
          <cell r="G110" t="str">
            <v>e_c_a_attack1_cast|e_c_a_attack2_cast|e_c_a_attack3_cast|e_c_a_attack4_cast|e_c_a_attack1_cast</v>
          </cell>
          <cell r="I110" t="str">
            <v>0</v>
          </cell>
          <cell r="J110" t="str">
            <v>2|300|300|300|100</v>
          </cell>
          <cell r="K110" t="str">
            <v>0</v>
          </cell>
          <cell r="L110" t="str">
            <v>1|200|500|750|950</v>
          </cell>
          <cell r="M110" t="str">
            <v>20|20|20|20|20</v>
          </cell>
          <cell r="N110" t="str">
            <v>e_c_a_attack1_hit_1</v>
          </cell>
          <cell r="O110" t="str">
            <v>4</v>
          </cell>
        </row>
        <row r="111">
          <cell r="A111">
            <v>9020</v>
          </cell>
          <cell r="B111" t="str">
            <v>[b]闪电过载[-]</v>
          </cell>
          <cell r="D111" t="str">
            <v>attack2</v>
          </cell>
          <cell r="I111" t="str">
            <v>0</v>
          </cell>
          <cell r="J111" t="str">
            <v>500</v>
          </cell>
          <cell r="K111">
            <v>0</v>
          </cell>
          <cell r="L111" t="str">
            <v>350</v>
          </cell>
          <cell r="M111" t="str">
            <v>100</v>
          </cell>
          <cell r="N111" t="str">
            <v>e_c_d_skill7_hit</v>
          </cell>
          <cell r="O111" t="str">
            <v>15</v>
          </cell>
        </row>
        <row r="112">
          <cell r="A112">
            <v>9021</v>
          </cell>
          <cell r="B112" t="str">
            <v>[b]守卫攻击[-]</v>
          </cell>
          <cell r="D112" t="str">
            <v>attack1|attack1|attack1|attack1</v>
          </cell>
          <cell r="I112" t="str">
            <v>0</v>
          </cell>
          <cell r="J112" t="str">
            <v>2|350|350|350</v>
          </cell>
          <cell r="K112" t="str">
            <v>0</v>
          </cell>
          <cell r="L112" t="str">
            <v>1|250|600|850</v>
          </cell>
          <cell r="M112" t="str">
            <v>25|25|25|25</v>
          </cell>
          <cell r="N112" t="str">
            <v>e_c_a_attack1_hit_1</v>
          </cell>
          <cell r="O112" t="str">
            <v>4</v>
          </cell>
        </row>
        <row r="113">
          <cell r="A113">
            <v>9022</v>
          </cell>
          <cell r="B113" t="str">
            <v>[b]阿克攻击[-]</v>
          </cell>
          <cell r="D113" t="str">
            <v>attack1</v>
          </cell>
          <cell r="I113" t="str">
            <v>0</v>
          </cell>
          <cell r="J113" t="str">
            <v>1200</v>
          </cell>
          <cell r="K113">
            <v>0</v>
          </cell>
          <cell r="L113">
            <v>730</v>
          </cell>
          <cell r="M113" t="str">
            <v>100</v>
          </cell>
          <cell r="N113" t="str">
            <v>e_c_a_attack1_hit_1</v>
          </cell>
          <cell r="O113" t="str">
            <v>3</v>
          </cell>
        </row>
        <row r="114">
          <cell r="A114">
            <v>9023</v>
          </cell>
          <cell r="B114" t="str">
            <v>[b]防御塔[-]</v>
          </cell>
          <cell r="D114" t="str">
            <v>idel2</v>
          </cell>
          <cell r="I114" t="str">
            <v>0</v>
          </cell>
          <cell r="J114" t="str">
            <v>1000</v>
          </cell>
          <cell r="K114" t="str">
            <v>0</v>
          </cell>
          <cell r="L114" t="str">
            <v>500</v>
          </cell>
          <cell r="M114" t="str">
            <v>100</v>
          </cell>
          <cell r="N114" t="str">
            <v>e_c_fire_hit_big</v>
          </cell>
          <cell r="O114" t="str">
            <v>12</v>
          </cell>
        </row>
        <row r="115">
          <cell r="A115">
            <v>9024</v>
          </cell>
          <cell r="B115" t="str">
            <v>[b]玩家模型攻击1[-]</v>
          </cell>
          <cell r="D115" t="str">
            <v>attack1_01|attack2_01|attack3_01|attack1_01|attack1_02</v>
          </cell>
          <cell r="G115" t="str">
            <v>e_c_a_attack1_cast|e_c_a_attack2_cast|e_c_a_attack3_cast|e_c_a_attack4_cast|e_c_a_attack1_cast</v>
          </cell>
          <cell r="I115" t="str">
            <v>0</v>
          </cell>
          <cell r="J115" t="str">
            <v>2|600|600|600|200</v>
          </cell>
          <cell r="K115" t="str">
            <v>0</v>
          </cell>
          <cell r="L115" t="str">
            <v>1|300|900|1500|1900</v>
          </cell>
          <cell r="M115" t="str">
            <v>20|20|20|20|20</v>
          </cell>
          <cell r="N115" t="str">
            <v>e_c_a_attack1_hit_1</v>
          </cell>
          <cell r="O115" t="str">
            <v>4</v>
          </cell>
        </row>
        <row r="116">
          <cell r="A116">
            <v>9025</v>
          </cell>
          <cell r="B116" t="str">
            <v>[b]玩家模型攻击2[-]</v>
          </cell>
          <cell r="D116" t="str">
            <v>attack1_01|attack2_01|attack3_01|attack1_01|attack1_02</v>
          </cell>
          <cell r="G116" t="str">
            <v>e_c_e_attack1_cast|e_c_e_attack2_cast|e_c_e_attack3_cast|e_c_e_attack4_cast|e_c_e_attack1_cast</v>
          </cell>
          <cell r="I116" t="str">
            <v>0</v>
          </cell>
          <cell r="J116" t="str">
            <v>2|600|600|600|200</v>
          </cell>
          <cell r="K116" t="str">
            <v>0</v>
          </cell>
          <cell r="L116" t="str">
            <v>1|300|900|1500|1900</v>
          </cell>
          <cell r="M116" t="str">
            <v>20|20|20|20|20</v>
          </cell>
          <cell r="N116" t="str">
            <v>e_c_a_attack1_hit_1</v>
          </cell>
          <cell r="O116" t="str">
            <v>4</v>
          </cell>
        </row>
        <row r="117">
          <cell r="A117">
            <v>9026</v>
          </cell>
          <cell r="B117" t="str">
            <v>[b]玩家模型攻击3[-]</v>
          </cell>
          <cell r="C117" t="str">
            <v>attack1_01</v>
          </cell>
          <cell r="E117" t="str">
            <v>attack1_02</v>
          </cell>
          <cell r="I117" t="str">
            <v>660</v>
          </cell>
          <cell r="J117" t="str">
            <v>1</v>
          </cell>
          <cell r="K117" t="str">
            <v>500</v>
          </cell>
          <cell r="L117" t="str">
            <v>1</v>
          </cell>
          <cell r="M117" t="str">
            <v>100</v>
          </cell>
          <cell r="N117" t="str">
            <v>e_c_ice_hit_big</v>
          </cell>
          <cell r="O117" t="str">
            <v>10</v>
          </cell>
        </row>
        <row r="118">
          <cell r="A118">
            <v>9027</v>
          </cell>
          <cell r="B118" t="str">
            <v>[b]破甲诅咒[-]</v>
          </cell>
          <cell r="C118" t="str">
            <v>skill_1</v>
          </cell>
          <cell r="D118" t="str">
            <v>skill_2</v>
          </cell>
          <cell r="G118" t="str">
            <v>e_c_e_skill1_cast</v>
          </cell>
          <cell r="I118" t="str">
            <v>4000</v>
          </cell>
          <cell r="J118" t="str">
            <v>500</v>
          </cell>
          <cell r="K118" t="str">
            <v>0</v>
          </cell>
          <cell r="L118" t="str">
            <v>300</v>
          </cell>
          <cell r="M118" t="str">
            <v>100</v>
          </cell>
          <cell r="N118" t="str">
            <v>e_c_a_attack1_hit_1</v>
          </cell>
          <cell r="O118" t="str">
            <v>5</v>
          </cell>
        </row>
        <row r="119">
          <cell r="A119">
            <v>9028</v>
          </cell>
          <cell r="B119" t="str">
            <v>[b]阿拉基-暗影新星[-]</v>
          </cell>
          <cell r="D119" t="str">
            <v>attack2</v>
          </cell>
          <cell r="I119" t="str">
            <v>0</v>
          </cell>
          <cell r="J119" t="str">
            <v>1000</v>
          </cell>
          <cell r="K119" t="str">
            <v>0</v>
          </cell>
          <cell r="L119" t="str">
            <v>500</v>
          </cell>
          <cell r="M119" t="str">
            <v>100</v>
          </cell>
          <cell r="N119" t="str">
            <v>e_c_n_01_hit</v>
          </cell>
          <cell r="O119" t="str">
            <v>5</v>
          </cell>
        </row>
        <row r="120">
          <cell r="A120">
            <v>9029</v>
          </cell>
          <cell r="B120" t="str">
            <v>[b]阿拉基-暗影冲击[-]</v>
          </cell>
          <cell r="D120" t="str">
            <v>attack1_01</v>
          </cell>
          <cell r="E120" t="str">
            <v>attack1_02</v>
          </cell>
          <cell r="I120" t="str">
            <v>0</v>
          </cell>
          <cell r="J120" t="str">
            <v>300</v>
          </cell>
          <cell r="K120" t="str">
            <v>320</v>
          </cell>
          <cell r="L120" t="str">
            <v>1</v>
          </cell>
          <cell r="M120" t="str">
            <v>100</v>
          </cell>
          <cell r="N120" t="str">
            <v>e_c_n_01_hit</v>
          </cell>
          <cell r="O120" t="str">
            <v>8</v>
          </cell>
        </row>
        <row r="121">
          <cell r="A121">
            <v>9030</v>
          </cell>
          <cell r="B121" t="str">
            <v>[b]科苏尔德-毁灭[-]</v>
          </cell>
          <cell r="D121" t="str">
            <v>attack1_01</v>
          </cell>
          <cell r="E121" t="str">
            <v>attack1_02</v>
          </cell>
          <cell r="I121" t="str">
            <v>0</v>
          </cell>
          <cell r="J121" t="str">
            <v>300</v>
          </cell>
          <cell r="K121" t="str">
            <v>320</v>
          </cell>
          <cell r="L121" t="str">
            <v>1</v>
          </cell>
          <cell r="M121" t="str">
            <v>100</v>
          </cell>
          <cell r="N121" t="str">
            <v>e_c_n_01_hit</v>
          </cell>
          <cell r="O121">
            <v>10</v>
          </cell>
        </row>
        <row r="122">
          <cell r="A122">
            <v>9031</v>
          </cell>
          <cell r="B122" t="str">
            <v>[b]玛格隆-横扫[-]</v>
          </cell>
          <cell r="D122" t="str">
            <v>attack1</v>
          </cell>
          <cell r="G122" t="str">
            <v>e_c_a_skill2_cast</v>
          </cell>
          <cell r="I122" t="str">
            <v>1</v>
          </cell>
          <cell r="J122" t="str">
            <v>400</v>
          </cell>
          <cell r="K122">
            <v>0</v>
          </cell>
          <cell r="L122" t="str">
            <v>200|120</v>
          </cell>
          <cell r="M122" t="str">
            <v>200|120</v>
          </cell>
          <cell r="N122" t="str">
            <v>e_c_a_attack1_hit_4</v>
          </cell>
          <cell r="O122" t="str">
            <v>8</v>
          </cell>
        </row>
        <row r="123">
          <cell r="A123">
            <v>9032</v>
          </cell>
          <cell r="B123" t="str">
            <v>[b]玛格隆-裂地[-]</v>
          </cell>
          <cell r="D123" t="str">
            <v>attack2</v>
          </cell>
          <cell r="G123" t="str">
            <v>e_c_e_skill1_cast</v>
          </cell>
          <cell r="I123" t="str">
            <v>0</v>
          </cell>
          <cell r="J123" t="str">
            <v>500</v>
          </cell>
          <cell r="K123">
            <v>0</v>
          </cell>
          <cell r="L123">
            <v>200</v>
          </cell>
          <cell r="M123" t="str">
            <v>100</v>
          </cell>
          <cell r="N123" t="str">
            <v>e_c_a_attack1_hit_1</v>
          </cell>
          <cell r="O123" t="str">
            <v>3</v>
          </cell>
        </row>
        <row r="124">
          <cell r="A124">
            <v>9033</v>
          </cell>
          <cell r="B124" t="str">
            <v>[b]怨恨骸骨-寒冰护甲[-]</v>
          </cell>
          <cell r="D124" t="str">
            <v>scream</v>
          </cell>
          <cell r="G124" t="str">
            <v>e_c_e_skill1_cast</v>
          </cell>
          <cell r="I124" t="str">
            <v>0</v>
          </cell>
          <cell r="J124" t="str">
            <v>1000</v>
          </cell>
          <cell r="K124">
            <v>0</v>
          </cell>
          <cell r="L124">
            <v>308</v>
          </cell>
          <cell r="M124" t="str">
            <v>100</v>
          </cell>
          <cell r="N124" t="str">
            <v>e_c_a_attack1_hit_1</v>
          </cell>
          <cell r="O124" t="str">
            <v>3</v>
          </cell>
        </row>
        <row r="125">
          <cell r="A125">
            <v>9034</v>
          </cell>
          <cell r="B125" t="str">
            <v>[b]怨恨骸骨-狂暴[-]</v>
          </cell>
          <cell r="D125" t="str">
            <v>attack1|attack2|attack2</v>
          </cell>
          <cell r="I125" t="str">
            <v>0</v>
          </cell>
          <cell r="J125" t="str">
            <v>300|300|300</v>
          </cell>
          <cell r="K125">
            <v>0</v>
          </cell>
          <cell r="L125" t="str">
            <v>108|395|695</v>
          </cell>
          <cell r="M125" t="str">
            <v>33|33|34</v>
          </cell>
          <cell r="N125" t="str">
            <v>e_c_a_attack1_hit_1|e_c_a_attack1_hit_1</v>
          </cell>
          <cell r="O125" t="str">
            <v>3</v>
          </cell>
        </row>
        <row r="126">
          <cell r="A126">
            <v>9035</v>
          </cell>
          <cell r="B126" t="str">
            <v>[b]怨恨骸骨-重击[-]</v>
          </cell>
          <cell r="D126" t="str">
            <v>attack1</v>
          </cell>
          <cell r="I126" t="str">
            <v>0</v>
          </cell>
          <cell r="J126" t="str">
            <v>500</v>
          </cell>
          <cell r="K126">
            <v>0</v>
          </cell>
          <cell r="L126">
            <v>180</v>
          </cell>
          <cell r="M126" t="str">
            <v>100</v>
          </cell>
          <cell r="N126" t="str">
            <v>e_c_a_attack1_hit_1</v>
          </cell>
          <cell r="O126" t="str">
            <v>3</v>
          </cell>
        </row>
        <row r="127">
          <cell r="A127">
            <v>9036</v>
          </cell>
          <cell r="B127" t="str">
            <v>[b]堕落岩魔-定时炸弹[-]</v>
          </cell>
          <cell r="D127" t="str">
            <v>attack2</v>
          </cell>
          <cell r="I127" t="str">
            <v>0</v>
          </cell>
          <cell r="J127" t="str">
            <v>1000</v>
          </cell>
          <cell r="K127">
            <v>0</v>
          </cell>
          <cell r="L127" t="str">
            <v>0</v>
          </cell>
          <cell r="M127" t="str">
            <v>100</v>
          </cell>
          <cell r="N127" t="str">
            <v>e_c_fire_hit_big</v>
          </cell>
          <cell r="O127" t="str">
            <v>3</v>
          </cell>
        </row>
        <row r="128">
          <cell r="A128">
            <v>9037</v>
          </cell>
          <cell r="B128" t="str">
            <v>[b]堕落岩魔-重击[-]</v>
          </cell>
          <cell r="D128" t="str">
            <v>attack2</v>
          </cell>
          <cell r="G128" t="str">
            <v>e_c_e_skill1_cast</v>
          </cell>
          <cell r="I128" t="str">
            <v>0</v>
          </cell>
          <cell r="J128" t="str">
            <v>2200</v>
          </cell>
          <cell r="K128">
            <v>0</v>
          </cell>
          <cell r="L128">
            <v>792</v>
          </cell>
          <cell r="M128" t="str">
            <v>100</v>
          </cell>
          <cell r="N128" t="str">
            <v>e_c_a_attack1_hit_1</v>
          </cell>
          <cell r="O128" t="str">
            <v>3</v>
          </cell>
        </row>
        <row r="129">
          <cell r="A129">
            <v>9038</v>
          </cell>
          <cell r="B129" t="str">
            <v>[b]伊姆拉崔-恐惧风暴[-]</v>
          </cell>
          <cell r="D129" t="str">
            <v>skill_1</v>
          </cell>
          <cell r="I129" t="str">
            <v>0</v>
          </cell>
          <cell r="J129" t="str">
            <v>1833</v>
          </cell>
          <cell r="K129" t="str">
            <v>0</v>
          </cell>
          <cell r="L129" t="str">
            <v>1237</v>
          </cell>
          <cell r="M129" t="str">
            <v>100</v>
          </cell>
          <cell r="N129" t="str">
            <v>e_c_n_01_hit</v>
          </cell>
          <cell r="O129" t="str">
            <v>8</v>
          </cell>
        </row>
        <row r="130">
          <cell r="A130">
            <v>9039</v>
          </cell>
          <cell r="B130" t="str">
            <v>[b]伊姆拉崔-冰霜禁锢[-]</v>
          </cell>
          <cell r="D130" t="str">
            <v>skill_2</v>
          </cell>
          <cell r="I130" t="str">
            <v>0</v>
          </cell>
          <cell r="J130" t="str">
            <v>1600</v>
          </cell>
          <cell r="K130" t="str">
            <v>0</v>
          </cell>
          <cell r="L130" t="str">
            <v>1250|1375|1500</v>
          </cell>
          <cell r="M130" t="str">
            <v>34|33|33</v>
          </cell>
          <cell r="N130" t="str">
            <v>e_c_ice_hit_big</v>
          </cell>
          <cell r="O130" t="str">
            <v>5</v>
          </cell>
        </row>
        <row r="131">
          <cell r="A131">
            <v>9040</v>
          </cell>
          <cell r="B131" t="str">
            <v>[b]瓦尔-箭雨[-]</v>
          </cell>
          <cell r="D131" t="str">
            <v>attack1</v>
          </cell>
          <cell r="I131" t="str">
            <v>0</v>
          </cell>
          <cell r="J131" t="str">
            <v>800</v>
          </cell>
          <cell r="K131">
            <v>0</v>
          </cell>
          <cell r="L131">
            <v>800</v>
          </cell>
          <cell r="M131" t="str">
            <v>100</v>
          </cell>
          <cell r="N131" t="str">
            <v>e_c_a_attack1_hit_1</v>
          </cell>
          <cell r="O131" t="str">
            <v>8</v>
          </cell>
        </row>
        <row r="132">
          <cell r="A132">
            <v>9041</v>
          </cell>
          <cell r="B132" t="str">
            <v>[b]瓦尔-杀戮[-]</v>
          </cell>
          <cell r="D132" t="str">
            <v>skill_2</v>
          </cell>
          <cell r="G132" t="str">
            <v>e_c_moonglaive_cast</v>
          </cell>
          <cell r="I132" t="str">
            <v>0</v>
          </cell>
          <cell r="J132" t="str">
            <v>1200</v>
          </cell>
          <cell r="K132">
            <v>300</v>
          </cell>
          <cell r="L132" t="str">
            <v>450|650|850</v>
          </cell>
          <cell r="M132" t="str">
            <v>33|33|34</v>
          </cell>
          <cell r="N132" t="str">
            <v>e_c_a_attack1_hit_1|e_c_a_attack1_hit_1|e_c_a_attack1_hit_1</v>
          </cell>
          <cell r="O132" t="str">
            <v>8</v>
          </cell>
        </row>
        <row r="133">
          <cell r="A133">
            <v>9042</v>
          </cell>
          <cell r="B133" t="str">
            <v>[b]苏维奥斯-暗影之势[-]</v>
          </cell>
          <cell r="D133" t="str">
            <v>skill_1</v>
          </cell>
          <cell r="G133" t="str">
            <v>e_c_a_chargeassault</v>
          </cell>
          <cell r="I133" t="str">
            <v>1</v>
          </cell>
          <cell r="J133" t="str">
            <v>500</v>
          </cell>
          <cell r="K133">
            <v>0</v>
          </cell>
          <cell r="L133" t="str">
            <v>200</v>
          </cell>
          <cell r="M133" t="str">
            <v>100</v>
          </cell>
          <cell r="N133" t="str">
            <v>e_c_a_attack1_hit_4</v>
          </cell>
          <cell r="O133" t="str">
            <v>8</v>
          </cell>
        </row>
        <row r="134">
          <cell r="A134">
            <v>9043</v>
          </cell>
          <cell r="B134" t="str">
            <v>[b]破晓首领-重锤打击[-]</v>
          </cell>
          <cell r="D134" t="str">
            <v>attack1</v>
          </cell>
          <cell r="G134" t="str">
            <v>e_c_e_skill1_cast</v>
          </cell>
          <cell r="I134" t="str">
            <v>0</v>
          </cell>
          <cell r="J134" t="str">
            <v>1500</v>
          </cell>
          <cell r="K134">
            <v>0</v>
          </cell>
          <cell r="L134">
            <v>675</v>
          </cell>
          <cell r="M134" t="str">
            <v>100</v>
          </cell>
          <cell r="N134" t="str">
            <v>e_c_a_attack1_hit_1</v>
          </cell>
          <cell r="O134" t="str">
            <v>3</v>
          </cell>
        </row>
        <row r="135">
          <cell r="A135">
            <v>9044</v>
          </cell>
          <cell r="B135" t="str">
            <v>[b]破晓首领-神圣征服[-]</v>
          </cell>
          <cell r="D135" t="str">
            <v>skill_1</v>
          </cell>
          <cell r="G135" t="str">
            <v>e_c_e_skill2_cast</v>
          </cell>
          <cell r="I135" t="str">
            <v>1</v>
          </cell>
          <cell r="J135" t="str">
            <v>500</v>
          </cell>
          <cell r="K135">
            <v>0</v>
          </cell>
          <cell r="L135" t="str">
            <v>200</v>
          </cell>
          <cell r="M135" t="str">
            <v>100</v>
          </cell>
          <cell r="N135" t="str">
            <v>e_c_a_attack1_hit_4</v>
          </cell>
          <cell r="O135" t="str">
            <v>8</v>
          </cell>
        </row>
        <row r="136">
          <cell r="A136">
            <v>9045</v>
          </cell>
          <cell r="B136" t="str">
            <v>[b]破晓首领-圣光之锤[-]</v>
          </cell>
          <cell r="D136" t="str">
            <v>skill_2</v>
          </cell>
          <cell r="I136" t="str">
            <v>0</v>
          </cell>
          <cell r="J136" t="str">
            <v>1500</v>
          </cell>
          <cell r="K136">
            <v>0</v>
          </cell>
          <cell r="L136" t="str">
            <v>0</v>
          </cell>
          <cell r="M136" t="str">
            <v>100</v>
          </cell>
          <cell r="N136" t="str">
            <v>e_c_fire_hit_big</v>
          </cell>
          <cell r="O136" t="str">
            <v>10</v>
          </cell>
        </row>
        <row r="137">
          <cell r="A137">
            <v>9046</v>
          </cell>
          <cell r="B137" t="str">
            <v>[b]烈阳首领-刀锋乱舞[-]</v>
          </cell>
          <cell r="D137" t="str">
            <v>attack1_01|attack1_02|attack1_04</v>
          </cell>
          <cell r="G137" t="str">
            <v>e_c_wl_attack1_01|e_c_wl_attack1_02|e_c_wl_attack1_04</v>
          </cell>
          <cell r="I137" t="str">
            <v>0</v>
          </cell>
          <cell r="J137" t="str">
            <v>200|150|800</v>
          </cell>
          <cell r="K137">
            <v>0</v>
          </cell>
          <cell r="L137" t="str">
            <v>100|300|400|600|800|1000</v>
          </cell>
          <cell r="M137" t="str">
            <v>15|15|15|15|15|25</v>
          </cell>
          <cell r="N137" t="str">
            <v>e_c_a_attack1_hit_4|e_c_a_attack1_hit_4|e_c_a_attack1_hit_4</v>
          </cell>
          <cell r="O137" t="str">
            <v>3</v>
          </cell>
        </row>
        <row r="138">
          <cell r="A138">
            <v>9047</v>
          </cell>
          <cell r="B138" t="str">
            <v>[b]烈阳首领-蛮横扫荡[-]</v>
          </cell>
          <cell r="D138" t="str">
            <v>attack1_04</v>
          </cell>
          <cell r="G138" t="str">
            <v>e_c_wl_attack1_04</v>
          </cell>
          <cell r="I138" t="str">
            <v>0</v>
          </cell>
          <cell r="J138" t="str">
            <v>600</v>
          </cell>
          <cell r="K138">
            <v>0</v>
          </cell>
          <cell r="L138" t="str">
            <v>100|200|300|400|500</v>
          </cell>
          <cell r="M138" t="str">
            <v>20|20|20|20|20</v>
          </cell>
          <cell r="N138" t="str">
            <v>e_c_a_attack1_hit_4|e_c_a_attack1_hit_4|e_c_a_attack1_hit_4|e_c_a_attack1_hit_4|e_c_a_attack1_hit_4</v>
          </cell>
          <cell r="O138" t="str">
            <v>8</v>
          </cell>
        </row>
        <row r="139">
          <cell r="A139">
            <v>9048</v>
          </cell>
          <cell r="B139" t="str">
            <v>[b]烈阳首领-旋风之刃[-]</v>
          </cell>
          <cell r="D139" t="str">
            <v>skill_2</v>
          </cell>
          <cell r="G139" t="str">
            <v>e_c_cast_004</v>
          </cell>
          <cell r="I139" t="str">
            <v>0</v>
          </cell>
          <cell r="J139" t="str">
            <v>1200</v>
          </cell>
          <cell r="K139">
            <v>0</v>
          </cell>
          <cell r="L139" t="str">
            <v>207|303|410|511|612|696</v>
          </cell>
          <cell r="M139" t="str">
            <v>15|15|15|15|15|25</v>
          </cell>
          <cell r="N139" t="str">
            <v>e_c_a_attack1_hit_4</v>
          </cell>
          <cell r="O139" t="str">
            <v>3</v>
          </cell>
        </row>
        <row r="140">
          <cell r="A140">
            <v>9049</v>
          </cell>
          <cell r="B140" t="str">
            <v>[b]暴怒拉格霍尔-旋风斩[-]</v>
          </cell>
          <cell r="D140" t="str">
            <v>skill1</v>
          </cell>
          <cell r="G140" t="str">
            <v>e_c_a_skill2_cast</v>
          </cell>
          <cell r="I140" t="str">
            <v>0</v>
          </cell>
          <cell r="J140" t="str">
            <v>1400</v>
          </cell>
          <cell r="K140">
            <v>0</v>
          </cell>
          <cell r="L140" t="str">
            <v>420|550|680</v>
          </cell>
          <cell r="M140" t="str">
            <v>33|33|34</v>
          </cell>
          <cell r="N140" t="str">
            <v>e_c_a_attack1_hit_4|e_c_a_attack1_hit_4|e_c_a_attack1_hit_4</v>
          </cell>
          <cell r="O140" t="str">
            <v>3</v>
          </cell>
        </row>
        <row r="141">
          <cell r="A141">
            <v>9050</v>
          </cell>
          <cell r="B141" t="str">
            <v>[b]暴怒拉格霍尔-重击[-]</v>
          </cell>
          <cell r="D141" t="str">
            <v>attack2</v>
          </cell>
          <cell r="I141" t="str">
            <v>0</v>
          </cell>
          <cell r="J141" t="str">
            <v>1000</v>
          </cell>
          <cell r="K141" t="str">
            <v>0</v>
          </cell>
          <cell r="L141" t="str">
            <v>494</v>
          </cell>
          <cell r="M141" t="str">
            <v>100</v>
          </cell>
          <cell r="N141" t="str">
            <v>e_c_a_attack1_hit_4</v>
          </cell>
          <cell r="O141" t="str">
            <v>3</v>
          </cell>
        </row>
        <row r="142">
          <cell r="A142">
            <v>9051</v>
          </cell>
          <cell r="B142" t="str">
            <v>[b]狡诈范克-多重打击[-]</v>
          </cell>
          <cell r="D142" t="str">
            <v>skill_2</v>
          </cell>
          <cell r="G142" t="str">
            <v>e_c_cast_004</v>
          </cell>
          <cell r="I142" t="str">
            <v>250</v>
          </cell>
          <cell r="J142" t="str">
            <v>1200</v>
          </cell>
          <cell r="K142">
            <v>0</v>
          </cell>
          <cell r="L142" t="str">
            <v>207|303|410|511|612|696</v>
          </cell>
          <cell r="M142" t="str">
            <v>15|15|15|15|15|25</v>
          </cell>
          <cell r="N142" t="str">
            <v>e_c_a_attack1_hit_4|e_c_a_attack1_hit_4|e_c_a_attack1_hit_4</v>
          </cell>
          <cell r="O142" t="str">
            <v>3</v>
          </cell>
        </row>
        <row r="143">
          <cell r="A143">
            <v>9052</v>
          </cell>
          <cell r="B143" t="str">
            <v>[b]狡诈范克-锋锐之刃[-]</v>
          </cell>
          <cell r="D143" t="str">
            <v>scream</v>
          </cell>
          <cell r="I143" t="str">
            <v>0</v>
          </cell>
          <cell r="J143" t="str">
            <v>2000</v>
          </cell>
          <cell r="K143">
            <v>0</v>
          </cell>
          <cell r="L143">
            <v>1000</v>
          </cell>
          <cell r="M143" t="str">
            <v>100</v>
          </cell>
          <cell r="O143" t="str">
            <v>3</v>
          </cell>
        </row>
        <row r="144">
          <cell r="A144">
            <v>9053</v>
          </cell>
          <cell r="B144" t="str">
            <v>[b]徘徊露莉亚-多重箭[-]</v>
          </cell>
          <cell r="D144" t="str">
            <v>skill_2</v>
          </cell>
          <cell r="G144" t="str">
            <v>e_c_multishot_cast</v>
          </cell>
          <cell r="I144" t="str">
            <v>0</v>
          </cell>
          <cell r="J144" t="str">
            <v>1500</v>
          </cell>
          <cell r="K144">
            <v>0</v>
          </cell>
          <cell r="L144">
            <v>800</v>
          </cell>
          <cell r="M144" t="str">
            <v>100</v>
          </cell>
          <cell r="N144" t="str">
            <v>e_c_a_attack1_hit_1</v>
          </cell>
          <cell r="O144" t="str">
            <v>5</v>
          </cell>
        </row>
        <row r="145">
          <cell r="A145">
            <v>9054</v>
          </cell>
          <cell r="B145" t="str">
            <v>[b]希瓦娜-杀戮[-]</v>
          </cell>
          <cell r="D145" t="str">
            <v>skill_2</v>
          </cell>
          <cell r="G145" t="str">
            <v>e_c_moonglaive_cast</v>
          </cell>
          <cell r="I145" t="str">
            <v>0</v>
          </cell>
          <cell r="J145" t="str">
            <v>1200</v>
          </cell>
          <cell r="K145">
            <v>300</v>
          </cell>
          <cell r="L145" t="str">
            <v>450|650|850</v>
          </cell>
          <cell r="M145" t="str">
            <v>33|33|34</v>
          </cell>
          <cell r="N145" t="str">
            <v>e_c_a_attack1_hit_1|e_c_a_attack1_hit_1|e_c_a_attack1_hit_1</v>
          </cell>
          <cell r="O145" t="str">
            <v>8</v>
          </cell>
        </row>
        <row r="146">
          <cell r="A146">
            <v>9055</v>
          </cell>
          <cell r="B146" t="str">
            <v>[b]穆拉尼尔-无怜之击[-]</v>
          </cell>
          <cell r="D146" t="str">
            <v>skill_1</v>
          </cell>
          <cell r="G146" t="str">
            <v>e_c_wl_attack1_04</v>
          </cell>
          <cell r="I146" t="str">
            <v>0</v>
          </cell>
          <cell r="J146" t="str">
            <v>1500</v>
          </cell>
          <cell r="K146">
            <v>0</v>
          </cell>
          <cell r="L146" t="str">
            <v>348|573|798|1023</v>
          </cell>
          <cell r="M146" t="str">
            <v>20|20|20|40</v>
          </cell>
          <cell r="N146" t="str">
            <v>e_c_a_attack1_hit_1</v>
          </cell>
          <cell r="O146" t="str">
            <v>3</v>
          </cell>
        </row>
        <row r="147">
          <cell r="A147">
            <v>9056</v>
          </cell>
          <cell r="B147" t="str">
            <v>[b]穆拉尼尔-复仇之怒[-]</v>
          </cell>
          <cell r="D147" t="str">
            <v>skill_2</v>
          </cell>
          <cell r="I147" t="str">
            <v>0</v>
          </cell>
          <cell r="J147" t="str">
            <v>1467</v>
          </cell>
          <cell r="K147">
            <v>0</v>
          </cell>
          <cell r="L147">
            <v>733</v>
          </cell>
          <cell r="M147" t="str">
            <v>100</v>
          </cell>
          <cell r="O147" t="str">
            <v>3</v>
          </cell>
        </row>
        <row r="148">
          <cell r="A148">
            <v>9057</v>
          </cell>
          <cell r="B148" t="str">
            <v>[b]狄亚娜-血色之火[-]</v>
          </cell>
          <cell r="D148" t="str">
            <v>skill6</v>
          </cell>
          <cell r="I148" t="str">
            <v>0</v>
          </cell>
          <cell r="J148" t="str">
            <v>1100</v>
          </cell>
          <cell r="K148">
            <v>0</v>
          </cell>
          <cell r="L148" t="str">
            <v>800</v>
          </cell>
          <cell r="M148" t="str">
            <v>100</v>
          </cell>
          <cell r="N148" t="str">
            <v>e_c_fire_hit_big</v>
          </cell>
          <cell r="O148" t="str">
            <v>8</v>
          </cell>
        </row>
        <row r="149">
          <cell r="A149">
            <v>9058</v>
          </cell>
          <cell r="B149" t="str">
            <v>[b]狄亚娜-审判之锤[-]</v>
          </cell>
          <cell r="D149" t="str">
            <v>skill5</v>
          </cell>
          <cell r="I149" t="str">
            <v>0</v>
          </cell>
          <cell r="J149" t="str">
            <v>1500</v>
          </cell>
          <cell r="K149">
            <v>0</v>
          </cell>
          <cell r="L149" t="str">
            <v>1</v>
          </cell>
          <cell r="M149" t="str">
            <v>100</v>
          </cell>
          <cell r="N149" t="str">
            <v>e_c_fire_hit_big</v>
          </cell>
          <cell r="O149" t="str">
            <v>10</v>
          </cell>
        </row>
        <row r="150">
          <cell r="A150">
            <v>9059</v>
          </cell>
          <cell r="B150" t="str">
            <v>[b]格拉尔-雷霆风暴[-]</v>
          </cell>
          <cell r="D150" t="str">
            <v>scream</v>
          </cell>
          <cell r="I150" t="str">
            <v>0</v>
          </cell>
          <cell r="J150" t="str">
            <v>1000</v>
          </cell>
          <cell r="K150" t="str">
            <v>0</v>
          </cell>
          <cell r="L150" t="str">
            <v>0</v>
          </cell>
          <cell r="M150" t="str">
            <v>100</v>
          </cell>
          <cell r="N150" t="str">
            <v>e_c_light_hit</v>
          </cell>
          <cell r="O150" t="str">
            <v>8</v>
          </cell>
        </row>
        <row r="151">
          <cell r="A151">
            <v>9060</v>
          </cell>
          <cell r="B151" t="str">
            <v>[b]格拉尔-闪电链[-]</v>
          </cell>
          <cell r="D151" t="str">
            <v>attack2_01</v>
          </cell>
          <cell r="E151" t="str">
            <v>attack2_02</v>
          </cell>
          <cell r="I151" t="str">
            <v>0</v>
          </cell>
          <cell r="J151" t="str">
            <v>300</v>
          </cell>
          <cell r="K151" t="str">
            <v>200</v>
          </cell>
          <cell r="L151" t="str">
            <v>1</v>
          </cell>
          <cell r="M151" t="str">
            <v>100</v>
          </cell>
          <cell r="N151" t="str">
            <v>e_c_light_hit</v>
          </cell>
          <cell r="O151" t="str">
            <v>3</v>
          </cell>
        </row>
        <row r="152">
          <cell r="A152">
            <v>9061</v>
          </cell>
          <cell r="B152" t="str">
            <v>[b]戈隆塔-暗影之势[-]</v>
          </cell>
          <cell r="D152" t="str">
            <v>skill_1</v>
          </cell>
          <cell r="G152" t="str">
            <v>e_c_a_chargeassault</v>
          </cell>
          <cell r="I152" t="str">
            <v>1</v>
          </cell>
          <cell r="J152" t="str">
            <v>500</v>
          </cell>
          <cell r="K152">
            <v>0</v>
          </cell>
          <cell r="L152" t="str">
            <v>200</v>
          </cell>
          <cell r="M152" t="str">
            <v>100</v>
          </cell>
          <cell r="N152" t="str">
            <v>e_c_a_attack1_hit_4</v>
          </cell>
          <cell r="O152" t="str">
            <v>8</v>
          </cell>
        </row>
        <row r="153">
          <cell r="A153">
            <v>9062</v>
          </cell>
          <cell r="B153" t="str">
            <v>[b]戈隆塔-暗影之力[-]</v>
          </cell>
          <cell r="D153" t="str">
            <v>skill_2</v>
          </cell>
          <cell r="I153" t="str">
            <v>0</v>
          </cell>
          <cell r="J153" t="str">
            <v>1467</v>
          </cell>
          <cell r="K153">
            <v>0</v>
          </cell>
          <cell r="L153">
            <v>733</v>
          </cell>
          <cell r="M153" t="str">
            <v>100</v>
          </cell>
          <cell r="O153" t="str">
            <v>3</v>
          </cell>
        </row>
        <row r="154">
          <cell r="A154">
            <v>9063</v>
          </cell>
          <cell r="B154" t="str">
            <v>[b]腐化者-腐化残绕[-]</v>
          </cell>
          <cell r="D154" t="str">
            <v>skill_1</v>
          </cell>
          <cell r="I154" t="str">
            <v>0</v>
          </cell>
          <cell r="J154" t="str">
            <v>1300</v>
          </cell>
          <cell r="K154" t="str">
            <v>0</v>
          </cell>
          <cell r="L154" t="str">
            <v>830</v>
          </cell>
          <cell r="M154" t="str">
            <v>100</v>
          </cell>
          <cell r="N154" t="str">
            <v>e_c_devil_hit</v>
          </cell>
          <cell r="O154">
            <v>10</v>
          </cell>
        </row>
        <row r="155">
          <cell r="A155">
            <v>9064</v>
          </cell>
          <cell r="B155" t="str">
            <v>[b]腐化者-冰霜之击[-]</v>
          </cell>
          <cell r="D155" t="str">
            <v>attack1</v>
          </cell>
          <cell r="I155" t="str">
            <v>0</v>
          </cell>
          <cell r="J155" t="str">
            <v>800</v>
          </cell>
          <cell r="K155" t="str">
            <v>0</v>
          </cell>
          <cell r="L155" t="str">
            <v>374</v>
          </cell>
          <cell r="M155" t="str">
            <v>100</v>
          </cell>
          <cell r="N155" t="str">
            <v>e_c_ice_hit_big</v>
          </cell>
          <cell r="O155" t="str">
            <v>3</v>
          </cell>
        </row>
        <row r="156">
          <cell r="A156">
            <v>9065</v>
          </cell>
          <cell r="B156" t="str">
            <v>[b]守护者-火雨[-]</v>
          </cell>
          <cell r="D156" t="str">
            <v>skill6</v>
          </cell>
          <cell r="I156" t="str">
            <v>0</v>
          </cell>
          <cell r="J156" t="str">
            <v>1300</v>
          </cell>
          <cell r="K156">
            <v>0</v>
          </cell>
          <cell r="L156">
            <v>1040</v>
          </cell>
          <cell r="M156" t="str">
            <v>100</v>
          </cell>
          <cell r="N156" t="str">
            <v>e_c_a_attack1_hit_1</v>
          </cell>
          <cell r="O156" t="str">
            <v>10</v>
          </cell>
        </row>
        <row r="157">
          <cell r="A157">
            <v>9066</v>
          </cell>
          <cell r="B157" t="str">
            <v>[b]守护者-冰霜[-]</v>
          </cell>
          <cell r="D157" t="str">
            <v>skill5</v>
          </cell>
          <cell r="I157" t="str">
            <v>0</v>
          </cell>
          <cell r="J157" t="str">
            <v>1300</v>
          </cell>
          <cell r="K157" t="str">
            <v>0</v>
          </cell>
          <cell r="L157" t="str">
            <v>650</v>
          </cell>
          <cell r="M157" t="str">
            <v>100</v>
          </cell>
          <cell r="N157" t="str">
            <v>e_c_ice_hit_big</v>
          </cell>
          <cell r="O157" t="str">
            <v>5</v>
          </cell>
        </row>
        <row r="158">
          <cell r="A158">
            <v>9067</v>
          </cell>
          <cell r="B158" t="str">
            <v>[b]剑刃风暴[-]</v>
          </cell>
          <cell r="C158" t="str">
            <v>skill2_01</v>
          </cell>
          <cell r="I158" t="str">
            <v>1500</v>
          </cell>
          <cell r="J158" t="str">
            <v>0</v>
          </cell>
          <cell r="K158">
            <v>0</v>
          </cell>
          <cell r="L158" t="str">
            <v>0</v>
          </cell>
          <cell r="M158" t="str">
            <v>100</v>
          </cell>
          <cell r="N158" t="str">
            <v>e_c_a_attack1_hit_4</v>
          </cell>
          <cell r="O158" t="str">
            <v>3</v>
          </cell>
        </row>
        <row r="159">
          <cell r="A159">
            <v>9068</v>
          </cell>
          <cell r="B159" t="str">
            <v>[b]黑钢斧王-普攻[-]</v>
          </cell>
          <cell r="D159" t="str">
            <v>attack1</v>
          </cell>
          <cell r="I159" t="str">
            <v>0</v>
          </cell>
          <cell r="J159" t="str">
            <v>1500</v>
          </cell>
          <cell r="K159">
            <v>0</v>
          </cell>
          <cell r="L159">
            <v>555</v>
          </cell>
          <cell r="M159" t="str">
            <v>100</v>
          </cell>
          <cell r="N159" t="str">
            <v>e_c_a_attack1_hit_1</v>
          </cell>
          <cell r="O159" t="str">
            <v>3</v>
          </cell>
        </row>
        <row r="160">
          <cell r="A160">
            <v>9069</v>
          </cell>
          <cell r="B160" t="str">
            <v>[b]黑钢斧王-三连斩[-]</v>
          </cell>
          <cell r="D160" t="str">
            <v>attack1|attack1|attack1</v>
          </cell>
          <cell r="G160" t="str">
            <v>e_c_a_attack2_cast|e_c_a_attack2_cast|e_c_a_attack2_cast</v>
          </cell>
          <cell r="I160" t="str">
            <v>0</v>
          </cell>
          <cell r="J160" t="str">
            <v>500|500|1000</v>
          </cell>
          <cell r="K160">
            <v>0</v>
          </cell>
          <cell r="L160" t="str">
            <v>185|685|1380</v>
          </cell>
          <cell r="M160" t="str">
            <v>15|30|55</v>
          </cell>
          <cell r="N160" t="str">
            <v>e_c_a_attack1_hit_1|e_c_a_attack1_hit_1|e_c_e_attack4_cast_delay</v>
          </cell>
          <cell r="O160" t="str">
            <v>3</v>
          </cell>
        </row>
        <row r="161">
          <cell r="A161">
            <v>9070</v>
          </cell>
          <cell r="B161" t="str">
            <v>[b]黑钢斧王-冲锋[-]</v>
          </cell>
          <cell r="D161" t="str">
            <v>move2</v>
          </cell>
          <cell r="G161" t="str">
            <v>e_c_a_skill_bullet</v>
          </cell>
          <cell r="I161" t="str">
            <v>0</v>
          </cell>
          <cell r="J161" t="str">
            <v>500</v>
          </cell>
          <cell r="K161">
            <v>0</v>
          </cell>
          <cell r="L161" t="str">
            <v>500</v>
          </cell>
          <cell r="M161" t="str">
            <v>100</v>
          </cell>
          <cell r="O161" t="str">
            <v>8</v>
          </cell>
        </row>
        <row r="162">
          <cell r="A162">
            <v>9071</v>
          </cell>
          <cell r="B162" t="str">
            <v>[b]黑钢斧王-裂地斩[-]</v>
          </cell>
          <cell r="D162" t="str">
            <v>attack1</v>
          </cell>
          <cell r="I162" t="str">
            <v>0</v>
          </cell>
          <cell r="J162" t="str">
            <v>1000</v>
          </cell>
          <cell r="K162">
            <v>0</v>
          </cell>
          <cell r="L162" t="str">
            <v>420|520|620</v>
          </cell>
          <cell r="M162" t="str">
            <v>60|20|20</v>
          </cell>
          <cell r="N162" t="str">
            <v>e_c_a_attack1_hit_4</v>
          </cell>
          <cell r="O162" t="str">
            <v>8</v>
          </cell>
        </row>
        <row r="163">
          <cell r="A163">
            <v>9072</v>
          </cell>
          <cell r="B163" t="str">
            <v>[b]恶魔守卫-普攻[-]</v>
          </cell>
          <cell r="D163" t="str">
            <v>attack1</v>
          </cell>
          <cell r="I163" t="str">
            <v>0</v>
          </cell>
          <cell r="J163" t="str">
            <v>1167</v>
          </cell>
          <cell r="K163">
            <v>0</v>
          </cell>
          <cell r="L163">
            <v>420</v>
          </cell>
          <cell r="M163" t="str">
            <v>100</v>
          </cell>
          <cell r="N163" t="str">
            <v>e_c_a_attack1_hit_1</v>
          </cell>
          <cell r="O163" t="str">
            <v>3</v>
          </cell>
        </row>
        <row r="164">
          <cell r="A164">
            <v>9073</v>
          </cell>
          <cell r="B164" t="str">
            <v>[b]恶魔守卫-破碎冲锋[-]</v>
          </cell>
          <cell r="D164" t="str">
            <v>move2</v>
          </cell>
          <cell r="G164" t="str">
            <v>e_c_a_chargeassault</v>
          </cell>
          <cell r="I164" t="str">
            <v>1</v>
          </cell>
          <cell r="J164" t="str">
            <v>400</v>
          </cell>
          <cell r="K164">
            <v>0</v>
          </cell>
          <cell r="L164" t="str">
            <v>200</v>
          </cell>
          <cell r="M164" t="str">
            <v>100</v>
          </cell>
          <cell r="N164" t="str">
            <v>e_c_a_attack1_hit_4</v>
          </cell>
          <cell r="O164" t="str">
            <v>8</v>
          </cell>
        </row>
        <row r="165">
          <cell r="A165">
            <v>9074</v>
          </cell>
          <cell r="B165" t="str">
            <v>[b]恶魔守卫-恶魔咆哮[-]</v>
          </cell>
          <cell r="D165" t="str">
            <v>scream</v>
          </cell>
          <cell r="G165" t="str">
            <v>e_c_e_skill1_cast</v>
          </cell>
          <cell r="I165" t="str">
            <v>0</v>
          </cell>
          <cell r="J165" t="str">
            <v>2000</v>
          </cell>
          <cell r="K165">
            <v>0</v>
          </cell>
          <cell r="L165">
            <v>1320</v>
          </cell>
          <cell r="M165" t="str">
            <v>100</v>
          </cell>
          <cell r="N165" t="str">
            <v>e_c_fire_hit_big|e_c_fire_hit_big|e_c_fire_hit_big|e_c_fire_hit_big</v>
          </cell>
          <cell r="O165" t="str">
            <v>3</v>
          </cell>
        </row>
        <row r="166">
          <cell r="A166">
            <v>9075</v>
          </cell>
          <cell r="B166" t="str">
            <v>[b]恶魔守卫-地狱烈火掌[-]</v>
          </cell>
          <cell r="D166" t="str">
            <v>attack1|skill2|attack1|skill1</v>
          </cell>
          <cell r="G166" t="str">
            <v>e_c_a_attack2_cast|e_c_a_attack3_cast|e_c_a_attack2_cast|e_c_a_skill4_cast_delay</v>
          </cell>
          <cell r="I166" t="str">
            <v>0</v>
          </cell>
          <cell r="J166" t="str">
            <v>500|500|500|1000</v>
          </cell>
          <cell r="K166">
            <v>0</v>
          </cell>
          <cell r="L166" t="str">
            <v>175|650|1175|1820</v>
          </cell>
          <cell r="M166" t="str">
            <v>10|10|10|70</v>
          </cell>
          <cell r="N166" t="str">
            <v>e_c_fire_hit_big|e_c_fire_hit_big|e_c_fire_hit_big|e_c_fire_hit_big</v>
          </cell>
          <cell r="O166" t="str">
            <v>3</v>
          </cell>
        </row>
        <row r="167">
          <cell r="A167">
            <v>9076</v>
          </cell>
          <cell r="B167" t="str">
            <v>[b]恶魔守卫-地狱火炎拳[-]</v>
          </cell>
          <cell r="D167" t="str">
            <v>skill1|skill1|skill1|skill1</v>
          </cell>
          <cell r="G167" t="str">
            <v>e_c_a_skill4_cast_delay|e_c_a_skill4_cast_delay|e_c_a_skill4_cast_delay|e_c_a_skill4_cast_delay</v>
          </cell>
          <cell r="I167" t="str">
            <v>0</v>
          </cell>
          <cell r="J167" t="str">
            <v>500|500|500|1000</v>
          </cell>
          <cell r="K167">
            <v>0</v>
          </cell>
          <cell r="L167" t="str">
            <v>160|660|1160|1820</v>
          </cell>
          <cell r="M167" t="str">
            <v>10|10|10|70</v>
          </cell>
          <cell r="N167" t="str">
            <v>e_c_fire_hit_big|e_c_fire_hit_big|e_c_fire_hit_big|e_c_fire_hit_big</v>
          </cell>
          <cell r="O167" t="str">
            <v>3</v>
          </cell>
        </row>
        <row r="168">
          <cell r="A168">
            <v>9077</v>
          </cell>
          <cell r="B168" t="str">
            <v>[b]巫妖-普攻[-]</v>
          </cell>
          <cell r="D168" t="str">
            <v>attack1_01|attack1_02</v>
          </cell>
          <cell r="E168" t="str">
            <v>attack1_03</v>
          </cell>
          <cell r="I168" t="str">
            <v>0</v>
          </cell>
          <cell r="J168" t="str">
            <v>600|100</v>
          </cell>
          <cell r="K168" t="str">
            <v>300</v>
          </cell>
          <cell r="L168" t="str">
            <v>1</v>
          </cell>
          <cell r="M168" t="str">
            <v>100</v>
          </cell>
          <cell r="N168" t="str">
            <v>e_c_n_01_hit</v>
          </cell>
          <cell r="O168">
            <v>10</v>
          </cell>
        </row>
        <row r="169">
          <cell r="A169">
            <v>9078</v>
          </cell>
          <cell r="B169" t="str">
            <v>[b]巫妖-碎冰[-]</v>
          </cell>
          <cell r="D169" t="str">
            <v>skill_02</v>
          </cell>
          <cell r="I169" t="str">
            <v>0</v>
          </cell>
          <cell r="J169" t="str">
            <v>1500</v>
          </cell>
          <cell r="K169" t="str">
            <v>0</v>
          </cell>
          <cell r="L169" t="str">
            <v>0</v>
          </cell>
          <cell r="M169" t="str">
            <v>100</v>
          </cell>
          <cell r="N169" t="str">
            <v>e_c_ice_hit_big</v>
          </cell>
          <cell r="O169" t="str">
            <v>10</v>
          </cell>
        </row>
        <row r="170">
          <cell r="A170">
            <v>9079</v>
          </cell>
          <cell r="B170" t="str">
            <v>[b]巫妖-暴风雪[-]</v>
          </cell>
          <cell r="D170" t="str">
            <v>skill_01|skill_02</v>
          </cell>
          <cell r="I170" t="str">
            <v>0</v>
          </cell>
          <cell r="J170" t="str">
            <v>500|1500</v>
          </cell>
          <cell r="K170" t="str">
            <v>0</v>
          </cell>
          <cell r="L170" t="str">
            <v>0</v>
          </cell>
          <cell r="M170" t="str">
            <v>100</v>
          </cell>
          <cell r="N170" t="str">
            <v>e_c_ice_hit_big</v>
          </cell>
          <cell r="O170" t="str">
            <v>10</v>
          </cell>
        </row>
        <row r="171">
          <cell r="A171">
            <v>9080</v>
          </cell>
          <cell r="B171" t="str">
            <v>[b]巫妖-凋零术[-]</v>
          </cell>
          <cell r="D171" t="str">
            <v>skill_01|skill_02</v>
          </cell>
          <cell r="I171" t="str">
            <v>0</v>
          </cell>
          <cell r="J171" t="str">
            <v>500|1500</v>
          </cell>
          <cell r="K171" t="str">
            <v>0</v>
          </cell>
          <cell r="L171" t="str">
            <v>0</v>
          </cell>
          <cell r="M171" t="str">
            <v>100</v>
          </cell>
          <cell r="N171" t="str">
            <v>e_c_n_01_hit</v>
          </cell>
          <cell r="O171" t="str">
            <v>10</v>
          </cell>
        </row>
        <row r="172">
          <cell r="A172">
            <v>9081</v>
          </cell>
          <cell r="B172" t="str">
            <v>[b]巫妖-霜之新星[-]</v>
          </cell>
          <cell r="D172" t="str">
            <v>skill_01|skill_02</v>
          </cell>
          <cell r="I172" t="str">
            <v>0</v>
          </cell>
          <cell r="J172" t="str">
            <v>500|1500</v>
          </cell>
          <cell r="K172" t="str">
            <v>0</v>
          </cell>
          <cell r="L172" t="str">
            <v>0</v>
          </cell>
          <cell r="M172" t="str">
            <v>100</v>
          </cell>
          <cell r="N172" t="str">
            <v>e_c_ice_hit_big</v>
          </cell>
          <cell r="O172" t="str">
            <v>10</v>
          </cell>
        </row>
        <row r="173">
          <cell r="A173">
            <v>9082</v>
          </cell>
          <cell r="B173" t="str">
            <v>[b]QS-暗影怨恨[-]</v>
          </cell>
          <cell r="D173" t="str">
            <v>prepare</v>
          </cell>
          <cell r="G173" t="str">
            <v>e_c_e_skill1_cast</v>
          </cell>
          <cell r="I173" t="str">
            <v>0</v>
          </cell>
          <cell r="J173" t="str">
            <v>1000</v>
          </cell>
          <cell r="K173" t="str">
            <v>0</v>
          </cell>
          <cell r="L173" t="str">
            <v>500</v>
          </cell>
          <cell r="M173" t="str">
            <v>100</v>
          </cell>
          <cell r="N173" t="str">
            <v>e_c_n_01_hit</v>
          </cell>
          <cell r="O173" t="str">
            <v>5</v>
          </cell>
        </row>
        <row r="174">
          <cell r="A174">
            <v>9083</v>
          </cell>
          <cell r="B174" t="str">
            <v>[b]QS-黑暗奉献[-]</v>
          </cell>
          <cell r="D174" t="str">
            <v>skill4_02</v>
          </cell>
          <cell r="I174" t="str">
            <v>0</v>
          </cell>
          <cell r="J174" t="str">
            <v>1000</v>
          </cell>
          <cell r="K174" t="str">
            <v>0</v>
          </cell>
          <cell r="L174" t="str">
            <v>0</v>
          </cell>
          <cell r="M174" t="str">
            <v>100</v>
          </cell>
          <cell r="N174" t="str">
            <v>e_c_n_01_hit</v>
          </cell>
          <cell r="O174" t="str">
            <v>5</v>
          </cell>
        </row>
        <row r="175">
          <cell r="A175">
            <v>9084</v>
          </cell>
          <cell r="B175" t="str">
            <v>[b]恐惧魔王-普攻[-]</v>
          </cell>
          <cell r="D175" t="str">
            <v>attack1</v>
          </cell>
          <cell r="I175" t="str">
            <v>0</v>
          </cell>
          <cell r="J175" t="str">
            <v>1700</v>
          </cell>
          <cell r="K175">
            <v>0</v>
          </cell>
          <cell r="L175">
            <v>884</v>
          </cell>
          <cell r="M175" t="str">
            <v>100</v>
          </cell>
          <cell r="N175" t="str">
            <v>e_c_a_attack1_hit_1</v>
          </cell>
          <cell r="O175" t="str">
            <v>3</v>
          </cell>
        </row>
        <row r="176">
          <cell r="A176">
            <v>9085</v>
          </cell>
          <cell r="B176" t="str">
            <v>[b]恐惧魔王-邪能顺劈[-]</v>
          </cell>
          <cell r="D176" t="str">
            <v>attack2</v>
          </cell>
          <cell r="G176" t="str">
            <v>e_c_a_attack1_cast</v>
          </cell>
          <cell r="I176" t="str">
            <v>0</v>
          </cell>
          <cell r="J176" t="str">
            <v>1300</v>
          </cell>
          <cell r="K176">
            <v>0</v>
          </cell>
          <cell r="L176">
            <v>553</v>
          </cell>
          <cell r="M176" t="str">
            <v>100</v>
          </cell>
          <cell r="N176" t="str">
            <v>e_c_a_attack1_hit_1|e_c_a_attack1_hit_1|e_c_e_attack4_cast_delay</v>
          </cell>
          <cell r="O176" t="str">
            <v>3</v>
          </cell>
        </row>
        <row r="177">
          <cell r="A177">
            <v>9086</v>
          </cell>
          <cell r="B177" t="str">
            <v>[b]恐惧魔王-催眠之雾[-]-6</v>
          </cell>
          <cell r="D177" t="str">
            <v>skill1</v>
          </cell>
          <cell r="I177" t="str">
            <v>0</v>
          </cell>
          <cell r="J177" t="str">
            <v>1500</v>
          </cell>
          <cell r="K177" t="str">
            <v>0</v>
          </cell>
          <cell r="L177" t="str">
            <v>660</v>
          </cell>
          <cell r="M177" t="str">
            <v>100</v>
          </cell>
          <cell r="N177" t="str">
            <v>e_c_n_01_hit</v>
          </cell>
          <cell r="O177" t="str">
            <v>4</v>
          </cell>
        </row>
        <row r="178">
          <cell r="A178">
            <v>9087</v>
          </cell>
          <cell r="B178" t="str">
            <v>[b]恐惧魔王-恐惧尖啸[-]-7</v>
          </cell>
          <cell r="D178" t="str">
            <v>skill1</v>
          </cell>
          <cell r="I178" t="str">
            <v>0</v>
          </cell>
          <cell r="J178" t="str">
            <v>1500</v>
          </cell>
          <cell r="K178">
            <v>0</v>
          </cell>
          <cell r="L178" t="str">
            <v>660</v>
          </cell>
          <cell r="M178" t="str">
            <v>100</v>
          </cell>
          <cell r="N178" t="str">
            <v>e_c_a_attack1_hit_4</v>
          </cell>
          <cell r="O178" t="str">
            <v>4</v>
          </cell>
        </row>
        <row r="179">
          <cell r="A179">
            <v>9088</v>
          </cell>
          <cell r="B179" t="str">
            <v>[b]恐惧魔王-邪能火墙[-]</v>
          </cell>
          <cell r="D179" t="str">
            <v>skill1</v>
          </cell>
          <cell r="I179" t="str">
            <v>0</v>
          </cell>
          <cell r="J179" t="str">
            <v>1500</v>
          </cell>
          <cell r="K179">
            <v>0</v>
          </cell>
          <cell r="L179" t="str">
            <v>660</v>
          </cell>
          <cell r="M179" t="str">
            <v>100</v>
          </cell>
          <cell r="N179" t="str">
            <v>e_c_fire_hit_big</v>
          </cell>
          <cell r="O179" t="str">
            <v>6</v>
          </cell>
        </row>
        <row r="180">
          <cell r="A180">
            <v>9089</v>
          </cell>
          <cell r="B180" t="str">
            <v>[b]深渊魔王-普攻[-]</v>
          </cell>
          <cell r="D180" t="str">
            <v>skill2</v>
          </cell>
          <cell r="G180" t="str">
            <v>e_dh_attack1</v>
          </cell>
          <cell r="I180" t="str">
            <v>0</v>
          </cell>
          <cell r="J180" t="str">
            <v>1500</v>
          </cell>
          <cell r="K180">
            <v>0</v>
          </cell>
          <cell r="L180">
            <v>800</v>
          </cell>
          <cell r="M180" t="str">
            <v>100</v>
          </cell>
          <cell r="N180" t="str">
            <v>e_c_a_attack1_hit_1</v>
          </cell>
          <cell r="O180" t="str">
            <v>3</v>
          </cell>
        </row>
        <row r="181">
          <cell r="A181">
            <v>9090</v>
          </cell>
          <cell r="B181" t="str">
            <v>[b]深渊魔王-爆裂打击[-]</v>
          </cell>
          <cell r="D181" t="str">
            <v>skill1</v>
          </cell>
          <cell r="I181" t="str">
            <v>0</v>
          </cell>
          <cell r="J181" t="str">
            <v>1200</v>
          </cell>
          <cell r="K181">
            <v>0</v>
          </cell>
          <cell r="L181" t="str">
            <v>700|900|1100</v>
          </cell>
          <cell r="M181" t="str">
            <v>33|33|34</v>
          </cell>
          <cell r="N181" t="str">
            <v>e_c_a_attack1_hit_4</v>
          </cell>
          <cell r="O181" t="str">
            <v>8</v>
          </cell>
        </row>
        <row r="182">
          <cell r="A182">
            <v>9091</v>
          </cell>
          <cell r="B182" t="str">
            <v>[b]深渊魔王-烈焰斩[-]</v>
          </cell>
          <cell r="D182" t="str">
            <v>skill2</v>
          </cell>
          <cell r="I182" t="str">
            <v>0</v>
          </cell>
          <cell r="J182" t="str">
            <v>1300</v>
          </cell>
          <cell r="K182">
            <v>0</v>
          </cell>
          <cell r="L182" t="str">
            <v>433|683|933</v>
          </cell>
          <cell r="M182" t="str">
            <v>30|30|40</v>
          </cell>
          <cell r="N182" t="str">
            <v>e_c_a_attack1_hit_4|e_c_a_attack1_hit_4|e_c_a_attack1_hit_4</v>
          </cell>
          <cell r="O182" t="str">
            <v>5</v>
          </cell>
        </row>
        <row r="183">
          <cell r="A183">
            <v>9092</v>
          </cell>
          <cell r="B183" t="str">
            <v>[b]深渊魔王-恶魔奔腾[-]</v>
          </cell>
          <cell r="D183" t="str">
            <v>attack3</v>
          </cell>
          <cell r="G183" t="str">
            <v>e_c_a_chargeassault</v>
          </cell>
          <cell r="I183" t="str">
            <v>1</v>
          </cell>
          <cell r="J183" t="str">
            <v>500</v>
          </cell>
          <cell r="K183">
            <v>0</v>
          </cell>
          <cell r="L183" t="str">
            <v>200</v>
          </cell>
          <cell r="M183" t="str">
            <v>100</v>
          </cell>
          <cell r="N183" t="str">
            <v>e_c_a_attack1_hit_4</v>
          </cell>
          <cell r="O183" t="str">
            <v>8</v>
          </cell>
        </row>
        <row r="184">
          <cell r="A184">
            <v>9093</v>
          </cell>
          <cell r="B184" t="str">
            <v>[b]深渊魔王-破胆咆哮[-]</v>
          </cell>
          <cell r="D184" t="str">
            <v>scream</v>
          </cell>
          <cell r="I184" t="str">
            <v>0</v>
          </cell>
          <cell r="J184" t="str">
            <v>1000</v>
          </cell>
          <cell r="K184" t="str">
            <v>0</v>
          </cell>
          <cell r="L184" t="str">
            <v>350</v>
          </cell>
          <cell r="M184" t="str">
            <v>100</v>
          </cell>
          <cell r="N184" t="str">
            <v>e_c_n_01_hit</v>
          </cell>
          <cell r="O184" t="str">
            <v>4</v>
          </cell>
        </row>
        <row r="185">
          <cell r="A185">
            <v>9094</v>
          </cell>
          <cell r="B185" t="str">
            <v>[b]艾瑞达-普攻[-]</v>
          </cell>
          <cell r="D185" t="str">
            <v>attack1</v>
          </cell>
          <cell r="G185" t="str">
            <v>e_c_e_skill1_cast</v>
          </cell>
          <cell r="I185" t="str">
            <v>0</v>
          </cell>
          <cell r="J185" t="str">
            <v>1500</v>
          </cell>
          <cell r="K185" t="str">
            <v>0</v>
          </cell>
          <cell r="L185" t="str">
            <v>930</v>
          </cell>
          <cell r="M185" t="str">
            <v>100</v>
          </cell>
          <cell r="N185" t="str">
            <v>e_c_fire_hit_big</v>
          </cell>
          <cell r="O185" t="str">
            <v>5</v>
          </cell>
        </row>
        <row r="186">
          <cell r="A186">
            <v>9095</v>
          </cell>
          <cell r="B186" t="str">
            <v>[b]艾瑞达-暗影之怒[-]</v>
          </cell>
          <cell r="D186" t="str">
            <v>skill1</v>
          </cell>
          <cell r="I186" t="str">
            <v>0</v>
          </cell>
          <cell r="J186" t="str">
            <v>2000</v>
          </cell>
          <cell r="K186" t="str">
            <v>0</v>
          </cell>
          <cell r="L186" t="str">
            <v>1000</v>
          </cell>
          <cell r="M186" t="str">
            <v>100</v>
          </cell>
          <cell r="N186" t="str">
            <v>e_c_n_01_hit</v>
          </cell>
          <cell r="O186" t="str">
            <v>5</v>
          </cell>
        </row>
        <row r="187">
          <cell r="A187">
            <v>9096</v>
          </cell>
          <cell r="B187" t="str">
            <v>[b]艾瑞达-邪能深渊[-]</v>
          </cell>
          <cell r="D187" t="str">
            <v>skill1</v>
          </cell>
          <cell r="I187" t="str">
            <v>0</v>
          </cell>
          <cell r="J187" t="str">
            <v>2000</v>
          </cell>
          <cell r="K187" t="str">
            <v>0</v>
          </cell>
          <cell r="L187" t="str">
            <v>0</v>
          </cell>
          <cell r="M187" t="str">
            <v>100</v>
          </cell>
          <cell r="N187" t="str">
            <v>e_c_n_01_hit</v>
          </cell>
          <cell r="O187" t="str">
            <v>5</v>
          </cell>
        </row>
        <row r="188">
          <cell r="A188">
            <v>9097</v>
          </cell>
          <cell r="B188" t="str">
            <v>[b]艾瑞达-邪能爆炸[-]</v>
          </cell>
          <cell r="D188" t="str">
            <v>skill1</v>
          </cell>
          <cell r="I188" t="str">
            <v>0</v>
          </cell>
          <cell r="J188" t="str">
            <v>2000</v>
          </cell>
          <cell r="K188" t="str">
            <v>0</v>
          </cell>
          <cell r="L188" t="str">
            <v>1000</v>
          </cell>
          <cell r="M188" t="str">
            <v>100</v>
          </cell>
          <cell r="N188" t="str">
            <v>e_c_fire_hit_big</v>
          </cell>
          <cell r="O188" t="str">
            <v>5</v>
          </cell>
        </row>
        <row r="189">
          <cell r="A189">
            <v>9098</v>
          </cell>
          <cell r="B189" t="str">
            <v>[b]艾瑞达-邪能火墙[-]</v>
          </cell>
          <cell r="D189" t="str">
            <v>skill1</v>
          </cell>
          <cell r="I189" t="str">
            <v>0</v>
          </cell>
          <cell r="J189" t="str">
            <v>2000</v>
          </cell>
          <cell r="K189">
            <v>0</v>
          </cell>
          <cell r="L189" t="str">
            <v>1000</v>
          </cell>
          <cell r="M189" t="str">
            <v>100</v>
          </cell>
          <cell r="N189" t="str">
            <v>e_c_fire_hit_big</v>
          </cell>
          <cell r="O189" t="str">
            <v>6</v>
          </cell>
        </row>
        <row r="190">
          <cell r="A190">
            <v>9099</v>
          </cell>
          <cell r="B190" t="str">
            <v>[b]恶魔猎手-普攻[-]</v>
          </cell>
          <cell r="D190" t="str">
            <v>attack1|attack2|attack3</v>
          </cell>
          <cell r="G190" t="str">
            <v>e_dh_attack1|e_dh_attack2|e_dh_attack3</v>
          </cell>
          <cell r="I190" t="str">
            <v>0</v>
          </cell>
          <cell r="J190" t="str">
            <v>700|500|800</v>
          </cell>
          <cell r="K190">
            <v>0</v>
          </cell>
          <cell r="L190" t="str">
            <v>210|975|1608</v>
          </cell>
          <cell r="M190" t="str">
            <v>20|20|60</v>
          </cell>
          <cell r="N190" t="str">
            <v>e_c_a_attack1_hit_1</v>
          </cell>
          <cell r="O190" t="str">
            <v>3</v>
          </cell>
        </row>
        <row r="191">
          <cell r="A191">
            <v>9100</v>
          </cell>
          <cell r="B191" t="str">
            <v>[b]恶魔猎手-切割[-]</v>
          </cell>
          <cell r="D191" t="str">
            <v>attack4</v>
          </cell>
          <cell r="G191" t="str">
            <v>e_dh_attack4</v>
          </cell>
          <cell r="I191" t="str">
            <v>0</v>
          </cell>
          <cell r="J191" t="str">
            <v>1200</v>
          </cell>
          <cell r="K191">
            <v>0</v>
          </cell>
          <cell r="L191">
            <v>600</v>
          </cell>
          <cell r="M191" t="str">
            <v>100</v>
          </cell>
          <cell r="N191" t="str">
            <v>e_c_a_attack1_hit_1</v>
          </cell>
          <cell r="O191" t="str">
            <v>3</v>
          </cell>
        </row>
        <row r="192">
          <cell r="A192">
            <v>9101</v>
          </cell>
          <cell r="B192" t="str">
            <v>[b]恶魔猎手-邪恶冲刺[-]</v>
          </cell>
          <cell r="D192" t="str">
            <v>skill1_2</v>
          </cell>
          <cell r="G192" t="str">
            <v>e_dh_attack5</v>
          </cell>
          <cell r="I192" t="str">
            <v>0</v>
          </cell>
          <cell r="J192" t="str">
            <v>500</v>
          </cell>
          <cell r="K192">
            <v>0</v>
          </cell>
          <cell r="L192" t="str">
            <v>500</v>
          </cell>
          <cell r="M192" t="str">
            <v>100</v>
          </cell>
          <cell r="N192" t="str">
            <v>e_c_a_attack1_hit_1</v>
          </cell>
          <cell r="O192" t="str">
            <v>8</v>
          </cell>
        </row>
        <row r="193">
          <cell r="A193">
            <v>9102</v>
          </cell>
          <cell r="B193" t="str">
            <v>[b]恶魔猎手-邪刃之舞[-]</v>
          </cell>
          <cell r="D193" t="str">
            <v>attack4|attack4|attack4|attack4|skill1_1</v>
          </cell>
          <cell r="G193" t="str">
            <v>e_dh_attack4|e_dh_attack4|e_dh_attack4|e_dh_attack4|e_n_arrow_002</v>
          </cell>
          <cell r="I193" t="str">
            <v>0</v>
          </cell>
          <cell r="J193" t="str">
            <v>300|250|200|150|1100</v>
          </cell>
          <cell r="K193">
            <v>0</v>
          </cell>
          <cell r="L193" t="str">
            <v>150|425|650|825|1450</v>
          </cell>
          <cell r="M193" t="str">
            <v>10|10|10|10|60</v>
          </cell>
          <cell r="N193" t="str">
            <v>e_c_fire_hit_big</v>
          </cell>
          <cell r="O193" t="str">
            <v>3</v>
          </cell>
        </row>
        <row r="194">
          <cell r="A194">
            <v>9103</v>
          </cell>
          <cell r="B194" t="str">
            <v>[b]恶魔猎手-恶魔之力[-]</v>
          </cell>
          <cell r="D194" t="str">
            <v>scream</v>
          </cell>
          <cell r="G194" t="str">
            <v>e_n_arrow_002</v>
          </cell>
          <cell r="I194" t="str">
            <v>0</v>
          </cell>
          <cell r="J194" t="str">
            <v>2000</v>
          </cell>
          <cell r="K194">
            <v>0</v>
          </cell>
          <cell r="L194">
            <v>1140</v>
          </cell>
          <cell r="M194" t="str">
            <v>100</v>
          </cell>
          <cell r="N194" t="str">
            <v>e_c_fire_hit_big</v>
          </cell>
          <cell r="O194" t="str">
            <v>3</v>
          </cell>
        </row>
        <row r="195">
          <cell r="A195">
            <v>9104</v>
          </cell>
          <cell r="B195" t="str">
            <v>[b]团队-兽人-三连斩[-]</v>
          </cell>
          <cell r="D195" t="str">
            <v>attack1|attack1|attack1</v>
          </cell>
          <cell r="G195" t="str">
            <v>e_c_a_attack2_cast|e_c_a_attack2_cast|e_c_a_attack2_cast</v>
          </cell>
          <cell r="I195" t="str">
            <v>0</v>
          </cell>
          <cell r="J195" t="str">
            <v>500|500|1000</v>
          </cell>
          <cell r="K195">
            <v>0</v>
          </cell>
          <cell r="L195" t="str">
            <v>185|685|1380</v>
          </cell>
          <cell r="M195" t="str">
            <v>15|30|55</v>
          </cell>
          <cell r="N195" t="str">
            <v>e_c_a_attack1_hit_1|e_c_a_attack1_hit_1|e_c_e_attack4_cast_delay</v>
          </cell>
          <cell r="O195" t="str">
            <v>3</v>
          </cell>
        </row>
        <row r="196">
          <cell r="A196">
            <v>9105</v>
          </cell>
          <cell r="B196" t="str">
            <v>[b]团队-战士-冲锋[-]</v>
          </cell>
          <cell r="C196" t="str">
            <v>impact_01</v>
          </cell>
          <cell r="D196" t="str">
            <v>impact_02</v>
          </cell>
          <cell r="E196" t="str">
            <v>attack3_01</v>
          </cell>
          <cell r="G196" t="str">
            <v>e_c_a_skill_bullet</v>
          </cell>
          <cell r="I196" t="str">
            <v>0</v>
          </cell>
          <cell r="J196" t="str">
            <v>300</v>
          </cell>
          <cell r="K196">
            <v>300</v>
          </cell>
          <cell r="L196" t="str">
            <v>300</v>
          </cell>
          <cell r="M196" t="str">
            <v>100</v>
          </cell>
          <cell r="N196" t="str">
            <v>e_c_a_attack1_hit_4</v>
          </cell>
          <cell r="O196" t="str">
            <v>10</v>
          </cell>
        </row>
        <row r="197">
          <cell r="A197">
            <v>9106</v>
          </cell>
          <cell r="B197" t="str">
            <v>[b]团队-战士-战吼[-]</v>
          </cell>
          <cell r="D197" t="str">
            <v>skill5</v>
          </cell>
          <cell r="I197" t="str">
            <v>0</v>
          </cell>
          <cell r="J197" t="str">
            <v>1000</v>
          </cell>
          <cell r="K197">
            <v>0</v>
          </cell>
          <cell r="L197" t="str">
            <v>250</v>
          </cell>
          <cell r="M197" t="str">
            <v>100</v>
          </cell>
          <cell r="N197" t="str">
            <v>e_c_a_attack1_hit_4</v>
          </cell>
          <cell r="O197" t="str">
            <v>3</v>
          </cell>
        </row>
        <row r="198">
          <cell r="A198">
            <v>9107</v>
          </cell>
          <cell r="B198" t="str">
            <v>[b]团队-战士-血肉风暴[-]</v>
          </cell>
          <cell r="C198" t="str">
            <v>skill2_01</v>
          </cell>
          <cell r="I198" t="str">
            <v>3000</v>
          </cell>
          <cell r="J198" t="str">
            <v>0</v>
          </cell>
          <cell r="K198">
            <v>0</v>
          </cell>
          <cell r="L198" t="str">
            <v>0</v>
          </cell>
          <cell r="M198" t="str">
            <v>100</v>
          </cell>
          <cell r="N198" t="str">
            <v>e_c_a_attack1_hit_4</v>
          </cell>
          <cell r="O198" t="str">
            <v>3</v>
          </cell>
        </row>
        <row r="199">
          <cell r="A199">
            <v>9108</v>
          </cell>
          <cell r="B199" t="str">
            <v>[b]团队-骑士-黑暗奉献[-]</v>
          </cell>
          <cell r="D199" t="str">
            <v>skill4_02</v>
          </cell>
          <cell r="I199" t="str">
            <v>0</v>
          </cell>
          <cell r="J199" t="str">
            <v>1000</v>
          </cell>
          <cell r="K199" t="str">
            <v>0</v>
          </cell>
          <cell r="L199" t="str">
            <v>0</v>
          </cell>
          <cell r="M199" t="str">
            <v>100</v>
          </cell>
          <cell r="N199" t="str">
            <v>e_c_n_01_hit</v>
          </cell>
          <cell r="O199" t="str">
            <v>5</v>
          </cell>
        </row>
        <row r="200">
          <cell r="A200">
            <v>9109</v>
          </cell>
          <cell r="B200" t="str">
            <v>[b]团队-法师-火焰之雨[-]</v>
          </cell>
          <cell r="D200" t="str">
            <v>skill6</v>
          </cell>
          <cell r="I200" t="str">
            <v>0</v>
          </cell>
          <cell r="J200" t="str">
            <v>1300</v>
          </cell>
          <cell r="K200">
            <v>0</v>
          </cell>
          <cell r="L200">
            <v>1040</v>
          </cell>
          <cell r="M200" t="str">
            <v>100</v>
          </cell>
          <cell r="N200" t="str">
            <v>e_c_fire_hit_big</v>
          </cell>
          <cell r="O200" t="str">
            <v>10</v>
          </cell>
        </row>
        <row r="201">
          <cell r="A201">
            <v>9110</v>
          </cell>
          <cell r="B201" t="str">
            <v>[b]团队-恶魔-恶魔奔腾[-]</v>
          </cell>
          <cell r="D201" t="str">
            <v>move2</v>
          </cell>
          <cell r="G201" t="str">
            <v>e_c_a_chargeassault</v>
          </cell>
          <cell r="I201" t="str">
            <v>1</v>
          </cell>
          <cell r="J201" t="str">
            <v>400</v>
          </cell>
          <cell r="K201">
            <v>0</v>
          </cell>
          <cell r="L201" t="str">
            <v>200</v>
          </cell>
          <cell r="M201" t="str">
            <v>100</v>
          </cell>
          <cell r="N201" t="str">
            <v>e_c_a_attack1_hit_4</v>
          </cell>
          <cell r="O201" t="str">
            <v>8</v>
          </cell>
        </row>
        <row r="202">
          <cell r="A202">
            <v>9111</v>
          </cell>
          <cell r="B202" t="str">
            <v>[b]团队-恶魔-狂热打击[-]</v>
          </cell>
          <cell r="D202" t="str">
            <v>attack1|skill2|attack1|skill1</v>
          </cell>
          <cell r="G202" t="str">
            <v>e_c_a_attack2_cast|e_c_a_attack3_cast|e_c_a_attack2_cast|e_c_a_skill4_cast_delay</v>
          </cell>
          <cell r="I202" t="str">
            <v>0</v>
          </cell>
          <cell r="J202" t="str">
            <v>500|500|500|1000</v>
          </cell>
          <cell r="K202">
            <v>0</v>
          </cell>
          <cell r="L202" t="str">
            <v>175|650|1175|1820</v>
          </cell>
          <cell r="M202" t="str">
            <v>10|10|10|70</v>
          </cell>
          <cell r="N202" t="str">
            <v>e_c_fire_hit_big|e_c_fire_hit_big|e_c_fire_hit_big|e_c_fire_hit_big</v>
          </cell>
          <cell r="O202" t="str">
            <v>3</v>
          </cell>
        </row>
        <row r="203">
          <cell r="A203">
            <v>9112</v>
          </cell>
          <cell r="B203" t="str">
            <v>[b]团队-恶魔-大地爆裂[-]</v>
          </cell>
          <cell r="C203" t="str">
            <v>scream</v>
          </cell>
          <cell r="D203" t="str">
            <v>skill1|skill1|skill1|skill1</v>
          </cell>
          <cell r="G203" t="str">
            <v>e_c_a_skill4_cast_delay|e_c_a_skill4_cast_delay|e_c_a_skill4_cast_delay|e_c_a_skill4_cast_delay</v>
          </cell>
          <cell r="I203" t="str">
            <v>3000</v>
          </cell>
          <cell r="J203" t="str">
            <v>500|500|500|1000</v>
          </cell>
          <cell r="K203">
            <v>0</v>
          </cell>
          <cell r="L203" t="str">
            <v>160|660|1160|1820</v>
          </cell>
          <cell r="M203" t="str">
            <v>10|10|10|70</v>
          </cell>
          <cell r="N203" t="str">
            <v>e_c_fire_hit_big|e_c_fire_hit_big|e_c_fire_hit_big|e_c_fire_hit_big</v>
          </cell>
          <cell r="O203" t="str">
            <v>3</v>
          </cell>
        </row>
        <row r="204">
          <cell r="A204">
            <v>9113</v>
          </cell>
          <cell r="B204" t="str">
            <v>[b]团队-女妖-尖啸[-]</v>
          </cell>
          <cell r="D204" t="str">
            <v>scream</v>
          </cell>
          <cell r="I204" t="str">
            <v>0</v>
          </cell>
          <cell r="J204" t="str">
            <v>1000</v>
          </cell>
          <cell r="K204" t="str">
            <v>0</v>
          </cell>
          <cell r="L204" t="str">
            <v>350</v>
          </cell>
          <cell r="M204" t="str">
            <v>100</v>
          </cell>
          <cell r="N204" t="str">
            <v>e_c_n_01_hit</v>
          </cell>
          <cell r="O204" t="str">
            <v>4</v>
          </cell>
        </row>
        <row r="205">
          <cell r="A205">
            <v>9114</v>
          </cell>
          <cell r="B205" t="str">
            <v>[b]团队-僧侣-暗影新星[-]</v>
          </cell>
          <cell r="D205" t="str">
            <v>attack2</v>
          </cell>
          <cell r="G205" t="str">
            <v>e_c_e_skill1_cast</v>
          </cell>
          <cell r="I205" t="str">
            <v>0</v>
          </cell>
          <cell r="J205" t="str">
            <v>1000</v>
          </cell>
          <cell r="K205" t="str">
            <v>0</v>
          </cell>
          <cell r="L205" t="str">
            <v>500</v>
          </cell>
          <cell r="M205" t="str">
            <v>100</v>
          </cell>
          <cell r="N205" t="str">
            <v>e_c_n_01_hit</v>
          </cell>
          <cell r="O205" t="str">
            <v>5</v>
          </cell>
        </row>
        <row r="206">
          <cell r="A206">
            <v>9115</v>
          </cell>
          <cell r="B206" t="str">
            <v>[b]团队-骷髅-顺劈[-]</v>
          </cell>
          <cell r="D206" t="str">
            <v>attack1</v>
          </cell>
          <cell r="G206" t="str">
            <v>e_c_a_attack1_cast</v>
          </cell>
          <cell r="I206" t="str">
            <v>0</v>
          </cell>
          <cell r="J206">
            <v>1000</v>
          </cell>
          <cell r="K206">
            <v>0</v>
          </cell>
          <cell r="L206">
            <v>350</v>
          </cell>
          <cell r="M206" t="str">
            <v>10|10|10|70</v>
          </cell>
          <cell r="N206" t="str">
            <v>e_c_fire_hit_big|e_c_fire_hit_big|e_c_fire_hit_big|e_c_fire_hit_big</v>
          </cell>
          <cell r="O206" t="str">
            <v>3</v>
          </cell>
        </row>
        <row r="207">
          <cell r="A207">
            <v>9116</v>
          </cell>
          <cell r="B207" t="str">
            <v>[b]团队-骷髅-裂颅打击[-]</v>
          </cell>
          <cell r="D207" t="str">
            <v>attack2</v>
          </cell>
          <cell r="G207" t="str">
            <v>e_dh_attack1</v>
          </cell>
          <cell r="I207" t="str">
            <v>0</v>
          </cell>
          <cell r="J207" t="str">
            <v>1200</v>
          </cell>
          <cell r="K207">
            <v>0</v>
          </cell>
          <cell r="L207">
            <v>380</v>
          </cell>
          <cell r="M207" t="str">
            <v>100</v>
          </cell>
          <cell r="N207" t="str">
            <v>e_c_a_attack1_hit_1</v>
          </cell>
          <cell r="O207" t="str">
            <v>3</v>
          </cell>
        </row>
        <row r="208">
          <cell r="A208">
            <v>9117</v>
          </cell>
          <cell r="B208" t="str">
            <v>[b]团队-机械-雷电打击[-]</v>
          </cell>
          <cell r="D208" t="str">
            <v>attack2</v>
          </cell>
          <cell r="I208" t="str">
            <v>0</v>
          </cell>
          <cell r="J208" t="str">
            <v>500</v>
          </cell>
          <cell r="K208">
            <v>0</v>
          </cell>
          <cell r="L208" t="str">
            <v>350</v>
          </cell>
          <cell r="M208" t="str">
            <v>100</v>
          </cell>
          <cell r="N208" t="str">
            <v>e_c_d_skill7_hit</v>
          </cell>
          <cell r="O208" t="str">
            <v>15</v>
          </cell>
        </row>
        <row r="209">
          <cell r="A209">
            <v>9118</v>
          </cell>
          <cell r="B209" t="str">
            <v>[b]团队-巫妖-碎冰普攻[-]</v>
          </cell>
          <cell r="D209" t="str">
            <v>attack1_01</v>
          </cell>
          <cell r="I209" t="str">
            <v>0</v>
          </cell>
          <cell r="J209" t="str">
            <v>1500</v>
          </cell>
          <cell r="K209" t="str">
            <v>0</v>
          </cell>
          <cell r="L209" t="str">
            <v>0</v>
          </cell>
          <cell r="M209" t="str">
            <v>100</v>
          </cell>
          <cell r="N209" t="str">
            <v>e_c_ice_hit_big</v>
          </cell>
          <cell r="O209" t="str">
            <v>10</v>
          </cell>
        </row>
        <row r="210">
          <cell r="A210">
            <v>9119</v>
          </cell>
          <cell r="B210" t="str">
            <v>[b]团队-巫妖-暴风雪[-]</v>
          </cell>
          <cell r="D210" t="str">
            <v>attack1_01</v>
          </cell>
          <cell r="I210" t="str">
            <v>0</v>
          </cell>
          <cell r="J210" t="str">
            <v>1000</v>
          </cell>
          <cell r="K210" t="str">
            <v>0</v>
          </cell>
          <cell r="L210" t="str">
            <v>0</v>
          </cell>
          <cell r="M210" t="str">
            <v>100</v>
          </cell>
          <cell r="N210" t="str">
            <v>e_c_ice_hit_big</v>
          </cell>
          <cell r="O210" t="str">
            <v>10</v>
          </cell>
        </row>
        <row r="211">
          <cell r="A211">
            <v>9120</v>
          </cell>
          <cell r="B211" t="str">
            <v>[b]团队-巫妖-霜之新星[-]</v>
          </cell>
          <cell r="C211" t="str">
            <v>skill_01</v>
          </cell>
          <cell r="D211" t="str">
            <v>skill_02</v>
          </cell>
          <cell r="I211" t="str">
            <v>3000</v>
          </cell>
          <cell r="J211" t="str">
            <v>2000</v>
          </cell>
          <cell r="K211" t="str">
            <v>0</v>
          </cell>
          <cell r="L211" t="str">
            <v>0</v>
          </cell>
          <cell r="M211" t="str">
            <v>100</v>
          </cell>
          <cell r="N211" t="str">
            <v>e_c_ice_hit_big</v>
          </cell>
          <cell r="O211" t="str">
            <v>10</v>
          </cell>
        </row>
        <row r="212">
          <cell r="A212">
            <v>9121</v>
          </cell>
          <cell r="B212" t="str">
            <v>[b]团队-巫妖-死亡凋零[-]</v>
          </cell>
          <cell r="C212" t="str">
            <v>skill_01</v>
          </cell>
          <cell r="D212" t="str">
            <v>skill_02</v>
          </cell>
          <cell r="I212" t="str">
            <v>3000</v>
          </cell>
          <cell r="J212" t="str">
            <v>2000</v>
          </cell>
          <cell r="K212" t="str">
            <v>0</v>
          </cell>
          <cell r="L212" t="str">
            <v>0</v>
          </cell>
          <cell r="M212" t="str">
            <v>100</v>
          </cell>
          <cell r="N212" t="str">
            <v>e_c_n_01_hit</v>
          </cell>
          <cell r="O212" t="str">
            <v>10</v>
          </cell>
        </row>
        <row r="213">
          <cell r="A213">
            <v>9122</v>
          </cell>
          <cell r="B213" t="str">
            <v>[b]团队-恐惧1-沉睡迷雾[-]</v>
          </cell>
          <cell r="C213" t="str">
            <v>scream</v>
          </cell>
          <cell r="D213" t="str">
            <v>skill1</v>
          </cell>
          <cell r="I213" t="str">
            <v>3000</v>
          </cell>
          <cell r="J213" t="str">
            <v>1500</v>
          </cell>
          <cell r="K213" t="str">
            <v>0</v>
          </cell>
          <cell r="L213" t="str">
            <v>0</v>
          </cell>
          <cell r="M213" t="str">
            <v>100</v>
          </cell>
          <cell r="N213" t="str">
            <v>e_c_n_01_hit</v>
          </cell>
          <cell r="O213" t="str">
            <v>10</v>
          </cell>
        </row>
        <row r="214">
          <cell r="A214">
            <v>9123</v>
          </cell>
          <cell r="B214" t="str">
            <v>[b]团队-恐惧1-夺魂尖啸[-]-3</v>
          </cell>
          <cell r="C214" t="str">
            <v>scream</v>
          </cell>
          <cell r="D214" t="str">
            <v>skill1</v>
          </cell>
          <cell r="I214" t="str">
            <v>3000</v>
          </cell>
          <cell r="J214" t="str">
            <v>1500</v>
          </cell>
          <cell r="K214">
            <v>0</v>
          </cell>
          <cell r="L214" t="str">
            <v>660</v>
          </cell>
          <cell r="M214" t="str">
            <v>100</v>
          </cell>
          <cell r="N214" t="str">
            <v>e_c_a_attack1_hit_4</v>
          </cell>
          <cell r="O214" t="str">
            <v>4</v>
          </cell>
        </row>
        <row r="215">
          <cell r="A215">
            <v>9124</v>
          </cell>
          <cell r="B215" t="str">
            <v>[b]团队-恐惧1-暗影之灾[-]</v>
          </cell>
          <cell r="D215" t="str">
            <v>skill1</v>
          </cell>
          <cell r="I215" t="str">
            <v>0</v>
          </cell>
          <cell r="J215" t="str">
            <v>1000</v>
          </cell>
          <cell r="K215" t="str">
            <v>0</v>
          </cell>
          <cell r="L215" t="str">
            <v>1</v>
          </cell>
          <cell r="M215" t="str">
            <v>100</v>
          </cell>
          <cell r="N215" t="str">
            <v>e_c_fire_hit_big</v>
          </cell>
          <cell r="O215">
            <v>10</v>
          </cell>
        </row>
        <row r="216">
          <cell r="A216">
            <v>9125</v>
          </cell>
          <cell r="B216" t="str">
            <v>[b]团队-恐惧2-普攻顺劈[-]</v>
          </cell>
          <cell r="D216" t="str">
            <v>attack2</v>
          </cell>
          <cell r="I216" t="str">
            <v>0</v>
          </cell>
          <cell r="J216" t="str">
            <v>1300</v>
          </cell>
          <cell r="K216">
            <v>0</v>
          </cell>
          <cell r="L216">
            <v>553</v>
          </cell>
          <cell r="M216" t="str">
            <v>100</v>
          </cell>
          <cell r="N216" t="str">
            <v>e_c_a_attack1_hit_1|e_c_a_attack1_hit_1|e_c_e_attack4_cast_delay</v>
          </cell>
          <cell r="O216" t="str">
            <v>3</v>
          </cell>
        </row>
        <row r="217">
          <cell r="A217">
            <v>9126</v>
          </cell>
          <cell r="B217" t="str">
            <v>[b]团队-恐惧2-狂烈斩[-]-6</v>
          </cell>
          <cell r="C217" t="str">
            <v>scream</v>
          </cell>
          <cell r="E217" t="str">
            <v>attack1</v>
          </cell>
          <cell r="I217" t="str">
            <v>3000</v>
          </cell>
          <cell r="J217" t="str">
            <v>0</v>
          </cell>
          <cell r="K217">
            <v>300</v>
          </cell>
          <cell r="L217" t="str">
            <v>0</v>
          </cell>
          <cell r="M217" t="str">
            <v>100</v>
          </cell>
          <cell r="N217" t="str">
            <v>e_c_a_attack1_hit_4</v>
          </cell>
          <cell r="O217" t="str">
            <v>8</v>
          </cell>
        </row>
        <row r="218">
          <cell r="A218">
            <v>9127</v>
          </cell>
          <cell r="B218" t="str">
            <v>[b]团队-恐惧2-毁灭斩[-]</v>
          </cell>
          <cell r="C218" t="str">
            <v>scream</v>
          </cell>
          <cell r="D218" t="str">
            <v>attack2</v>
          </cell>
          <cell r="I218" t="str">
            <v>3000</v>
          </cell>
          <cell r="J218" t="str">
            <v>1300</v>
          </cell>
          <cell r="K218">
            <v>0</v>
          </cell>
          <cell r="L218" t="str">
            <v>533|883|1233</v>
          </cell>
          <cell r="M218" t="str">
            <v>30|30|40</v>
          </cell>
          <cell r="N218" t="str">
            <v>e_c_a_attack1_hit_4|e_c_a_attack1_hit_4|e_c_a_attack1_hit_4</v>
          </cell>
          <cell r="O218" t="str">
            <v>5</v>
          </cell>
        </row>
        <row r="219">
          <cell r="A219">
            <v>9128</v>
          </cell>
          <cell r="B219" t="str">
            <v>[b]团队-恐惧2-邪能践踏[-]</v>
          </cell>
          <cell r="D219" t="str">
            <v>scream</v>
          </cell>
          <cell r="G219" t="str">
            <v>e_n_arrow_002</v>
          </cell>
          <cell r="I219" t="str">
            <v>0</v>
          </cell>
          <cell r="J219" t="str">
            <v>2000</v>
          </cell>
          <cell r="K219">
            <v>0</v>
          </cell>
          <cell r="L219">
            <v>1140</v>
          </cell>
          <cell r="M219" t="str">
            <v>100</v>
          </cell>
          <cell r="N219" t="str">
            <v>e_c_fire_hit_big</v>
          </cell>
          <cell r="O219" t="str">
            <v>3</v>
          </cell>
        </row>
        <row r="220">
          <cell r="A220">
            <v>9129</v>
          </cell>
          <cell r="B220" t="str">
            <v>[b]团队-深渊-普攻顺劈[-]</v>
          </cell>
          <cell r="D220" t="str">
            <v>attack1</v>
          </cell>
          <cell r="I220" t="str">
            <v>0</v>
          </cell>
          <cell r="J220" t="str">
            <v>1500</v>
          </cell>
          <cell r="K220">
            <v>0</v>
          </cell>
          <cell r="L220">
            <v>800</v>
          </cell>
          <cell r="M220" t="str">
            <v>100</v>
          </cell>
          <cell r="N220" t="str">
            <v>e_c_a_attack1_hit_1</v>
          </cell>
          <cell r="O220" t="str">
            <v>3</v>
          </cell>
        </row>
        <row r="221">
          <cell r="A221">
            <v>9130</v>
          </cell>
          <cell r="B221" t="str">
            <v>[b]团队-深渊-爆裂打击[-]</v>
          </cell>
          <cell r="D221" t="str">
            <v>skill1</v>
          </cell>
          <cell r="I221" t="str">
            <v>0</v>
          </cell>
          <cell r="J221" t="str">
            <v>1200</v>
          </cell>
          <cell r="K221">
            <v>0</v>
          </cell>
          <cell r="L221" t="str">
            <v>700|900|1100</v>
          </cell>
          <cell r="M221" t="str">
            <v>33|33|34</v>
          </cell>
          <cell r="N221" t="str">
            <v>e_c_a_attack1_hit_4</v>
          </cell>
          <cell r="O221" t="str">
            <v>8</v>
          </cell>
        </row>
        <row r="222">
          <cell r="A222">
            <v>9131</v>
          </cell>
          <cell r="B222" t="str">
            <v>[b]团队-深渊-烈焰斩[-]</v>
          </cell>
          <cell r="C222" t="str">
            <v>scream</v>
          </cell>
          <cell r="D222" t="str">
            <v>skill2</v>
          </cell>
          <cell r="I222" t="str">
            <v>3000</v>
          </cell>
          <cell r="J222" t="str">
            <v>1300</v>
          </cell>
          <cell r="K222">
            <v>0</v>
          </cell>
          <cell r="L222" t="str">
            <v>433|683|933</v>
          </cell>
          <cell r="M222" t="str">
            <v>30|30|40</v>
          </cell>
          <cell r="N222" t="str">
            <v>e_c_a_attack1_hit_4|e_c_a_attack1_hit_4|e_c_a_attack1_hit_4</v>
          </cell>
          <cell r="O222" t="str">
            <v>5</v>
          </cell>
        </row>
        <row r="223">
          <cell r="A223">
            <v>9132</v>
          </cell>
          <cell r="B223" t="str">
            <v>[b]团队-深渊-恶魔奔腾[-]</v>
          </cell>
          <cell r="D223" t="str">
            <v>attack3</v>
          </cell>
          <cell r="G223" t="str">
            <v>e_c_a_chargeassault</v>
          </cell>
          <cell r="I223" t="str">
            <v>1</v>
          </cell>
          <cell r="J223" t="str">
            <v>500</v>
          </cell>
          <cell r="K223">
            <v>0</v>
          </cell>
          <cell r="L223" t="str">
            <v>200</v>
          </cell>
          <cell r="M223" t="str">
            <v>100</v>
          </cell>
          <cell r="N223" t="str">
            <v>e_c_a_attack1_hit_4</v>
          </cell>
          <cell r="O223" t="str">
            <v>8</v>
          </cell>
        </row>
        <row r="224">
          <cell r="A224">
            <v>9133</v>
          </cell>
          <cell r="B224" t="str">
            <v>[b]团队-深渊-破胆咆哮[-]</v>
          </cell>
          <cell r="D224" t="str">
            <v>scream</v>
          </cell>
          <cell r="I224" t="str">
            <v>0</v>
          </cell>
          <cell r="J224" t="str">
            <v>1000</v>
          </cell>
          <cell r="K224" t="str">
            <v>0</v>
          </cell>
          <cell r="L224" t="str">
            <v>350</v>
          </cell>
          <cell r="M224" t="str">
            <v>100</v>
          </cell>
          <cell r="N224" t="str">
            <v>e_c_n_01_hit</v>
          </cell>
          <cell r="O224" t="str">
            <v>4</v>
          </cell>
        </row>
        <row r="225">
          <cell r="A225">
            <v>9134</v>
          </cell>
          <cell r="B225" t="str">
            <v>[b]团队-艾瑞达-暗影之怒普攻[-]</v>
          </cell>
          <cell r="D225" t="str">
            <v>skill1</v>
          </cell>
          <cell r="I225" t="str">
            <v>0</v>
          </cell>
          <cell r="J225" t="str">
            <v>2000</v>
          </cell>
          <cell r="K225" t="str">
            <v>0</v>
          </cell>
          <cell r="L225" t="str">
            <v>1000</v>
          </cell>
          <cell r="M225" t="str">
            <v>100</v>
          </cell>
          <cell r="N225" t="str">
            <v>e_c_n_01_hit</v>
          </cell>
          <cell r="O225" t="str">
            <v>8</v>
          </cell>
        </row>
        <row r="226">
          <cell r="A226">
            <v>9135</v>
          </cell>
          <cell r="B226" t="str">
            <v>[b]团队-艾瑞达-邪恶深渊[-]</v>
          </cell>
          <cell r="D226" t="str">
            <v>skill1</v>
          </cell>
          <cell r="I226" t="str">
            <v>0</v>
          </cell>
          <cell r="J226" t="str">
            <v>2000</v>
          </cell>
          <cell r="K226" t="str">
            <v>0</v>
          </cell>
          <cell r="L226" t="str">
            <v>0</v>
          </cell>
          <cell r="M226" t="str">
            <v>100</v>
          </cell>
          <cell r="N226" t="str">
            <v>e_c_n_01_hit</v>
          </cell>
          <cell r="O226" t="str">
            <v>5</v>
          </cell>
        </row>
        <row r="227">
          <cell r="A227">
            <v>9136</v>
          </cell>
          <cell r="B227" t="str">
            <v>[b]团队-艾瑞达-灭世之暗[-]</v>
          </cell>
          <cell r="D227" t="str">
            <v>skill1</v>
          </cell>
          <cell r="I227" t="str">
            <v>0</v>
          </cell>
          <cell r="J227" t="str">
            <v>1000</v>
          </cell>
          <cell r="K227" t="str">
            <v>0</v>
          </cell>
          <cell r="L227" t="str">
            <v>350</v>
          </cell>
          <cell r="M227" t="str">
            <v>100</v>
          </cell>
          <cell r="N227" t="str">
            <v>e_c_n_01_hit</v>
          </cell>
          <cell r="O227" t="str">
            <v>4</v>
          </cell>
        </row>
        <row r="228">
          <cell r="A228">
            <v>9137</v>
          </cell>
          <cell r="B228" t="str">
            <v>[b]团队-艾瑞达-邪恶火海[-]</v>
          </cell>
          <cell r="D228" t="str">
            <v>skill1</v>
          </cell>
          <cell r="I228" t="str">
            <v>0</v>
          </cell>
          <cell r="J228" t="str">
            <v>2000</v>
          </cell>
          <cell r="K228">
            <v>0</v>
          </cell>
          <cell r="L228" t="str">
            <v>1000</v>
          </cell>
          <cell r="M228" t="str">
            <v>100</v>
          </cell>
          <cell r="N228" t="str">
            <v>e_c_fire_hit_big</v>
          </cell>
          <cell r="O228" t="str">
            <v>6</v>
          </cell>
        </row>
        <row r="229">
          <cell r="A229">
            <v>9138</v>
          </cell>
          <cell r="B229" t="str">
            <v>[b]团队-艾瑞达-毁灭之力[-]</v>
          </cell>
          <cell r="D229" t="str">
            <v>scream</v>
          </cell>
          <cell r="I229" t="str">
            <v>0</v>
          </cell>
          <cell r="J229" t="str">
            <v>1000</v>
          </cell>
          <cell r="K229" t="str">
            <v>0</v>
          </cell>
          <cell r="L229" t="str">
            <v>300|500|700</v>
          </cell>
          <cell r="M229" t="str">
            <v>33|33|34</v>
          </cell>
          <cell r="N229" t="str">
            <v>e_c_n_01_hit</v>
          </cell>
          <cell r="O229" t="str">
            <v>4</v>
          </cell>
        </row>
        <row r="230">
          <cell r="A230">
            <v>9139</v>
          </cell>
          <cell r="B230" t="str">
            <v>[b]团队-萨穆雷斯-普攻[-]</v>
          </cell>
          <cell r="D230" t="str">
            <v>attack1</v>
          </cell>
          <cell r="I230" t="str">
            <v>0</v>
          </cell>
          <cell r="J230" t="str">
            <v>1500</v>
          </cell>
          <cell r="K230">
            <v>0</v>
          </cell>
          <cell r="L230">
            <v>510</v>
          </cell>
          <cell r="M230" t="str">
            <v>100</v>
          </cell>
          <cell r="N230" t="str">
            <v>e_c_a_attack1_hit_1</v>
          </cell>
          <cell r="O230" t="str">
            <v>3</v>
          </cell>
        </row>
        <row r="231">
          <cell r="A231">
            <v>9140</v>
          </cell>
          <cell r="B231" t="str">
            <v>[b]团队-萨穆雷斯-烈火重击[-]</v>
          </cell>
          <cell r="D231" t="str">
            <v>attack2</v>
          </cell>
          <cell r="I231" t="str">
            <v>0</v>
          </cell>
          <cell r="J231" t="str">
            <v>2200</v>
          </cell>
          <cell r="K231">
            <v>0</v>
          </cell>
          <cell r="L231" t="str">
            <v>700|900|1100</v>
          </cell>
          <cell r="M231" t="str">
            <v>33|33|34</v>
          </cell>
          <cell r="N231" t="str">
            <v>e_c_a_attack1_hit_4</v>
          </cell>
          <cell r="O231" t="str">
            <v>8</v>
          </cell>
        </row>
        <row r="232">
          <cell r="A232">
            <v>9141</v>
          </cell>
          <cell r="B232" t="str">
            <v>[b]团队-萨穆雷斯-烈焰吐息[-]</v>
          </cell>
          <cell r="D232" t="str">
            <v>scream</v>
          </cell>
          <cell r="I232" t="str">
            <v>0</v>
          </cell>
          <cell r="J232" t="str">
            <v>1300</v>
          </cell>
          <cell r="K232">
            <v>0</v>
          </cell>
          <cell r="L232" t="str">
            <v>433|683|933</v>
          </cell>
          <cell r="M232" t="str">
            <v>30|30|40</v>
          </cell>
          <cell r="N232" t="str">
            <v>e_c_a_attack1_hit_4|e_c_a_attack1_hit_4|e_c_a_attack1_hit_4</v>
          </cell>
          <cell r="O232" t="str">
            <v>5</v>
          </cell>
        </row>
        <row r="233">
          <cell r="A233">
            <v>9142</v>
          </cell>
          <cell r="B233" t="str">
            <v>[b]团队-萨穆雷斯-烈焰狂击[-]</v>
          </cell>
          <cell r="C233" t="str">
            <v>scream</v>
          </cell>
          <cell r="D233" t="str">
            <v>attack1|attack1|attack1|attack2</v>
          </cell>
          <cell r="G233" t="str">
            <v>e_c_trap_001|e_c_trap_001|e_c_trap_001|e_c_trap_001</v>
          </cell>
          <cell r="I233" t="str">
            <v>3000</v>
          </cell>
          <cell r="J233" t="str">
            <v>500|500|500|1000</v>
          </cell>
          <cell r="K233">
            <v>0</v>
          </cell>
          <cell r="L233" t="str">
            <v>160|660|1160|1820</v>
          </cell>
          <cell r="M233" t="str">
            <v>10|10|10|70</v>
          </cell>
          <cell r="N233" t="str">
            <v>e_c_fire_hit_big|e_c_fire_hit_big|e_c_fire_hit_big|e_c_fire_hit_big</v>
          </cell>
          <cell r="O233" t="str">
            <v>3</v>
          </cell>
        </row>
        <row r="234">
          <cell r="A234">
            <v>9143</v>
          </cell>
          <cell r="B234" t="str">
            <v>[b]团队-血沸-普攻[-]</v>
          </cell>
          <cell r="D234" t="str">
            <v>attack1_01|attack2_01|attack3_01|attack1_01|attack1_02</v>
          </cell>
          <cell r="G234" t="str">
            <v>e_c_a_attack1_cast|e_c_a_attack2_cast|e_c_a_attack3_cast|e_c_a_attack4_cast|e_c_a_attack1_cast</v>
          </cell>
          <cell r="I234" t="str">
            <v>0</v>
          </cell>
          <cell r="J234" t="str">
            <v>2|600|600|600|200</v>
          </cell>
          <cell r="K234" t="str">
            <v>0</v>
          </cell>
          <cell r="L234" t="str">
            <v>1|300|900|1500|1900</v>
          </cell>
          <cell r="M234" t="str">
            <v>20|20|20|20|20</v>
          </cell>
          <cell r="N234" t="str">
            <v>e_c_a_attack1_hit_1</v>
          </cell>
          <cell r="O234" t="str">
            <v>4</v>
          </cell>
        </row>
        <row r="235">
          <cell r="A235">
            <v>9144</v>
          </cell>
          <cell r="B235" t="str">
            <v>[b]团队-血沸-怒火飞跃[-]</v>
          </cell>
          <cell r="C235" t="str">
            <v>skill1_01</v>
          </cell>
          <cell r="D235" t="str">
            <v>skill1_02</v>
          </cell>
          <cell r="E235" t="str">
            <v>skill1_03</v>
          </cell>
          <cell r="H235" t="str">
            <v>e_c_a_skill4_cast_delay</v>
          </cell>
          <cell r="I235" t="str">
            <v>100</v>
          </cell>
          <cell r="J235" t="str">
            <v>400</v>
          </cell>
          <cell r="K235">
            <v>500</v>
          </cell>
          <cell r="L235" t="str">
            <v>400</v>
          </cell>
          <cell r="M235" t="str">
            <v>100</v>
          </cell>
          <cell r="N235" t="str">
            <v>e_c_a_attack1_hit_4</v>
          </cell>
          <cell r="O235" t="str">
            <v>10</v>
          </cell>
        </row>
        <row r="236">
          <cell r="A236">
            <v>9145</v>
          </cell>
          <cell r="B236" t="str">
            <v>[b]团队-血沸-鲜血风暴[-]</v>
          </cell>
          <cell r="C236" t="str">
            <v>skill2_01</v>
          </cell>
          <cell r="D236" t="str">
            <v>skill8</v>
          </cell>
          <cell r="E236" t="str">
            <v>skill2_03</v>
          </cell>
          <cell r="G236" t="str">
            <v>e_c_a_skill2_cast</v>
          </cell>
          <cell r="I236" t="str">
            <v>3000</v>
          </cell>
          <cell r="J236" t="str">
            <v>800</v>
          </cell>
          <cell r="K236">
            <v>400</v>
          </cell>
          <cell r="L236" t="str">
            <v>350</v>
          </cell>
          <cell r="M236" t="str">
            <v>100</v>
          </cell>
          <cell r="N236" t="str">
            <v>e_c_a_attack1_hit_4</v>
          </cell>
          <cell r="O236" t="str">
            <v>5</v>
          </cell>
        </row>
        <row r="237">
          <cell r="A237">
            <v>9146</v>
          </cell>
          <cell r="B237" t="str">
            <v>[b]团队-血沸-血肉横扫[-]</v>
          </cell>
          <cell r="C237" t="str">
            <v>skill2_01</v>
          </cell>
          <cell r="D237" t="str">
            <v>attack2_01</v>
          </cell>
          <cell r="E237" t="str">
            <v>attack2_02</v>
          </cell>
          <cell r="G237" t="str">
            <v>e_c_a_attack2_cast</v>
          </cell>
          <cell r="I237" t="str">
            <v>3000</v>
          </cell>
          <cell r="J237" t="str">
            <v>400</v>
          </cell>
          <cell r="K237">
            <v>350</v>
          </cell>
          <cell r="L237" t="str">
            <v>100|200|300</v>
          </cell>
          <cell r="M237" t="str">
            <v>33|33|34</v>
          </cell>
          <cell r="N237" t="str">
            <v>e_c_a_attack1_hit_4|e_c_a_attack1_hit_4|e_c_a_attack1_hit_4</v>
          </cell>
          <cell r="O237" t="str">
            <v>5</v>
          </cell>
        </row>
        <row r="238">
          <cell r="A238">
            <v>9147</v>
          </cell>
          <cell r="B238" t="str">
            <v>[b]团队-血沸-无敌斩[-]</v>
          </cell>
          <cell r="D238" t="str">
            <v>attack1_01|attack2_01|attack1_01|attack2_01|attack1_01|attack2_01</v>
          </cell>
          <cell r="G238" t="str">
            <v>e_c_a_skill_light|e_c_a_skill_light|e_c_a_skill_light|e_c_a_skill_light|e_c_a_skill_light|e_c_a_skill_light</v>
          </cell>
          <cell r="I238" t="str">
            <v>0</v>
          </cell>
          <cell r="J238" t="str">
            <v>300|300|300|300|300|300</v>
          </cell>
          <cell r="K238">
            <v>0</v>
          </cell>
          <cell r="L238" t="str">
            <v>150|450|750|1050|1350|1650</v>
          </cell>
          <cell r="M238" t="str">
            <v>16|16|17|17|17|17</v>
          </cell>
          <cell r="N238" t="str">
            <v>e_c_a_attack1_hit_4|e_c_a_attack1_hit_4|e_c_a_attack1_hit_4|e_c_a_attack1_hit_4|e_c_a_attack1_hit_4|e_c_a_attack1_hit_4</v>
          </cell>
          <cell r="O238" t="str">
            <v>8</v>
          </cell>
        </row>
        <row r="239">
          <cell r="A239">
            <v>9148</v>
          </cell>
          <cell r="B239" t="str">
            <v>[b]团队-血魔-普攻[-]</v>
          </cell>
          <cell r="D239" t="str">
            <v>skill_1</v>
          </cell>
          <cell r="I239" t="str">
            <v>0</v>
          </cell>
          <cell r="J239" t="str">
            <v>1600</v>
          </cell>
          <cell r="K239">
            <v>0</v>
          </cell>
          <cell r="L239">
            <v>640</v>
          </cell>
          <cell r="M239" t="str">
            <v>100</v>
          </cell>
          <cell r="N239" t="str">
            <v>e_c_a_attack1_hit_1</v>
          </cell>
          <cell r="O239" t="str">
            <v>5</v>
          </cell>
        </row>
        <row r="240">
          <cell r="A240">
            <v>9149</v>
          </cell>
          <cell r="B240" t="str">
            <v>[b]团队-血魔-阴影之拥[-]</v>
          </cell>
          <cell r="C240" t="str">
            <v>skill_2</v>
          </cell>
          <cell r="E240" t="str">
            <v>attack1</v>
          </cell>
          <cell r="I240" t="str">
            <v>3000</v>
          </cell>
          <cell r="J240" t="str">
            <v>0</v>
          </cell>
          <cell r="K240">
            <v>300</v>
          </cell>
          <cell r="L240" t="str">
            <v>0</v>
          </cell>
          <cell r="M240" t="str">
            <v>100</v>
          </cell>
          <cell r="N240" t="str">
            <v>e_c_a_attack1_hit_4</v>
          </cell>
          <cell r="O240" t="str">
            <v>8</v>
          </cell>
        </row>
        <row r="241">
          <cell r="A241">
            <v>9150</v>
          </cell>
          <cell r="B241" t="str">
            <v>[b]团队-血魔-暗影打击[-]</v>
          </cell>
          <cell r="D241" t="str">
            <v>attack1</v>
          </cell>
          <cell r="I241" t="str">
            <v>0</v>
          </cell>
          <cell r="J241" t="str">
            <v>1700</v>
          </cell>
          <cell r="K241">
            <v>0</v>
          </cell>
          <cell r="L241">
            <v>748</v>
          </cell>
          <cell r="M241" t="str">
            <v>100</v>
          </cell>
          <cell r="N241" t="str">
            <v>e_c_a_attack1_hit_1</v>
          </cell>
          <cell r="O241" t="str">
            <v>5</v>
          </cell>
        </row>
        <row r="242">
          <cell r="A242">
            <v>9151</v>
          </cell>
          <cell r="B242" t="str">
            <v>[b]团队-血魔-灾祸之影[-]</v>
          </cell>
          <cell r="C242" t="str">
            <v>skill_2</v>
          </cell>
          <cell r="E242" t="str">
            <v>skill_1</v>
          </cell>
          <cell r="H242" t="str">
            <v>e_c_darknova_cast</v>
          </cell>
          <cell r="I242" t="str">
            <v>3000</v>
          </cell>
          <cell r="J242" t="str">
            <v>0</v>
          </cell>
          <cell r="K242">
            <v>500</v>
          </cell>
          <cell r="L242">
            <v>0</v>
          </cell>
          <cell r="M242" t="str">
            <v>100</v>
          </cell>
          <cell r="N242" t="str">
            <v>e_c_fire_hit_big</v>
          </cell>
          <cell r="O242" t="str">
            <v>3</v>
          </cell>
        </row>
        <row r="243">
          <cell r="A243">
            <v>9152</v>
          </cell>
          <cell r="B243" t="str">
            <v>[b]团队-议会小-奥能光束[-]</v>
          </cell>
          <cell r="C243" t="str">
            <v>skill6_01</v>
          </cell>
          <cell r="D243" t="str">
            <v>skill6_02</v>
          </cell>
          <cell r="E243" t="str">
            <v>skill6_03</v>
          </cell>
          <cell r="G243" t="str">
            <v>e_c_d_skill6_cast</v>
          </cell>
          <cell r="I243" t="str">
            <v>500</v>
          </cell>
          <cell r="J243" t="str">
            <v>1050</v>
          </cell>
          <cell r="K243" t="str">
            <v>300</v>
          </cell>
          <cell r="L243" t="str">
            <v>550|650|750|850|1000</v>
          </cell>
          <cell r="M243" t="str">
            <v>20|20|20|20|20</v>
          </cell>
          <cell r="N243" t="str">
            <v>e_c_d_skill7_hit</v>
          </cell>
          <cell r="O243" t="str">
            <v>10</v>
          </cell>
        </row>
        <row r="244">
          <cell r="A244">
            <v>9153</v>
          </cell>
          <cell r="B244" t="str">
            <v>[b]团队-议会小-火焰雨[-]</v>
          </cell>
          <cell r="C244" t="str">
            <v>skill4_01</v>
          </cell>
          <cell r="D244" t="str">
            <v>skill4_02</v>
          </cell>
          <cell r="E244" t="str">
            <v>skill4_03</v>
          </cell>
          <cell r="F244" t="str">
            <v>e_c_d_skill1_cast</v>
          </cell>
          <cell r="I244" t="str">
            <v>250</v>
          </cell>
          <cell r="J244" t="str">
            <v>700</v>
          </cell>
          <cell r="K244" t="str">
            <v>333</v>
          </cell>
          <cell r="L244" t="str">
            <v>0</v>
          </cell>
          <cell r="M244" t="str">
            <v>100</v>
          </cell>
          <cell r="N244" t="str">
            <v>e_c_ice_hit_big</v>
          </cell>
          <cell r="O244" t="str">
            <v>10</v>
          </cell>
        </row>
        <row r="245">
          <cell r="A245">
            <v>9154</v>
          </cell>
          <cell r="B245" t="str">
            <v>[b]团队-议会小-霜火箭[-]</v>
          </cell>
          <cell r="C245" t="str">
            <v>attack1_01</v>
          </cell>
          <cell r="E245" t="str">
            <v>attack1_02</v>
          </cell>
          <cell r="I245" t="str">
            <v>660</v>
          </cell>
          <cell r="J245" t="str">
            <v>1</v>
          </cell>
          <cell r="K245" t="str">
            <v>500</v>
          </cell>
          <cell r="L245" t="str">
            <v>1</v>
          </cell>
          <cell r="M245" t="str">
            <v>100</v>
          </cell>
          <cell r="N245" t="str">
            <v>e_c_ice_hit_big</v>
          </cell>
          <cell r="O245" t="str">
            <v>10</v>
          </cell>
        </row>
        <row r="246">
          <cell r="A246">
            <v>9155</v>
          </cell>
          <cell r="B246" t="str">
            <v>[b]团队-议会大-普攻[-]</v>
          </cell>
          <cell r="D246" t="str">
            <v>attack1_01|attack2_01|attack3_01|attack1_01|attack1_02</v>
          </cell>
          <cell r="G246" t="str">
            <v>e_c_e_attack1_cast|e_c_e_attack2_cast|e_c_e_attack3_cast|e_c_e_attack4_cast|e_c_e_attack1_cast</v>
          </cell>
          <cell r="I246" t="str">
            <v>0</v>
          </cell>
          <cell r="J246" t="str">
            <v>2|600|600|600|200</v>
          </cell>
          <cell r="K246" t="str">
            <v>0</v>
          </cell>
          <cell r="L246" t="str">
            <v>1|300|900|1500|1900</v>
          </cell>
          <cell r="M246" t="str">
            <v>20|20|20|20|20</v>
          </cell>
          <cell r="N246" t="str">
            <v>e_c_a_attack1_hit_1</v>
          </cell>
          <cell r="O246" t="str">
            <v>3</v>
          </cell>
        </row>
        <row r="247">
          <cell r="A247">
            <v>9156</v>
          </cell>
          <cell r="B247" t="str">
            <v>[b]团队-议会大-圣光之锤[-]</v>
          </cell>
          <cell r="D247" t="str">
            <v>prepare</v>
          </cell>
          <cell r="I247" t="str">
            <v>0</v>
          </cell>
          <cell r="J247" t="str">
            <v>1000</v>
          </cell>
          <cell r="K247">
            <v>0</v>
          </cell>
          <cell r="L247" t="str">
            <v>0</v>
          </cell>
          <cell r="M247" t="str">
            <v>100</v>
          </cell>
          <cell r="N247" t="str">
            <v>e_c_fire_hit_big</v>
          </cell>
          <cell r="O247" t="str">
            <v>10</v>
          </cell>
        </row>
        <row r="248">
          <cell r="A248">
            <v>9157</v>
          </cell>
          <cell r="B248" t="str">
            <v>[b]团队-议会大-忏悔之光[-]</v>
          </cell>
          <cell r="C248" t="str">
            <v>prepare</v>
          </cell>
          <cell r="D248" t="str">
            <v>attack4_01</v>
          </cell>
          <cell r="E248" t="str">
            <v>attack4_02</v>
          </cell>
          <cell r="I248" t="str">
            <v>3000</v>
          </cell>
          <cell r="J248" t="str">
            <v>1000</v>
          </cell>
          <cell r="K248">
            <v>500</v>
          </cell>
          <cell r="L248" t="str">
            <v>500</v>
          </cell>
          <cell r="M248" t="str">
            <v>100</v>
          </cell>
          <cell r="N248" t="str">
            <v>e_c_holy_hit</v>
          </cell>
          <cell r="O248" t="str">
            <v>3</v>
          </cell>
        </row>
        <row r="249">
          <cell r="A249">
            <v>9158</v>
          </cell>
          <cell r="B249" t="str">
            <v>[b]团队-议会大-光明之握[-]-8</v>
          </cell>
          <cell r="C249" t="str">
            <v>skill5_01</v>
          </cell>
          <cell r="D249" t="str">
            <v>skill5_02</v>
          </cell>
          <cell r="E249" t="str">
            <v>skill5_03</v>
          </cell>
          <cell r="I249" t="str">
            <v>400</v>
          </cell>
          <cell r="J249" t="str">
            <v>700</v>
          </cell>
          <cell r="K249" t="str">
            <v>500</v>
          </cell>
          <cell r="L249" t="str">
            <v>350</v>
          </cell>
          <cell r="M249" t="str">
            <v>100</v>
          </cell>
          <cell r="N249" t="str">
            <v>e_c_holy_hit</v>
          </cell>
          <cell r="O249" t="str">
            <v>7</v>
          </cell>
        </row>
        <row r="250">
          <cell r="A250">
            <v>9159</v>
          </cell>
          <cell r="B250" t="str">
            <v>[b]团队-一粒蛋-普攻[-]</v>
          </cell>
          <cell r="D250" t="str">
            <v>attack1|attack2|attack3</v>
          </cell>
          <cell r="G250" t="str">
            <v>e_dh_attack1|e_dh_attack2|e_dh_attack3</v>
          </cell>
          <cell r="I250" t="str">
            <v>0</v>
          </cell>
          <cell r="J250" t="str">
            <v>700|500|800</v>
          </cell>
          <cell r="K250">
            <v>0</v>
          </cell>
          <cell r="L250" t="str">
            <v>210|975|1608</v>
          </cell>
          <cell r="M250" t="str">
            <v>20|20|60</v>
          </cell>
          <cell r="N250" t="str">
            <v>e_c_a_attack1_hit_1</v>
          </cell>
          <cell r="O250" t="str">
            <v>3</v>
          </cell>
        </row>
        <row r="251">
          <cell r="A251">
            <v>9160</v>
          </cell>
          <cell r="B251" t="str">
            <v>[b]团队-一粒蛋-辛斯之火[-]</v>
          </cell>
          <cell r="D251" t="str">
            <v>skill1_1</v>
          </cell>
          <cell r="G251" t="str">
            <v>e_dh_attack4</v>
          </cell>
          <cell r="I251" t="str">
            <v>0</v>
          </cell>
          <cell r="J251" t="str">
            <v>1200</v>
          </cell>
          <cell r="K251">
            <v>0</v>
          </cell>
          <cell r="L251">
            <v>600</v>
          </cell>
          <cell r="M251" t="str">
            <v>100</v>
          </cell>
          <cell r="N251" t="str">
            <v>e_c_fire_hit_big</v>
          </cell>
          <cell r="O251" t="str">
            <v>10</v>
          </cell>
        </row>
        <row r="252">
          <cell r="A252">
            <v>9161</v>
          </cell>
          <cell r="B252" t="str">
            <v>[b]团队-一粒蛋-粉碎切割[-]</v>
          </cell>
          <cell r="D252" t="str">
            <v>skill1_2</v>
          </cell>
          <cell r="G252" t="str">
            <v>e_dh_attack4</v>
          </cell>
          <cell r="I252" t="str">
            <v>0</v>
          </cell>
          <cell r="J252" t="str">
            <v>1200</v>
          </cell>
          <cell r="K252">
            <v>0</v>
          </cell>
          <cell r="L252">
            <v>600</v>
          </cell>
          <cell r="M252" t="str">
            <v>100</v>
          </cell>
          <cell r="N252" t="str">
            <v>e_c_a_attack1_hit_1</v>
          </cell>
          <cell r="O252" t="str">
            <v>3</v>
          </cell>
        </row>
        <row r="253">
          <cell r="A253">
            <v>9162</v>
          </cell>
          <cell r="B253" t="str">
            <v>[b]团队-一粒蛋-邪能之井[-]</v>
          </cell>
          <cell r="D253" t="str">
            <v>attack4</v>
          </cell>
          <cell r="G253" t="str">
            <v>e_dh_attack4</v>
          </cell>
          <cell r="I253" t="str">
            <v>0</v>
          </cell>
          <cell r="J253" t="str">
            <v>1200</v>
          </cell>
          <cell r="K253">
            <v>0</v>
          </cell>
          <cell r="L253">
            <v>600</v>
          </cell>
          <cell r="M253" t="str">
            <v>100</v>
          </cell>
          <cell r="N253" t="str">
            <v>e_c_n_01_hit</v>
          </cell>
          <cell r="O253" t="str">
            <v>10</v>
          </cell>
        </row>
        <row r="254">
          <cell r="A254">
            <v>9163</v>
          </cell>
          <cell r="B254" t="str">
            <v>[b]团队-一粒蛋-邪能冲刺[-]</v>
          </cell>
          <cell r="D254" t="str">
            <v>skill1_2</v>
          </cell>
          <cell r="G254" t="str">
            <v>e_dh_attack5</v>
          </cell>
          <cell r="I254" t="str">
            <v>0</v>
          </cell>
          <cell r="J254" t="str">
            <v>500</v>
          </cell>
          <cell r="K254">
            <v>0</v>
          </cell>
          <cell r="L254" t="str">
            <v>500</v>
          </cell>
          <cell r="M254" t="str">
            <v>100</v>
          </cell>
          <cell r="N254" t="str">
            <v>e_c_a_attack1_hit_1</v>
          </cell>
          <cell r="O254" t="str">
            <v>8</v>
          </cell>
        </row>
        <row r="255">
          <cell r="A255">
            <v>9164</v>
          </cell>
          <cell r="B255" t="str">
            <v>[b]团队-一粒蛋-邪刃之舞[-]</v>
          </cell>
          <cell r="D255" t="str">
            <v>attack4|attack4|attack4|attack4|skill1_1</v>
          </cell>
          <cell r="G255" t="str">
            <v>e_dh_attack4|e_dh_attack4|e_dh_attack4|e_dh_attack4|e_n_arrow_002</v>
          </cell>
          <cell r="I255" t="str">
            <v>0</v>
          </cell>
          <cell r="J255" t="str">
            <v>300|250|200|150|1100</v>
          </cell>
          <cell r="K255">
            <v>0</v>
          </cell>
          <cell r="L255" t="str">
            <v>150|425|650|825|1450</v>
          </cell>
          <cell r="M255" t="str">
            <v>10|10|10|10|60</v>
          </cell>
          <cell r="N255" t="str">
            <v>e_c_fire_hit_big</v>
          </cell>
          <cell r="O255" t="str">
            <v>3</v>
          </cell>
        </row>
        <row r="256">
          <cell r="A256">
            <v>9165</v>
          </cell>
          <cell r="B256" t="str">
            <v>[b]BOSS-寒冰护盾[-]</v>
          </cell>
          <cell r="D256" t="str">
            <v>scream</v>
          </cell>
          <cell r="G256" t="str">
            <v>e_c_e_skill1_cast</v>
          </cell>
          <cell r="I256" t="str">
            <v>0</v>
          </cell>
          <cell r="J256" t="str">
            <v>1000</v>
          </cell>
          <cell r="K256">
            <v>0</v>
          </cell>
          <cell r="L256">
            <v>308</v>
          </cell>
          <cell r="M256" t="str">
            <v>100</v>
          </cell>
          <cell r="N256" t="str">
            <v>e_c_a_attack1_hit_1</v>
          </cell>
          <cell r="O256" t="str">
            <v>3</v>
          </cell>
        </row>
        <row r="257">
          <cell r="A257">
            <v>9166</v>
          </cell>
          <cell r="B257" t="str">
            <v>[b]BOSS-狂暴[-]</v>
          </cell>
          <cell r="D257" t="str">
            <v>attack1|attack2|attack2</v>
          </cell>
          <cell r="I257" t="str">
            <v>0</v>
          </cell>
          <cell r="J257" t="str">
            <v>300|300|300</v>
          </cell>
          <cell r="K257">
            <v>0</v>
          </cell>
          <cell r="L257" t="str">
            <v>108|395|695</v>
          </cell>
          <cell r="M257" t="str">
            <v>33|33|34</v>
          </cell>
          <cell r="N257" t="str">
            <v>e_c_a_attack1_hit_1|e_c_a_attack1_hit_1</v>
          </cell>
          <cell r="O257" t="str">
            <v>3</v>
          </cell>
        </row>
        <row r="258">
          <cell r="A258">
            <v>9167</v>
          </cell>
          <cell r="B258" t="str">
            <v>[b]BOSS-咆哮[-]</v>
          </cell>
          <cell r="D258" t="str">
            <v>scream</v>
          </cell>
          <cell r="G258" t="str">
            <v>e_c_e_skill1_cast</v>
          </cell>
          <cell r="I258" t="str">
            <v>0</v>
          </cell>
          <cell r="J258" t="str">
            <v>1000</v>
          </cell>
          <cell r="K258">
            <v>0</v>
          </cell>
          <cell r="L258">
            <v>308</v>
          </cell>
          <cell r="M258" t="str">
            <v>100</v>
          </cell>
          <cell r="O258" t="str">
            <v>5</v>
          </cell>
        </row>
        <row r="259">
          <cell r="A259">
            <v>9168</v>
          </cell>
          <cell r="B259" t="str">
            <v>[b]BOSS-眩晕[-]</v>
          </cell>
          <cell r="D259" t="str">
            <v>attack1</v>
          </cell>
          <cell r="I259" t="str">
            <v>0</v>
          </cell>
          <cell r="J259" t="str">
            <v>500</v>
          </cell>
          <cell r="K259">
            <v>0</v>
          </cell>
          <cell r="L259">
            <v>180</v>
          </cell>
          <cell r="M259" t="str">
            <v>100</v>
          </cell>
          <cell r="N259" t="str">
            <v>e_c_a_attack1_hit_1</v>
          </cell>
          <cell r="O259" t="str">
            <v>3</v>
          </cell>
        </row>
        <row r="260">
          <cell r="A260">
            <v>9169</v>
          </cell>
          <cell r="B260" t="str">
            <v>[b]BOSS-恐惧风暴[-]</v>
          </cell>
          <cell r="D260" t="str">
            <v>skill_1</v>
          </cell>
          <cell r="I260" t="str">
            <v>0</v>
          </cell>
          <cell r="J260" t="str">
            <v>1833</v>
          </cell>
          <cell r="K260" t="str">
            <v>0</v>
          </cell>
          <cell r="L260" t="str">
            <v>1237</v>
          </cell>
          <cell r="M260" t="str">
            <v>100</v>
          </cell>
          <cell r="N260" t="str">
            <v>e_c_n_01_hit</v>
          </cell>
          <cell r="O260" t="str">
            <v>8</v>
          </cell>
        </row>
        <row r="261">
          <cell r="A261">
            <v>9170</v>
          </cell>
          <cell r="B261" t="str">
            <v>[b]BOSS-黑暗漩涡[-]</v>
          </cell>
          <cell r="D261" t="str">
            <v>skill_1</v>
          </cell>
          <cell r="I261" t="str">
            <v>0</v>
          </cell>
          <cell r="J261" t="str">
            <v>1833</v>
          </cell>
          <cell r="K261" t="str">
            <v>0</v>
          </cell>
          <cell r="L261" t="str">
            <v>1237</v>
          </cell>
          <cell r="M261" t="str">
            <v>100</v>
          </cell>
          <cell r="N261" t="str">
            <v>e_c_n_01_hit</v>
          </cell>
          <cell r="O261" t="str">
            <v>5</v>
          </cell>
        </row>
        <row r="262">
          <cell r="A262">
            <v>9171</v>
          </cell>
          <cell r="B262" t="str">
            <v>[b]BOSS-邪恶之影[-]</v>
          </cell>
          <cell r="C262" t="str">
            <v>skill_1</v>
          </cell>
          <cell r="I262" t="str">
            <v>1833</v>
          </cell>
          <cell r="J262" t="str">
            <v>1</v>
          </cell>
          <cell r="K262" t="str">
            <v>0</v>
          </cell>
          <cell r="L262" t="str">
            <v>1</v>
          </cell>
          <cell r="M262" t="str">
            <v>100</v>
          </cell>
          <cell r="N262" t="str">
            <v>e_c_n_01_hit</v>
          </cell>
          <cell r="O262" t="str">
            <v>8</v>
          </cell>
        </row>
        <row r="263">
          <cell r="A263">
            <v>9172</v>
          </cell>
          <cell r="B263" t="str">
            <v>[b]BOSS-冰霜锁链[-]</v>
          </cell>
          <cell r="D263" t="str">
            <v>skill_2</v>
          </cell>
          <cell r="I263" t="str">
            <v>0</v>
          </cell>
          <cell r="J263" t="str">
            <v>1600</v>
          </cell>
          <cell r="K263" t="str">
            <v>0</v>
          </cell>
          <cell r="L263" t="str">
            <v>1250|1375|1500</v>
          </cell>
          <cell r="M263" t="str">
            <v>34|33|33</v>
          </cell>
          <cell r="N263" t="str">
            <v>e_c_ice_hit_big</v>
          </cell>
          <cell r="O263" t="str">
            <v>5</v>
          </cell>
        </row>
        <row r="264">
          <cell r="A264">
            <v>9173</v>
          </cell>
          <cell r="B264" t="str">
            <v>[b]BOSS-赤月突击[-]</v>
          </cell>
          <cell r="D264" t="str">
            <v>skill_2</v>
          </cell>
          <cell r="G264" t="str">
            <v>e_c_cast_004</v>
          </cell>
          <cell r="I264" t="str">
            <v>1</v>
          </cell>
          <cell r="J264" t="str">
            <v>500</v>
          </cell>
          <cell r="K264">
            <v>0</v>
          </cell>
          <cell r="L264" t="str">
            <v>100|200|300|400</v>
          </cell>
          <cell r="M264" t="str">
            <v>25|25|25|25</v>
          </cell>
          <cell r="N264" t="str">
            <v>e_c_a_attack1_hit_4</v>
          </cell>
          <cell r="O264" t="str">
            <v>8</v>
          </cell>
        </row>
        <row r="265">
          <cell r="A265">
            <v>9174</v>
          </cell>
          <cell r="B265" t="str">
            <v>[b]BOSS-月影突击[-]</v>
          </cell>
          <cell r="D265" t="str">
            <v>move2</v>
          </cell>
          <cell r="G265" t="str">
            <v>e_c_a_chargeassault</v>
          </cell>
          <cell r="I265" t="str">
            <v>1</v>
          </cell>
          <cell r="J265" t="str">
            <v>400</v>
          </cell>
          <cell r="K265">
            <v>0</v>
          </cell>
          <cell r="L265" t="str">
            <v>200</v>
          </cell>
          <cell r="M265" t="str">
            <v>100</v>
          </cell>
          <cell r="N265" t="str">
            <v>e_c_a_attack1_hit_4</v>
          </cell>
          <cell r="O265" t="str">
            <v>8</v>
          </cell>
        </row>
        <row r="266">
          <cell r="A266">
            <v>9175</v>
          </cell>
          <cell r="B266" t="str">
            <v>[b]BOSS-夜幕降临[-]</v>
          </cell>
          <cell r="D266" t="str">
            <v>skill_1</v>
          </cell>
          <cell r="I266" t="str">
            <v>0</v>
          </cell>
          <cell r="J266" t="str">
            <v>1000</v>
          </cell>
          <cell r="K266" t="str">
            <v>0</v>
          </cell>
          <cell r="L266" t="str">
            <v>480</v>
          </cell>
          <cell r="M266" t="str">
            <v>100</v>
          </cell>
          <cell r="N266" t="str">
            <v>e_c_n_01_hit</v>
          </cell>
          <cell r="O266" t="str">
            <v>5</v>
          </cell>
        </row>
        <row r="267">
          <cell r="A267">
            <v>9176</v>
          </cell>
          <cell r="B267" t="str">
            <v>[b]BOSS-银月之牙[-]</v>
          </cell>
          <cell r="D267" t="str">
            <v>attack1|skill_2</v>
          </cell>
          <cell r="G267" t="str">
            <v>|e_c_wl_attack1_04</v>
          </cell>
          <cell r="I267" t="str">
            <v>0</v>
          </cell>
          <cell r="J267" t="str">
            <v>200|500</v>
          </cell>
          <cell r="K267">
            <v>0</v>
          </cell>
          <cell r="L267" t="str">
            <v>100|300|400|500|600</v>
          </cell>
          <cell r="M267" t="str">
            <v>60|10|10|10|10</v>
          </cell>
          <cell r="N267" t="str">
            <v>e_c_a_attack1_hit_1|e_c_a_attack1_hit_1</v>
          </cell>
          <cell r="O267" t="str">
            <v>3</v>
          </cell>
        </row>
        <row r="268">
          <cell r="A268">
            <v>9177</v>
          </cell>
          <cell r="B268" t="str">
            <v>[b]BOSS-暗影横扫[-]</v>
          </cell>
          <cell r="D268" t="str">
            <v>skill_1</v>
          </cell>
          <cell r="I268" t="str">
            <v>0</v>
          </cell>
          <cell r="J268" t="str">
            <v>800</v>
          </cell>
          <cell r="K268">
            <v>0</v>
          </cell>
          <cell r="L268">
            <v>320</v>
          </cell>
          <cell r="M268" t="str">
            <v>100</v>
          </cell>
          <cell r="N268" t="str">
            <v>e_c_a_attack1_hit_1</v>
          </cell>
          <cell r="O268" t="str">
            <v>3</v>
          </cell>
        </row>
        <row r="269">
          <cell r="A269">
            <v>9178</v>
          </cell>
          <cell r="B269" t="str">
            <v>[b]BOSS-暗影之势[-]</v>
          </cell>
          <cell r="D269" t="str">
            <v>skill_1</v>
          </cell>
          <cell r="G269" t="str">
            <v>e_c_a_chargeassault</v>
          </cell>
          <cell r="I269" t="str">
            <v>1</v>
          </cell>
          <cell r="J269" t="str">
            <v>500</v>
          </cell>
          <cell r="K269">
            <v>0</v>
          </cell>
          <cell r="L269" t="str">
            <v>200</v>
          </cell>
          <cell r="M269" t="str">
            <v>100</v>
          </cell>
          <cell r="N269" t="str">
            <v>e_c_a_attack1_hit_4</v>
          </cell>
          <cell r="O269" t="str">
            <v>8</v>
          </cell>
        </row>
        <row r="270">
          <cell r="A270">
            <v>9179</v>
          </cell>
          <cell r="B270" t="str">
            <v>[b]BOSS-黑暗之手[-]</v>
          </cell>
          <cell r="D270" t="str">
            <v>skill_2</v>
          </cell>
          <cell r="I270" t="str">
            <v>0</v>
          </cell>
          <cell r="J270" t="str">
            <v>1467</v>
          </cell>
          <cell r="K270">
            <v>0</v>
          </cell>
          <cell r="L270">
            <v>733</v>
          </cell>
          <cell r="M270" t="str">
            <v>100</v>
          </cell>
          <cell r="N270" t="str">
            <v>e_c_n_01_hit</v>
          </cell>
          <cell r="O270" t="str">
            <v>5</v>
          </cell>
        </row>
        <row r="271">
          <cell r="A271">
            <v>9180</v>
          </cell>
          <cell r="B271" t="str">
            <v>[b]BOSS-暗影之力[-]</v>
          </cell>
          <cell r="D271" t="str">
            <v>skill_2</v>
          </cell>
          <cell r="I271" t="str">
            <v>0</v>
          </cell>
          <cell r="J271" t="str">
            <v>1467</v>
          </cell>
          <cell r="K271">
            <v>0</v>
          </cell>
          <cell r="L271">
            <v>733</v>
          </cell>
          <cell r="M271" t="str">
            <v>100</v>
          </cell>
          <cell r="O271" t="str">
            <v>3</v>
          </cell>
        </row>
        <row r="272">
          <cell r="A272">
            <v>9181</v>
          </cell>
          <cell r="B272" t="str">
            <v>[b]BOSS-死亡缠绕[-]</v>
          </cell>
          <cell r="D272" t="str">
            <v>skill_1</v>
          </cell>
          <cell r="I272" t="str">
            <v>0</v>
          </cell>
          <cell r="J272" t="str">
            <v>1300</v>
          </cell>
          <cell r="K272" t="str">
            <v>0</v>
          </cell>
          <cell r="L272" t="str">
            <v>830</v>
          </cell>
          <cell r="M272" t="str">
            <v>100</v>
          </cell>
          <cell r="N272" t="str">
            <v>e_c_devil_hit</v>
          </cell>
          <cell r="O272">
            <v>10</v>
          </cell>
        </row>
        <row r="273">
          <cell r="A273">
            <v>9182</v>
          </cell>
          <cell r="B273" t="str">
            <v>[b]BOSS-不死之躯[-]</v>
          </cell>
          <cell r="D273" t="str">
            <v>skill_2</v>
          </cell>
          <cell r="G273" t="str">
            <v>e_c_ice_hit_big</v>
          </cell>
          <cell r="I273" t="str">
            <v>0</v>
          </cell>
          <cell r="J273" t="str">
            <v>1500</v>
          </cell>
          <cell r="K273" t="str">
            <v>0</v>
          </cell>
          <cell r="L273" t="str">
            <v>1305</v>
          </cell>
          <cell r="M273" t="str">
            <v>100</v>
          </cell>
          <cell r="O273" t="str">
            <v>3</v>
          </cell>
        </row>
        <row r="274">
          <cell r="A274">
            <v>9183</v>
          </cell>
          <cell r="B274" t="str">
            <v>[b]BOSS-死亡之握[-]</v>
          </cell>
          <cell r="D274" t="str">
            <v>skill_2</v>
          </cell>
          <cell r="G274" t="str">
            <v>e_c_darknova_cast</v>
          </cell>
          <cell r="I274" t="str">
            <v>0</v>
          </cell>
          <cell r="J274" t="str">
            <v>1500</v>
          </cell>
          <cell r="K274" t="str">
            <v>0</v>
          </cell>
          <cell r="L274" t="str">
            <v>1305</v>
          </cell>
          <cell r="M274" t="str">
            <v>100</v>
          </cell>
          <cell r="N274" t="str">
            <v>e_c_n_01_hit</v>
          </cell>
          <cell r="O274" t="str">
            <v>8</v>
          </cell>
        </row>
        <row r="275">
          <cell r="A275">
            <v>9184</v>
          </cell>
          <cell r="B275" t="str">
            <v>[b]BOSS-霜之哀伤[-]</v>
          </cell>
          <cell r="D275" t="str">
            <v>attack1</v>
          </cell>
          <cell r="I275" t="str">
            <v>0</v>
          </cell>
          <cell r="J275" t="str">
            <v>800</v>
          </cell>
          <cell r="K275" t="str">
            <v>0</v>
          </cell>
          <cell r="L275" t="str">
            <v>374</v>
          </cell>
          <cell r="M275" t="str">
            <v>100</v>
          </cell>
          <cell r="N275" t="str">
            <v>e_c_ice_hit_big</v>
          </cell>
          <cell r="O275" t="str">
            <v>3</v>
          </cell>
        </row>
        <row r="276">
          <cell r="A276">
            <v>9185</v>
          </cell>
          <cell r="B276" t="str">
            <v>[b]巨龙普攻[-]-5</v>
          </cell>
          <cell r="C276" t="str">
            <v>attack1</v>
          </cell>
          <cell r="I276" t="str">
            <v>1000</v>
          </cell>
          <cell r="J276" t="str">
            <v>0</v>
          </cell>
          <cell r="K276" t="str">
            <v>0</v>
          </cell>
          <cell r="L276" t="str">
            <v>1</v>
          </cell>
          <cell r="M276" t="str">
            <v>100</v>
          </cell>
          <cell r="N276" t="str">
            <v>e_c_fire_hit_big</v>
          </cell>
          <cell r="O276" t="str">
            <v>15</v>
          </cell>
        </row>
        <row r="277">
          <cell r="A277">
            <v>9186</v>
          </cell>
          <cell r="B277" t="str">
            <v>[b]龙骑士普攻[-]</v>
          </cell>
          <cell r="D277" t="str">
            <v>attack1</v>
          </cell>
          <cell r="I277" t="str">
            <v>0</v>
          </cell>
          <cell r="J277" t="str">
            <v>2100</v>
          </cell>
          <cell r="K277">
            <v>0</v>
          </cell>
          <cell r="L277">
            <v>670</v>
          </cell>
          <cell r="M277" t="str">
            <v>100</v>
          </cell>
          <cell r="N277" t="str">
            <v>e_c_a_attack1_hit_1</v>
          </cell>
          <cell r="O277" t="str">
            <v>3</v>
          </cell>
        </row>
        <row r="278">
          <cell r="A278">
            <v>9187</v>
          </cell>
          <cell r="B278" t="str">
            <v>[b]幼龙普攻[-]</v>
          </cell>
          <cell r="D278" t="str">
            <v>attack1</v>
          </cell>
          <cell r="I278" t="str">
            <v>0</v>
          </cell>
          <cell r="J278" t="str">
            <v>1000</v>
          </cell>
          <cell r="K278">
            <v>0</v>
          </cell>
          <cell r="L278">
            <v>400</v>
          </cell>
          <cell r="M278" t="str">
            <v>100</v>
          </cell>
          <cell r="N278" t="str">
            <v>e_c_a_attack1_hit_1</v>
          </cell>
          <cell r="O278" t="str">
            <v>3</v>
          </cell>
        </row>
        <row r="279">
          <cell r="A279">
            <v>9188</v>
          </cell>
          <cell r="B279" t="str">
            <v>[b]团队-巨龙轨道炮[-]</v>
          </cell>
          <cell r="D279" t="str">
            <v>attack3</v>
          </cell>
          <cell r="G279" t="str">
            <v>e_c_d_skill6_cast</v>
          </cell>
          <cell r="I279" t="str">
            <v>0</v>
          </cell>
          <cell r="J279" t="str">
            <v>1000</v>
          </cell>
          <cell r="K279" t="str">
            <v>0</v>
          </cell>
          <cell r="L279" t="str">
            <v>550|650|750|850|1000</v>
          </cell>
          <cell r="M279" t="str">
            <v>20|20|20|20|20</v>
          </cell>
          <cell r="N279" t="str">
            <v>e_c_d_skill7_hit</v>
          </cell>
          <cell r="O279" t="str">
            <v>10</v>
          </cell>
        </row>
        <row r="280">
          <cell r="A280">
            <v>9189</v>
          </cell>
          <cell r="B280" t="str">
            <v>[b]团队-巨龙之火[-]</v>
          </cell>
          <cell r="C280" t="str">
            <v>skill1</v>
          </cell>
          <cell r="I280" t="str">
            <v>700</v>
          </cell>
          <cell r="J280" t="str">
            <v>0</v>
          </cell>
          <cell r="K280" t="str">
            <v>300</v>
          </cell>
          <cell r="L280" t="str">
            <v>0</v>
          </cell>
          <cell r="M280" t="str">
            <v>100</v>
          </cell>
          <cell r="N280" t="str">
            <v>e_c_fire_hit_big</v>
          </cell>
          <cell r="O280" t="str">
            <v>3</v>
          </cell>
        </row>
        <row r="281">
          <cell r="A281">
            <v>9190</v>
          </cell>
          <cell r="B281" t="str">
            <v>[b]团队-青铜龙-时空裂缝[-]</v>
          </cell>
          <cell r="D281" t="str">
            <v>attack2</v>
          </cell>
          <cell r="I281" t="str">
            <v>0</v>
          </cell>
          <cell r="J281" t="str">
            <v>1000</v>
          </cell>
          <cell r="K281" t="str">
            <v>0</v>
          </cell>
          <cell r="L281" t="str">
            <v>600</v>
          </cell>
          <cell r="M281" t="str">
            <v>100</v>
          </cell>
          <cell r="N281" t="str">
            <v>e_c_holy_hit</v>
          </cell>
          <cell r="O281" t="str">
            <v>5</v>
          </cell>
        </row>
        <row r="282">
          <cell r="A282">
            <v>9191</v>
          </cell>
          <cell r="B282" t="str">
            <v>[b]团队-青铜龙-时光深渊[-]</v>
          </cell>
          <cell r="D282" t="str">
            <v>attack2</v>
          </cell>
          <cell r="F282" t="str">
            <v>e_c_d_skill1_cast</v>
          </cell>
          <cell r="I282" t="str">
            <v>0</v>
          </cell>
          <cell r="J282" t="str">
            <v>1000</v>
          </cell>
          <cell r="K282" t="str">
            <v>0</v>
          </cell>
          <cell r="L282" t="str">
            <v>0</v>
          </cell>
          <cell r="M282" t="str">
            <v>100</v>
          </cell>
          <cell r="N282" t="str">
            <v>e_c_ice_hit_big</v>
          </cell>
          <cell r="O282" t="str">
            <v>10</v>
          </cell>
        </row>
        <row r="283">
          <cell r="A283">
            <v>9192</v>
          </cell>
          <cell r="B283" t="str">
            <v>[b]团队-蓝龙-烈焰吐息[-]</v>
          </cell>
          <cell r="C283" t="str">
            <v>skill2</v>
          </cell>
          <cell r="D283" t="str">
            <v>attack2</v>
          </cell>
          <cell r="I283" t="str">
            <v>3000</v>
          </cell>
          <cell r="J283" t="str">
            <v>1300</v>
          </cell>
          <cell r="K283">
            <v>0</v>
          </cell>
          <cell r="L283" t="str">
            <v>433|683|933</v>
          </cell>
          <cell r="M283" t="str">
            <v>30|30|40</v>
          </cell>
          <cell r="N283" t="str">
            <v>e_c_a_attack1_hit_4|e_c_a_attack1_hit_4|e_c_a_attack1_hit_4</v>
          </cell>
          <cell r="O283" t="str">
            <v>5</v>
          </cell>
        </row>
        <row r="284">
          <cell r="A284">
            <v>9193</v>
          </cell>
          <cell r="B284" t="str">
            <v>[b]团队-蓝龙-零度空间[-]-3</v>
          </cell>
          <cell r="C284" t="str">
            <v>skill2</v>
          </cell>
          <cell r="D284" t="str">
            <v>attack3</v>
          </cell>
          <cell r="I284" t="str">
            <v>3000</v>
          </cell>
          <cell r="J284" t="str">
            <v>1000</v>
          </cell>
          <cell r="K284" t="str">
            <v>0</v>
          </cell>
          <cell r="L284" t="str">
            <v>400</v>
          </cell>
          <cell r="M284" t="str">
            <v>100</v>
          </cell>
          <cell r="N284" t="str">
            <v>e_c_ice_hit_big</v>
          </cell>
          <cell r="O284" t="str">
            <v>5</v>
          </cell>
        </row>
        <row r="285">
          <cell r="A285">
            <v>9194</v>
          </cell>
          <cell r="B285" t="str">
            <v>[b]团队-蓝龙-暴风雪[-]</v>
          </cell>
          <cell r="D285" t="str">
            <v>skill2</v>
          </cell>
          <cell r="I285" t="str">
            <v>0</v>
          </cell>
          <cell r="J285" t="str">
            <v>1000</v>
          </cell>
          <cell r="K285" t="str">
            <v>0</v>
          </cell>
          <cell r="L285" t="str">
            <v>0</v>
          </cell>
          <cell r="M285" t="str">
            <v>100</v>
          </cell>
          <cell r="N285" t="str">
            <v>e_c_ice_hit_big</v>
          </cell>
          <cell r="O285" t="str">
            <v>10</v>
          </cell>
        </row>
        <row r="286">
          <cell r="A286">
            <v>9195</v>
          </cell>
          <cell r="B286" t="str">
            <v>[b]团队-红龙-熔岩打击[-]</v>
          </cell>
          <cell r="D286" t="str">
            <v>attack1</v>
          </cell>
          <cell r="I286" t="str">
            <v>0</v>
          </cell>
          <cell r="J286" t="str">
            <v>1200</v>
          </cell>
          <cell r="K286">
            <v>0</v>
          </cell>
          <cell r="L286" t="str">
            <v>700|900|1100</v>
          </cell>
          <cell r="M286" t="str">
            <v>33|33|34</v>
          </cell>
          <cell r="N286" t="str">
            <v>e_c_a_attack1_hit_4</v>
          </cell>
          <cell r="O286" t="str">
            <v>8</v>
          </cell>
        </row>
        <row r="287">
          <cell r="A287">
            <v>9196</v>
          </cell>
          <cell r="B287" t="str">
            <v>[b]团队-红龙-火焰之雨[-]</v>
          </cell>
          <cell r="D287" t="str">
            <v>skill2</v>
          </cell>
          <cell r="F287" t="str">
            <v>e_c_d_skill1_cast</v>
          </cell>
          <cell r="I287" t="str">
            <v>0</v>
          </cell>
          <cell r="J287" t="str">
            <v>700</v>
          </cell>
          <cell r="K287" t="str">
            <v>0</v>
          </cell>
          <cell r="L287" t="str">
            <v>0</v>
          </cell>
          <cell r="M287" t="str">
            <v>100</v>
          </cell>
          <cell r="N287" t="str">
            <v>e_c_ice_hit_big</v>
          </cell>
          <cell r="O287" t="str">
            <v>10</v>
          </cell>
        </row>
        <row r="288">
          <cell r="A288">
            <v>9197</v>
          </cell>
          <cell r="B288" t="str">
            <v>[b]团队-绿龙-梦境云雾[-]</v>
          </cell>
          <cell r="C288" t="str">
            <v>skill2</v>
          </cell>
          <cell r="D288" t="str">
            <v>skill1</v>
          </cell>
          <cell r="I288" t="str">
            <v>3000</v>
          </cell>
          <cell r="J288" t="str">
            <v>1500</v>
          </cell>
          <cell r="K288" t="str">
            <v>0</v>
          </cell>
          <cell r="L288" t="str">
            <v>0</v>
          </cell>
          <cell r="M288" t="str">
            <v>100</v>
          </cell>
          <cell r="N288" t="str">
            <v>e_c_n_01_hit</v>
          </cell>
          <cell r="O288" t="str">
            <v>10</v>
          </cell>
        </row>
        <row r="289">
          <cell r="A289">
            <v>9198</v>
          </cell>
          <cell r="B289" t="str">
            <v>[b]团队-绿龙-恶梦扩散[-]-8</v>
          </cell>
          <cell r="C289" t="str">
            <v>skill2</v>
          </cell>
          <cell r="D289" t="str">
            <v>skill1</v>
          </cell>
          <cell r="I289" t="str">
            <v>3000</v>
          </cell>
          <cell r="J289" t="str">
            <v>1500</v>
          </cell>
          <cell r="K289">
            <v>0</v>
          </cell>
          <cell r="L289" t="str">
            <v>660</v>
          </cell>
          <cell r="M289" t="str">
            <v>100</v>
          </cell>
          <cell r="N289" t="str">
            <v>e_c_a_attack1_hit_4</v>
          </cell>
          <cell r="O289" t="str">
            <v>4</v>
          </cell>
        </row>
        <row r="290">
          <cell r="A290">
            <v>9199</v>
          </cell>
          <cell r="B290" t="str">
            <v>[b]团队-绿龙-暗影之灾[-]</v>
          </cell>
          <cell r="C290" t="str">
            <v>skill2</v>
          </cell>
          <cell r="E290" t="str">
            <v>attack3</v>
          </cell>
          <cell r="H290" t="str">
            <v>e_c_darknova_cast</v>
          </cell>
          <cell r="I290" t="str">
            <v>3000</v>
          </cell>
          <cell r="J290" t="str">
            <v>0</v>
          </cell>
          <cell r="K290">
            <v>500</v>
          </cell>
          <cell r="L290">
            <v>0</v>
          </cell>
          <cell r="M290" t="str">
            <v>100</v>
          </cell>
          <cell r="N290" t="str">
            <v>e_c_fire_hit_big</v>
          </cell>
          <cell r="O290" t="str">
            <v>3</v>
          </cell>
        </row>
        <row r="291">
          <cell r="A291">
            <v>9200</v>
          </cell>
          <cell r="B291" t="str">
            <v>[b]团队-黑龙-暗影之井[-]</v>
          </cell>
          <cell r="D291" t="str">
            <v>skill2</v>
          </cell>
          <cell r="G291" t="str">
            <v>e_dh_attack4</v>
          </cell>
          <cell r="I291" t="str">
            <v>0</v>
          </cell>
          <cell r="J291" t="str">
            <v>1200</v>
          </cell>
          <cell r="K291">
            <v>0</v>
          </cell>
          <cell r="L291">
            <v>600</v>
          </cell>
          <cell r="M291" t="str">
            <v>100</v>
          </cell>
          <cell r="N291" t="str">
            <v>e_c_n_01_hit</v>
          </cell>
          <cell r="O291" t="str">
            <v>10</v>
          </cell>
        </row>
        <row r="292">
          <cell r="A292">
            <v>9201</v>
          </cell>
          <cell r="B292" t="str">
            <v>[b]团队-黑龙-暗影之火[-]-1</v>
          </cell>
          <cell r="D292" t="str">
            <v>skill2</v>
          </cell>
          <cell r="G292" t="str">
            <v>e_dh_attack4</v>
          </cell>
          <cell r="I292" t="str">
            <v>0</v>
          </cell>
          <cell r="J292" t="str">
            <v>1200</v>
          </cell>
          <cell r="K292">
            <v>0</v>
          </cell>
          <cell r="L292">
            <v>600</v>
          </cell>
          <cell r="M292" t="str">
            <v>100</v>
          </cell>
          <cell r="N292" t="str">
            <v>e_c_fire_hit_big</v>
          </cell>
          <cell r="O292" t="str">
            <v>10</v>
          </cell>
        </row>
        <row r="293">
          <cell r="A293">
            <v>9202</v>
          </cell>
          <cell r="B293" t="str">
            <v>[b]团队-龙人-烈焰吐息[-]</v>
          </cell>
          <cell r="D293" t="str">
            <v>attack2</v>
          </cell>
          <cell r="I293" t="str">
            <v>0</v>
          </cell>
          <cell r="J293" t="str">
            <v>1300</v>
          </cell>
          <cell r="K293">
            <v>0</v>
          </cell>
          <cell r="L293" t="str">
            <v>433|683|933</v>
          </cell>
          <cell r="M293" t="str">
            <v>30|30|40</v>
          </cell>
          <cell r="N293" t="str">
            <v>e_c_a_attack1_hit_4|e_c_a_attack1_hit_4|e_c_a_attack1_hit_4</v>
          </cell>
          <cell r="O293" t="str">
            <v>5</v>
          </cell>
        </row>
        <row r="294">
          <cell r="A294">
            <v>9203</v>
          </cell>
          <cell r="B294" t="str">
            <v>[b]团队-巨龙轨道炮[-]</v>
          </cell>
          <cell r="D294" t="str">
            <v>attack3</v>
          </cell>
          <cell r="G294" t="str">
            <v>e_c_d_skill6_cast</v>
          </cell>
          <cell r="I294" t="str">
            <v>0</v>
          </cell>
          <cell r="J294" t="str">
            <v>1000</v>
          </cell>
          <cell r="K294" t="str">
            <v>0</v>
          </cell>
          <cell r="L294" t="str">
            <v>550|650|750|850|1000</v>
          </cell>
          <cell r="M294" t="str">
            <v>20|20|20|20|20</v>
          </cell>
          <cell r="N294" t="str">
            <v>e_c_d_skill7_hit</v>
          </cell>
          <cell r="O294" t="str">
            <v>10</v>
          </cell>
        </row>
        <row r="295">
          <cell r="A295">
            <v>9204</v>
          </cell>
          <cell r="B295" t="str">
            <v>[b]副本-巨龙之火[-]-4</v>
          </cell>
          <cell r="D295" t="str">
            <v>attack2</v>
          </cell>
          <cell r="I295" t="str">
            <v>0</v>
          </cell>
          <cell r="J295" t="str">
            <v>1300</v>
          </cell>
          <cell r="K295">
            <v>0</v>
          </cell>
          <cell r="L295" t="str">
            <v>433|683|933</v>
          </cell>
          <cell r="M295" t="str">
            <v>30|30|40</v>
          </cell>
          <cell r="N295" t="str">
            <v>e_c_a_attack1_hit_4|e_c_a_attack1_hit_4|e_c_a_attack1_hit_4</v>
          </cell>
          <cell r="O295" t="str">
            <v>5</v>
          </cell>
        </row>
        <row r="296">
          <cell r="A296">
            <v>9205</v>
          </cell>
          <cell r="B296" t="str">
            <v>[b]团队-蓝龙-零度领域[-]</v>
          </cell>
          <cell r="C296" t="str">
            <v>skill2</v>
          </cell>
          <cell r="D296" t="str">
            <v>attack3</v>
          </cell>
          <cell r="I296" t="str">
            <v>3000</v>
          </cell>
          <cell r="J296" t="str">
            <v>1000</v>
          </cell>
          <cell r="K296" t="str">
            <v>0</v>
          </cell>
          <cell r="L296" t="str">
            <v>400</v>
          </cell>
          <cell r="M296" t="str">
            <v>100</v>
          </cell>
          <cell r="N296" t="str">
            <v>e_c_ice_hit_big</v>
          </cell>
          <cell r="O296" t="str">
            <v>5</v>
          </cell>
        </row>
        <row r="297">
          <cell r="A297">
            <v>9206</v>
          </cell>
          <cell r="B297" t="str">
            <v>[b]团队-蓝龙-暴风雪[-]</v>
          </cell>
          <cell r="D297" t="str">
            <v>skill2</v>
          </cell>
          <cell r="I297" t="str">
            <v>0</v>
          </cell>
          <cell r="J297" t="str">
            <v>1000</v>
          </cell>
          <cell r="K297" t="str">
            <v>0</v>
          </cell>
          <cell r="L297" t="str">
            <v>0</v>
          </cell>
          <cell r="M297" t="str">
            <v>100</v>
          </cell>
          <cell r="N297" t="str">
            <v>e_c_ice_hit_big</v>
          </cell>
          <cell r="O297" t="str">
            <v>10</v>
          </cell>
        </row>
        <row r="298">
          <cell r="A298">
            <v>9207</v>
          </cell>
          <cell r="B298" t="str">
            <v>[b]副本-死亡之握[-]-7</v>
          </cell>
          <cell r="D298" t="str">
            <v>skill_2</v>
          </cell>
          <cell r="G298" t="str">
            <v>e_c_darknova_cast</v>
          </cell>
          <cell r="I298" t="str">
            <v>0</v>
          </cell>
          <cell r="J298" t="str">
            <v>1500</v>
          </cell>
          <cell r="K298" t="str">
            <v>0</v>
          </cell>
          <cell r="L298" t="str">
            <v>1305</v>
          </cell>
          <cell r="M298" t="str">
            <v>100</v>
          </cell>
          <cell r="N298" t="str">
            <v>e_c_n_01_hit</v>
          </cell>
          <cell r="O298" t="str">
            <v>8</v>
          </cell>
        </row>
        <row r="299">
          <cell r="A299">
            <v>9208</v>
          </cell>
          <cell r="B299" t="str">
            <v>[b]副本-霜之哀伤[-]</v>
          </cell>
          <cell r="D299" t="str">
            <v>attack1</v>
          </cell>
          <cell r="I299" t="str">
            <v>0</v>
          </cell>
          <cell r="J299" t="str">
            <v>800</v>
          </cell>
          <cell r="K299" t="str">
            <v>0</v>
          </cell>
          <cell r="L299" t="str">
            <v>374</v>
          </cell>
          <cell r="M299" t="str">
            <v>100</v>
          </cell>
          <cell r="N299" t="str">
            <v>e_c_ice_hit_big</v>
          </cell>
          <cell r="O299" t="str">
            <v>3</v>
          </cell>
        </row>
        <row r="300">
          <cell r="A300">
            <v>9209</v>
          </cell>
          <cell r="B300" t="str">
            <v>狼速攻</v>
          </cell>
          <cell r="D300" t="str">
            <v>attack1</v>
          </cell>
          <cell r="I300" t="str">
            <v>0</v>
          </cell>
          <cell r="J300" t="str">
            <v>1000</v>
          </cell>
          <cell r="K300" t="str">
            <v>0</v>
          </cell>
          <cell r="L300" t="str">
            <v>450</v>
          </cell>
          <cell r="M300" t="str">
            <v>100</v>
          </cell>
          <cell r="N300" t="str">
            <v>e_c_a_attack1_hit_1</v>
          </cell>
          <cell r="O300" t="str">
            <v>3</v>
          </cell>
        </row>
        <row r="301">
          <cell r="A301">
            <v>9210</v>
          </cell>
          <cell r="B301" t="str">
            <v>炎魔攻击</v>
          </cell>
          <cell r="D301" t="str">
            <v>attack1_01|attack1_02</v>
          </cell>
          <cell r="I301" t="str">
            <v>0</v>
          </cell>
          <cell r="J301" t="str">
            <v>800|500</v>
          </cell>
          <cell r="K301">
            <v>0</v>
          </cell>
          <cell r="L301" t="str">
            <v>1000</v>
          </cell>
          <cell r="M301" t="str">
            <v>100</v>
          </cell>
          <cell r="N301" t="str">
            <v>e_c_fire_hit_big</v>
          </cell>
          <cell r="O301" t="str">
            <v>4</v>
          </cell>
        </row>
        <row r="302">
          <cell r="A302">
            <v>9211</v>
          </cell>
          <cell r="B302" t="str">
            <v>炎魔之怒</v>
          </cell>
          <cell r="C302" t="str">
            <v>attack1_01</v>
          </cell>
          <cell r="D302" t="str">
            <v>attack1_02</v>
          </cell>
          <cell r="I302" t="str">
            <v>2000</v>
          </cell>
          <cell r="J302" t="str">
            <v>750</v>
          </cell>
          <cell r="K302" t="str">
            <v>0</v>
          </cell>
          <cell r="L302" t="str">
            <v>300</v>
          </cell>
          <cell r="M302" t="str">
            <v>100</v>
          </cell>
          <cell r="N302" t="str">
            <v>e_c_n_01_hit</v>
          </cell>
          <cell r="O302" t="str">
            <v>3</v>
          </cell>
        </row>
        <row r="303">
          <cell r="A303">
            <v>9212</v>
          </cell>
          <cell r="B303" t="str">
            <v>熔岩之火</v>
          </cell>
          <cell r="D303" t="str">
            <v>skill1</v>
          </cell>
          <cell r="G303" t="str">
            <v>e_c_d_skill12_cast</v>
          </cell>
          <cell r="I303" t="str">
            <v>0</v>
          </cell>
          <cell r="J303" t="str">
            <v>2200</v>
          </cell>
          <cell r="K303">
            <v>0</v>
          </cell>
          <cell r="L303" t="str">
            <v>300|500|800|1100|1400|1700|2000</v>
          </cell>
          <cell r="M303" t="str">
            <v>20|20|20|20|20|20|20</v>
          </cell>
          <cell r="N303" t="str">
            <v>e_c_fire_hit_big|e_c_fire_hit_big|e_c_fire_hit_big|e_c_fire_hit_big|e_c_fire_hit_big|e_c_fire_hit_big|e_c_fire_hit_big</v>
          </cell>
          <cell r="O303" t="str">
            <v>8</v>
          </cell>
        </row>
        <row r="304">
          <cell r="A304">
            <v>9213</v>
          </cell>
          <cell r="B304" t="str">
            <v>神之力</v>
          </cell>
          <cell r="I304" t="str">
            <v>0</v>
          </cell>
          <cell r="J304" t="str">
            <v>1050</v>
          </cell>
          <cell r="K304" t="str">
            <v>0</v>
          </cell>
          <cell r="L304" t="str">
            <v>0</v>
          </cell>
          <cell r="M304" t="str">
            <v>100</v>
          </cell>
          <cell r="N304" t="str">
            <v>e_c_a_attack1_hit_4</v>
          </cell>
          <cell r="O304" t="str">
            <v>15</v>
          </cell>
        </row>
        <row r="305">
          <cell r="A305">
            <v>9301</v>
          </cell>
          <cell r="B305" t="str">
            <v>死亡之握-阿克</v>
          </cell>
          <cell r="D305" t="str">
            <v>attack1</v>
          </cell>
          <cell r="G305" t="str">
            <v>e_c_e_skill1_cast</v>
          </cell>
          <cell r="I305" t="str">
            <v>0</v>
          </cell>
          <cell r="J305" t="str">
            <v>1000</v>
          </cell>
          <cell r="K305">
            <v>0</v>
          </cell>
          <cell r="L305">
            <v>400</v>
          </cell>
          <cell r="M305" t="str">
            <v>100</v>
          </cell>
          <cell r="N305" t="str">
            <v>e_c_fire_hit_big</v>
          </cell>
          <cell r="O305" t="str">
            <v>50</v>
          </cell>
        </row>
        <row r="306">
          <cell r="A306">
            <v>9302</v>
          </cell>
          <cell r="B306" t="str">
            <v>黑暗深渊-阿克</v>
          </cell>
          <cell r="D306" t="str">
            <v>attack1</v>
          </cell>
          <cell r="G306" t="str">
            <v>e_c_e_skill1_cast</v>
          </cell>
          <cell r="I306" t="str">
            <v>0</v>
          </cell>
          <cell r="J306" t="str">
            <v>1000</v>
          </cell>
          <cell r="K306" t="str">
            <v>0</v>
          </cell>
          <cell r="L306" t="str">
            <v>0</v>
          </cell>
          <cell r="M306" t="str">
            <v>100</v>
          </cell>
          <cell r="N306" t="str">
            <v>e_c_n_01_hit</v>
          </cell>
          <cell r="O306" t="str">
            <v>50</v>
          </cell>
        </row>
        <row r="307">
          <cell r="A307">
            <v>9303</v>
          </cell>
          <cell r="B307" t="str">
            <v>火雨-火神</v>
          </cell>
          <cell r="D307" t="str">
            <v>attack1_01|attack1_02</v>
          </cell>
          <cell r="I307" t="str">
            <v>0</v>
          </cell>
          <cell r="J307" t="str">
            <v>300|200</v>
          </cell>
          <cell r="K307">
            <v>0</v>
          </cell>
          <cell r="L307">
            <v>300</v>
          </cell>
          <cell r="M307" t="str">
            <v>100</v>
          </cell>
          <cell r="N307" t="str">
            <v>e_c_fire_hit_big</v>
          </cell>
          <cell r="O307" t="str">
            <v>8</v>
          </cell>
        </row>
        <row r="308">
          <cell r="A308">
            <v>9304</v>
          </cell>
          <cell r="B308" t="str">
            <v>暴风雪-潮神</v>
          </cell>
          <cell r="D308" t="str">
            <v>attack1_01|attack1_02</v>
          </cell>
          <cell r="I308" t="str">
            <v>0</v>
          </cell>
          <cell r="J308" t="str">
            <v>300|200</v>
          </cell>
          <cell r="K308">
            <v>0</v>
          </cell>
          <cell r="L308">
            <v>300</v>
          </cell>
          <cell r="M308" t="str">
            <v>100</v>
          </cell>
          <cell r="N308" t="str">
            <v>e_c_ice_hit_big</v>
          </cell>
          <cell r="O308" t="str">
            <v>8</v>
          </cell>
        </row>
        <row r="309">
          <cell r="A309">
            <v>9305</v>
          </cell>
          <cell r="B309" t="str">
            <v>闪电链-米隆</v>
          </cell>
          <cell r="D309" t="str">
            <v>attack1</v>
          </cell>
          <cell r="I309" t="str">
            <v>0</v>
          </cell>
          <cell r="J309" t="str">
            <v>1200</v>
          </cell>
          <cell r="K309">
            <v>0</v>
          </cell>
          <cell r="L309" t="str">
            <v>500</v>
          </cell>
          <cell r="M309" t="str">
            <v>100</v>
          </cell>
          <cell r="N309" t="str">
            <v>e_c_light_hit</v>
          </cell>
          <cell r="O309" t="str">
            <v>60</v>
          </cell>
        </row>
        <row r="310">
          <cell r="A310">
            <v>9306</v>
          </cell>
          <cell r="B310" t="str">
            <v>BUG粉碎</v>
          </cell>
          <cell r="D310" t="str">
            <v>scream</v>
          </cell>
          <cell r="G310" t="str">
            <v>e_c_e_attack1_cast</v>
          </cell>
          <cell r="I310" t="str">
            <v>0</v>
          </cell>
          <cell r="J310" t="str">
            <v>1000</v>
          </cell>
          <cell r="K310" t="str">
            <v>0</v>
          </cell>
          <cell r="L310" t="str">
            <v>0</v>
          </cell>
          <cell r="M310" t="str">
            <v>100</v>
          </cell>
          <cell r="N310" t="str">
            <v>e_c_d_skill7_hit</v>
          </cell>
          <cell r="O310" t="str">
            <v>100</v>
          </cell>
        </row>
        <row r="311">
          <cell r="A311">
            <v>9307</v>
          </cell>
          <cell r="B311" t="str">
            <v>火焰爆发</v>
          </cell>
          <cell r="D311" t="str">
            <v>attack1</v>
          </cell>
          <cell r="G311" t="str">
            <v>e_c_e_skill1_cast</v>
          </cell>
          <cell r="I311" t="str">
            <v>0</v>
          </cell>
          <cell r="J311" t="str">
            <v>1000</v>
          </cell>
          <cell r="K311">
            <v>0</v>
          </cell>
          <cell r="L311">
            <v>400</v>
          </cell>
          <cell r="M311" t="str">
            <v>100</v>
          </cell>
          <cell r="N311" t="str">
            <v>e_c_fire_hit_big</v>
          </cell>
          <cell r="O311" t="str">
            <v>50</v>
          </cell>
        </row>
        <row r="312">
          <cell r="A312">
            <v>9308</v>
          </cell>
          <cell r="B312" t="str">
            <v>弱者肃清</v>
          </cell>
          <cell r="D312" t="str">
            <v>attack1</v>
          </cell>
          <cell r="G312" t="str">
            <v>e_c_e_skill1_cast</v>
          </cell>
          <cell r="I312" t="str">
            <v>0</v>
          </cell>
          <cell r="J312" t="str">
            <v>1000</v>
          </cell>
          <cell r="K312">
            <v>0</v>
          </cell>
          <cell r="L312">
            <v>400</v>
          </cell>
          <cell r="M312" t="str">
            <v>100</v>
          </cell>
          <cell r="N312" t="str">
            <v>e_c_fire_hit_big</v>
          </cell>
          <cell r="O312" t="str">
            <v>50</v>
          </cell>
        </row>
        <row r="313">
          <cell r="A313">
            <v>9309</v>
          </cell>
          <cell r="B313" t="str">
            <v>恶魔重击</v>
          </cell>
          <cell r="D313" t="str">
            <v>skill1</v>
          </cell>
          <cell r="G313" t="str">
            <v>e_c_e_skill1_cast</v>
          </cell>
          <cell r="I313" t="str">
            <v>0</v>
          </cell>
          <cell r="J313" t="str">
            <v>1000</v>
          </cell>
          <cell r="K313">
            <v>0</v>
          </cell>
          <cell r="L313">
            <v>320</v>
          </cell>
          <cell r="M313" t="str">
            <v>100</v>
          </cell>
          <cell r="N313" t="str">
            <v>e_c_a_attack1_hit_1</v>
          </cell>
          <cell r="O313" t="str">
            <v>3</v>
          </cell>
        </row>
        <row r="314">
          <cell r="A314">
            <v>9310</v>
          </cell>
          <cell r="B314" t="str">
            <v>复仇者之盾</v>
          </cell>
          <cell r="D314" t="str">
            <v>skill2</v>
          </cell>
          <cell r="G314" t="str">
            <v>e_c_e_skill8_cast</v>
          </cell>
          <cell r="I314" t="str">
            <v>0</v>
          </cell>
          <cell r="J314" t="str">
            <v>1200</v>
          </cell>
          <cell r="K314" t="str">
            <v>0</v>
          </cell>
          <cell r="L314" t="str">
            <v>600</v>
          </cell>
          <cell r="M314" t="str">
            <v>100</v>
          </cell>
          <cell r="N314" t="str">
            <v>e_c_a_attack1_hit_3</v>
          </cell>
          <cell r="O314" t="str">
            <v>8</v>
          </cell>
        </row>
        <row r="315">
          <cell r="A315">
            <v>9311</v>
          </cell>
          <cell r="B315" t="str">
            <v>正义重击</v>
          </cell>
          <cell r="D315" t="str">
            <v>skill1</v>
          </cell>
          <cell r="G315" t="str">
            <v>e_c_e_skill1_cast</v>
          </cell>
          <cell r="I315" t="str">
            <v>0</v>
          </cell>
          <cell r="J315" t="str">
            <v>1000</v>
          </cell>
          <cell r="K315">
            <v>0</v>
          </cell>
          <cell r="L315">
            <v>400</v>
          </cell>
          <cell r="M315" t="str">
            <v>100</v>
          </cell>
          <cell r="N315" t="str">
            <v>e_c_fire_hit_big</v>
          </cell>
          <cell r="O315" t="str">
            <v>14</v>
          </cell>
        </row>
        <row r="316">
          <cell r="A316">
            <v>9312</v>
          </cell>
          <cell r="B316" t="str">
            <v>机械瘫痪</v>
          </cell>
          <cell r="D316" t="str">
            <v>attack1</v>
          </cell>
          <cell r="G316" t="str">
            <v>e_c_e_skill1_cast</v>
          </cell>
          <cell r="I316" t="str">
            <v>0</v>
          </cell>
          <cell r="J316" t="str">
            <v>1000</v>
          </cell>
          <cell r="K316">
            <v>0</v>
          </cell>
          <cell r="L316">
            <v>400</v>
          </cell>
          <cell r="M316" t="str">
            <v>100</v>
          </cell>
          <cell r="N316" t="str">
            <v>e_c_light_hit</v>
          </cell>
          <cell r="O316" t="str">
            <v>50</v>
          </cell>
        </row>
        <row r="317">
          <cell r="A317">
            <v>9313</v>
          </cell>
          <cell r="B317" t="str">
            <v>普通攻击-atk1</v>
          </cell>
          <cell r="D317" t="str">
            <v>attack1</v>
          </cell>
          <cell r="I317" t="str">
            <v>0</v>
          </cell>
          <cell r="J317" t="str">
            <v>1000</v>
          </cell>
          <cell r="K317">
            <v>0</v>
          </cell>
          <cell r="L317">
            <v>720</v>
          </cell>
          <cell r="M317" t="str">
            <v>100</v>
          </cell>
          <cell r="N317" t="str">
            <v>e_c_a_attack1_hit_1</v>
          </cell>
          <cell r="O317" t="str">
            <v>3</v>
          </cell>
        </row>
        <row r="318">
          <cell r="A318">
            <v>9314</v>
          </cell>
          <cell r="B318" t="str">
            <v>霜之新星-潮神</v>
          </cell>
          <cell r="C318" t="str">
            <v>attack1_01</v>
          </cell>
          <cell r="D318" t="str">
            <v>attack1_02</v>
          </cell>
          <cell r="I318" t="str">
            <v>3000</v>
          </cell>
          <cell r="J318" t="str">
            <v>500</v>
          </cell>
          <cell r="K318" t="str">
            <v>100</v>
          </cell>
          <cell r="L318" t="str">
            <v>900</v>
          </cell>
          <cell r="M318" t="str">
            <v>100</v>
          </cell>
          <cell r="N318" t="str">
            <v>e_c_ice_hit_big</v>
          </cell>
          <cell r="O318" t="str">
            <v>5</v>
          </cell>
        </row>
        <row r="319">
          <cell r="A319">
            <v>9315</v>
          </cell>
          <cell r="B319" t="str">
            <v>远程BUG清除</v>
          </cell>
          <cell r="D319" t="str">
            <v>scream</v>
          </cell>
          <cell r="G319" t="str">
            <v>e_c_e_attack1_cast</v>
          </cell>
          <cell r="I319" t="str">
            <v>0</v>
          </cell>
          <cell r="J319" t="str">
            <v>1200</v>
          </cell>
          <cell r="K319" t="str">
            <v>0</v>
          </cell>
          <cell r="L319" t="str">
            <v>0</v>
          </cell>
          <cell r="M319" t="str">
            <v>100</v>
          </cell>
          <cell r="N319" t="str">
            <v>e_c_light_hit</v>
          </cell>
          <cell r="O319" t="str">
            <v>100</v>
          </cell>
        </row>
        <row r="320">
          <cell r="A320">
            <v>9501</v>
          </cell>
          <cell r="B320" t="str">
            <v>[b]诅咒信徒普攻[-]</v>
          </cell>
          <cell r="D320" t="str">
            <v>attack1</v>
          </cell>
          <cell r="I320" t="str">
            <v>0</v>
          </cell>
          <cell r="J320" t="str">
            <v>1200</v>
          </cell>
          <cell r="K320">
            <v>0</v>
          </cell>
          <cell r="L320">
            <v>600</v>
          </cell>
          <cell r="M320" t="str">
            <v>100</v>
          </cell>
          <cell r="N320" t="str">
            <v>e_c_a_attack1_hit_1</v>
          </cell>
          <cell r="O320" t="str">
            <v>3</v>
          </cell>
        </row>
        <row r="321">
          <cell r="A321">
            <v>9502</v>
          </cell>
          <cell r="B321" t="str">
            <v>[b]诅咒僧侣普攻[-]</v>
          </cell>
          <cell r="D321" t="str">
            <v>attack1</v>
          </cell>
          <cell r="I321" t="str">
            <v>0</v>
          </cell>
          <cell r="J321" t="str">
            <v>1000</v>
          </cell>
          <cell r="K321">
            <v>0</v>
          </cell>
          <cell r="L321">
            <v>420</v>
          </cell>
          <cell r="M321" t="str">
            <v>100</v>
          </cell>
          <cell r="N321" t="str">
            <v>e_c_a_attack1_hit_1</v>
          </cell>
          <cell r="O321" t="str">
            <v>3</v>
          </cell>
        </row>
        <row r="322">
          <cell r="A322">
            <v>9503</v>
          </cell>
          <cell r="B322" t="str">
            <v>[b]狼普攻[-]</v>
          </cell>
          <cell r="D322" t="str">
            <v>attack2</v>
          </cell>
          <cell r="I322" t="str">
            <v>0</v>
          </cell>
          <cell r="J322" t="str">
            <v>1000</v>
          </cell>
          <cell r="K322" t="str">
            <v>0</v>
          </cell>
          <cell r="L322" t="str">
            <v>450</v>
          </cell>
          <cell r="M322" t="str">
            <v>100</v>
          </cell>
          <cell r="N322" t="str">
            <v>e_c_a_attack1_hit_1</v>
          </cell>
          <cell r="O322" t="str">
            <v>3</v>
          </cell>
        </row>
        <row r="323">
          <cell r="A323">
            <v>9504</v>
          </cell>
          <cell r="B323" t="str">
            <v>[b]豺狼人普攻[-]</v>
          </cell>
          <cell r="D323" t="str">
            <v>attack2</v>
          </cell>
          <cell r="I323" t="str">
            <v>0</v>
          </cell>
          <cell r="J323" t="str">
            <v>1500</v>
          </cell>
          <cell r="K323" t="str">
            <v>0</v>
          </cell>
          <cell r="L323" t="str">
            <v>495</v>
          </cell>
          <cell r="M323" t="str">
            <v>100</v>
          </cell>
          <cell r="N323" t="str">
            <v>e_c_a_attack1_hit_1</v>
          </cell>
          <cell r="O323" t="str">
            <v>3</v>
          </cell>
        </row>
        <row r="324">
          <cell r="A324">
            <v>9505</v>
          </cell>
          <cell r="B324" t="str">
            <v>[b]豺狼人首领普攻[-]</v>
          </cell>
          <cell r="D324" t="str">
            <v>attack1</v>
          </cell>
          <cell r="I324" t="str">
            <v>0</v>
          </cell>
          <cell r="J324" t="str">
            <v>1733</v>
          </cell>
          <cell r="K324" t="str">
            <v>0</v>
          </cell>
          <cell r="L324" t="str">
            <v>640</v>
          </cell>
          <cell r="M324" t="str">
            <v>100</v>
          </cell>
          <cell r="N324" t="str">
            <v>e_c_a_attack1_hit_1</v>
          </cell>
          <cell r="O324" t="str">
            <v>3</v>
          </cell>
        </row>
        <row r="325">
          <cell r="A325">
            <v>9506</v>
          </cell>
          <cell r="B325" t="str">
            <v>[b]女妖普攻[-]</v>
          </cell>
          <cell r="D325" t="str">
            <v>attack1_01|attack1_02</v>
          </cell>
          <cell r="I325" t="str">
            <v>0</v>
          </cell>
          <cell r="J325" t="str">
            <v>867|467</v>
          </cell>
          <cell r="K325">
            <v>0</v>
          </cell>
          <cell r="L325">
            <v>866</v>
          </cell>
          <cell r="M325" t="str">
            <v>100</v>
          </cell>
          <cell r="N325" t="str">
            <v>e_c_a_attack1_hit_1</v>
          </cell>
          <cell r="O325" t="str">
            <v>3</v>
          </cell>
        </row>
        <row r="326">
          <cell r="A326">
            <v>9507</v>
          </cell>
          <cell r="B326" t="str">
            <v>[b]亡灵士兵普攻[-]</v>
          </cell>
          <cell r="D326" t="str">
            <v>attack2</v>
          </cell>
          <cell r="I326" t="str">
            <v>0</v>
          </cell>
          <cell r="J326" t="str">
            <v>1200</v>
          </cell>
          <cell r="K326">
            <v>0</v>
          </cell>
          <cell r="L326">
            <v>380</v>
          </cell>
          <cell r="M326" t="str">
            <v>100</v>
          </cell>
          <cell r="N326" t="str">
            <v>e_c_a_attack1_hit_1</v>
          </cell>
          <cell r="O326" t="str">
            <v>3</v>
          </cell>
        </row>
        <row r="327">
          <cell r="A327">
            <v>9508</v>
          </cell>
          <cell r="B327" t="str">
            <v>矮人普攻</v>
          </cell>
          <cell r="D327" t="str">
            <v>attack2</v>
          </cell>
          <cell r="I327" t="str">
            <v>0</v>
          </cell>
          <cell r="J327" t="str">
            <v>1600</v>
          </cell>
          <cell r="K327">
            <v>0</v>
          </cell>
          <cell r="L327">
            <v>640</v>
          </cell>
          <cell r="M327" t="str">
            <v>100</v>
          </cell>
          <cell r="N327" t="str">
            <v>e_c_a_attack1_hit_1</v>
          </cell>
          <cell r="O327" t="str">
            <v>3</v>
          </cell>
        </row>
        <row r="328">
          <cell r="A328">
            <v>9509</v>
          </cell>
          <cell r="B328" t="str">
            <v>元素普攻</v>
          </cell>
          <cell r="D328" t="str">
            <v>attack1</v>
          </cell>
          <cell r="I328" t="str">
            <v>0</v>
          </cell>
          <cell r="J328" t="str">
            <v>2100</v>
          </cell>
          <cell r="K328" t="str">
            <v>0</v>
          </cell>
          <cell r="L328" t="str">
            <v>668</v>
          </cell>
          <cell r="M328" t="str">
            <v>100</v>
          </cell>
          <cell r="N328" t="str">
            <v>e_c_a_attack1_hit_1</v>
          </cell>
          <cell r="O328" t="str">
            <v>3</v>
          </cell>
        </row>
        <row r="329">
          <cell r="A329">
            <v>9981</v>
          </cell>
          <cell r="B329" t="str">
            <v>[b]职业特质-嗜血[-]-1</v>
          </cell>
          <cell r="C329" t="str">
            <v>skill3_03</v>
          </cell>
          <cell r="E329" t="str">
            <v>skill2_03</v>
          </cell>
          <cell r="F329" t="str">
            <v>e_c_a_skill3_cast3</v>
          </cell>
          <cell r="I329" t="str">
            <v>250</v>
          </cell>
          <cell r="J329" t="str">
            <v>0</v>
          </cell>
          <cell r="K329">
            <v>666</v>
          </cell>
          <cell r="L329" t="str">
            <v>0</v>
          </cell>
          <cell r="M329" t="str">
            <v>100</v>
          </cell>
          <cell r="N329" t="str">
            <v>e_c_a_attack1_hit_4</v>
          </cell>
          <cell r="O329" t="str">
            <v>8</v>
          </cell>
        </row>
        <row r="330">
          <cell r="A330">
            <v>9982</v>
          </cell>
          <cell r="B330" t="str">
            <v>[b]职业特质-最终审判[-]</v>
          </cell>
          <cell r="D330" t="str">
            <v>attack1</v>
          </cell>
          <cell r="I330" t="str">
            <v>0</v>
          </cell>
          <cell r="J330" t="str">
            <v>1000</v>
          </cell>
          <cell r="K330" t="str">
            <v>1</v>
          </cell>
          <cell r="L330" t="str">
            <v>460</v>
          </cell>
          <cell r="M330" t="str">
            <v>100</v>
          </cell>
          <cell r="N330" t="str">
            <v>e_c_fire_hit_big</v>
          </cell>
          <cell r="O330" t="str">
            <v>10</v>
          </cell>
        </row>
        <row r="331">
          <cell r="A331">
            <v>9983</v>
          </cell>
          <cell r="B331" t="str">
            <v>[b]职业特质-黑魔之火[-]-3</v>
          </cell>
          <cell r="I331" t="str">
            <v>0</v>
          </cell>
          <cell r="J331" t="str">
            <v>1050</v>
          </cell>
          <cell r="K331" t="str">
            <v>0</v>
          </cell>
          <cell r="L331" t="str">
            <v>0</v>
          </cell>
          <cell r="M331" t="str">
            <v>100</v>
          </cell>
          <cell r="N331" t="str">
            <v>e_c_a_attack1_hit_4</v>
          </cell>
          <cell r="O331" t="str">
            <v>15</v>
          </cell>
        </row>
        <row r="332">
          <cell r="A332">
            <v>100001</v>
          </cell>
          <cell r="B332" t="str">
            <v>[b]战士普攻1[-]</v>
          </cell>
          <cell r="D332" t="str">
            <v>attack1_01</v>
          </cell>
          <cell r="E332" t="str">
            <v>attack1_02</v>
          </cell>
          <cell r="G332" t="str">
            <v>e_c_a_attack1_cast</v>
          </cell>
          <cell r="I332" t="str">
            <v>0</v>
          </cell>
          <cell r="J332" t="str">
            <v>500</v>
          </cell>
          <cell r="K332">
            <v>350</v>
          </cell>
          <cell r="L332">
            <v>250</v>
          </cell>
          <cell r="M332" t="str">
            <v>100</v>
          </cell>
          <cell r="N332" t="str">
            <v>e_c_a_attack1_hit_4</v>
          </cell>
          <cell r="O332" t="str">
            <v>3</v>
          </cell>
        </row>
        <row r="333">
          <cell r="A333">
            <v>100002</v>
          </cell>
          <cell r="B333" t="str">
            <v>[b]战士普攻2[-]</v>
          </cell>
          <cell r="D333" t="str">
            <v>attack2_01</v>
          </cell>
          <cell r="E333" t="str">
            <v>attack2_02</v>
          </cell>
          <cell r="G333" t="str">
            <v>e_c_a_attack2_cast</v>
          </cell>
          <cell r="I333" t="str">
            <v>0</v>
          </cell>
          <cell r="J333" t="str">
            <v>500</v>
          </cell>
          <cell r="K333">
            <v>350</v>
          </cell>
          <cell r="L333">
            <v>250</v>
          </cell>
          <cell r="M333" t="str">
            <v>100</v>
          </cell>
          <cell r="N333" t="str">
            <v>e_c_a_attack1_hit_4</v>
          </cell>
          <cell r="O333" t="str">
            <v>3</v>
          </cell>
        </row>
        <row r="334">
          <cell r="A334">
            <v>100003</v>
          </cell>
          <cell r="B334" t="str">
            <v>[b]战士普攻3[-]</v>
          </cell>
          <cell r="D334" t="str">
            <v>attack3_01</v>
          </cell>
          <cell r="E334" t="str">
            <v>attack3_02</v>
          </cell>
          <cell r="G334" t="str">
            <v>e_c_a_attack3_cast</v>
          </cell>
          <cell r="I334" t="str">
            <v>0</v>
          </cell>
          <cell r="J334" t="str">
            <v>500</v>
          </cell>
          <cell r="K334">
            <v>350</v>
          </cell>
          <cell r="L334">
            <v>250</v>
          </cell>
          <cell r="M334" t="str">
            <v>100</v>
          </cell>
          <cell r="N334" t="str">
            <v>e_c_a_attack1_hit_4</v>
          </cell>
          <cell r="O334" t="str">
            <v>3</v>
          </cell>
        </row>
        <row r="335">
          <cell r="A335">
            <v>100004</v>
          </cell>
          <cell r="B335" t="str">
            <v>[b]战士普攻4[-]</v>
          </cell>
          <cell r="D335" t="str">
            <v>attack2_01</v>
          </cell>
          <cell r="E335" t="str">
            <v>attack2_02</v>
          </cell>
          <cell r="G335" t="str">
            <v>e_c_a_attack2_cast</v>
          </cell>
          <cell r="I335" t="str">
            <v>0</v>
          </cell>
          <cell r="J335" t="str">
            <v>500</v>
          </cell>
          <cell r="K335">
            <v>350</v>
          </cell>
          <cell r="L335">
            <v>250</v>
          </cell>
          <cell r="M335" t="str">
            <v>100</v>
          </cell>
          <cell r="N335" t="str">
            <v>e_c_a_attack1_hit_4</v>
          </cell>
          <cell r="O335" t="str">
            <v>3</v>
          </cell>
        </row>
        <row r="336">
          <cell r="A336">
            <v>101010</v>
          </cell>
          <cell r="B336" t="str">
            <v>英勇飞跃</v>
          </cell>
          <cell r="C336" t="str">
            <v>skill1_01</v>
          </cell>
          <cell r="D336" t="str">
            <v>skill1_02</v>
          </cell>
          <cell r="E336" t="str">
            <v>skill1_03</v>
          </cell>
          <cell r="H336" t="str">
            <v>e_c_a_skill4_cast_delay</v>
          </cell>
          <cell r="I336" t="str">
            <v>100</v>
          </cell>
          <cell r="J336" t="str">
            <v>400</v>
          </cell>
          <cell r="K336">
            <v>500</v>
          </cell>
          <cell r="L336" t="str">
            <v>400</v>
          </cell>
          <cell r="M336" t="str">
            <v>100</v>
          </cell>
          <cell r="N336" t="str">
            <v>e_c_a_attack1_hit_4</v>
          </cell>
          <cell r="O336" t="str">
            <v>3</v>
          </cell>
        </row>
        <row r="337">
          <cell r="A337">
            <v>101020</v>
          </cell>
          <cell r="B337" t="str">
            <v>狂怒冲锋</v>
          </cell>
          <cell r="C337" t="str">
            <v>impact_01</v>
          </cell>
          <cell r="D337" t="str">
            <v>impact_02</v>
          </cell>
          <cell r="E337" t="str">
            <v>attack3_01</v>
          </cell>
          <cell r="G337" t="str">
            <v>e_c_a_skill_bullet</v>
          </cell>
          <cell r="I337" t="str">
            <v>0</v>
          </cell>
          <cell r="J337" t="str">
            <v>300</v>
          </cell>
          <cell r="K337">
            <v>300</v>
          </cell>
          <cell r="L337" t="str">
            <v>300</v>
          </cell>
          <cell r="M337" t="str">
            <v>100</v>
          </cell>
          <cell r="N337" t="str">
            <v>e_c_a_attack1_hit_4</v>
          </cell>
          <cell r="O337" t="str">
            <v>3</v>
          </cell>
        </row>
        <row r="338">
          <cell r="A338">
            <v>101030</v>
          </cell>
          <cell r="B338" t="str">
            <v>乘胜追击</v>
          </cell>
          <cell r="C338" t="str">
            <v>impact_01</v>
          </cell>
          <cell r="D338" t="str">
            <v>impact_02</v>
          </cell>
          <cell r="E338" t="str">
            <v>impact_03</v>
          </cell>
          <cell r="G338" t="str">
            <v>e_c_a_chargeassault</v>
          </cell>
          <cell r="I338" t="str">
            <v>0</v>
          </cell>
          <cell r="J338" t="str">
            <v>400</v>
          </cell>
          <cell r="K338">
            <v>300</v>
          </cell>
          <cell r="L338" t="str">
            <v>200</v>
          </cell>
          <cell r="M338" t="str">
            <v>100</v>
          </cell>
          <cell r="N338" t="str">
            <v>e_c_a_attack1_hit_4</v>
          </cell>
          <cell r="O338" t="str">
            <v>3</v>
          </cell>
        </row>
        <row r="339">
          <cell r="A339">
            <v>101040</v>
          </cell>
          <cell r="B339" t="str">
            <v>勇往直前</v>
          </cell>
          <cell r="C339" t="str">
            <v>impact_01</v>
          </cell>
          <cell r="D339" t="str">
            <v>impact_02</v>
          </cell>
          <cell r="E339" t="str">
            <v>attack3_01</v>
          </cell>
          <cell r="G339" t="str">
            <v>e_c_a_skill_bullet</v>
          </cell>
          <cell r="I339" t="str">
            <v>0</v>
          </cell>
          <cell r="J339" t="str">
            <v>300</v>
          </cell>
          <cell r="K339">
            <v>300</v>
          </cell>
          <cell r="L339" t="str">
            <v>300</v>
          </cell>
          <cell r="M339" t="str">
            <v>100</v>
          </cell>
          <cell r="N339" t="str">
            <v>e_c_a_attack1_hit_4</v>
          </cell>
          <cell r="O339" t="str">
            <v>3</v>
          </cell>
        </row>
        <row r="340">
          <cell r="A340">
            <v>102010</v>
          </cell>
          <cell r="B340" t="str">
            <v>大顺势斩</v>
          </cell>
          <cell r="C340" t="str">
            <v>skill2_01</v>
          </cell>
          <cell r="D340" t="str">
            <v>skill2_02</v>
          </cell>
          <cell r="E340" t="str">
            <v>skill2_03</v>
          </cell>
          <cell r="G340" t="str">
            <v>e_c_a_skill2_cast</v>
          </cell>
          <cell r="I340" t="str">
            <v>250</v>
          </cell>
          <cell r="J340" t="str">
            <v>500</v>
          </cell>
          <cell r="K340">
            <v>300</v>
          </cell>
          <cell r="L340" t="str">
            <v>100|250|400</v>
          </cell>
          <cell r="M340" t="str">
            <v>33|33|34</v>
          </cell>
          <cell r="N340" t="str">
            <v>e_c_a_attack1_hit_4|e_c_a_attack1_hit_4|e_c_a_attack1_hit_4</v>
          </cell>
          <cell r="O340" t="str">
            <v>3</v>
          </cell>
        </row>
        <row r="341">
          <cell r="A341">
            <v>102020</v>
          </cell>
          <cell r="B341" t="str">
            <v>剑刃风暴</v>
          </cell>
          <cell r="C341" t="str">
            <v>skill2_01</v>
          </cell>
          <cell r="I341" t="str">
            <v>250</v>
          </cell>
          <cell r="J341" t="str">
            <v>0</v>
          </cell>
          <cell r="K341">
            <v>0</v>
          </cell>
          <cell r="L341" t="str">
            <v>0</v>
          </cell>
          <cell r="M341" t="str">
            <v>100</v>
          </cell>
          <cell r="N341" t="str">
            <v>e_c_a_attack1_hit_4</v>
          </cell>
          <cell r="O341" t="str">
            <v>3</v>
          </cell>
        </row>
        <row r="342">
          <cell r="A342">
            <v>102030</v>
          </cell>
          <cell r="B342" t="str">
            <v>震荡波</v>
          </cell>
          <cell r="C342" t="str">
            <v>skill3_03</v>
          </cell>
          <cell r="E342" t="str">
            <v>skill2_03</v>
          </cell>
          <cell r="F342" t="str">
            <v>e_c_a_skill3_cast3</v>
          </cell>
          <cell r="I342" t="str">
            <v>250</v>
          </cell>
          <cell r="J342" t="str">
            <v>0</v>
          </cell>
          <cell r="K342">
            <v>666</v>
          </cell>
          <cell r="L342" t="str">
            <v>0</v>
          </cell>
          <cell r="M342" t="str">
            <v>100</v>
          </cell>
          <cell r="N342" t="str">
            <v>e_c_a_attack1_hit_4</v>
          </cell>
          <cell r="O342" t="str">
            <v>8</v>
          </cell>
        </row>
        <row r="343">
          <cell r="A343">
            <v>102040</v>
          </cell>
          <cell r="B343" t="str">
            <v>翻江倒海</v>
          </cell>
          <cell r="C343" t="str">
            <v>skill2_01</v>
          </cell>
          <cell r="D343" t="str">
            <v>skill8</v>
          </cell>
          <cell r="E343" t="str">
            <v>skill2_03</v>
          </cell>
          <cell r="G343" t="str">
            <v>e_c_a_skill2_3_cast</v>
          </cell>
          <cell r="I343" t="str">
            <v>250</v>
          </cell>
          <cell r="J343" t="str">
            <v>800</v>
          </cell>
          <cell r="K343">
            <v>400</v>
          </cell>
          <cell r="L343" t="str">
            <v>350</v>
          </cell>
          <cell r="M343" t="str">
            <v>100</v>
          </cell>
          <cell r="N343" t="str">
            <v>e_c_a_attack1_hit_4</v>
          </cell>
          <cell r="O343" t="str">
            <v>5</v>
          </cell>
        </row>
        <row r="344">
          <cell r="A344">
            <v>103010</v>
          </cell>
          <cell r="B344" t="str">
            <v>血之气息</v>
          </cell>
          <cell r="D344" t="str">
            <v>skill5</v>
          </cell>
          <cell r="I344" t="str">
            <v>0</v>
          </cell>
          <cell r="J344" t="str">
            <v>1000</v>
          </cell>
          <cell r="K344">
            <v>0</v>
          </cell>
          <cell r="L344" t="str">
            <v>250</v>
          </cell>
          <cell r="M344" t="str">
            <v>100</v>
          </cell>
          <cell r="N344" t="str">
            <v>e_c_a_attack1_hit_4</v>
          </cell>
          <cell r="O344" t="str">
            <v>3</v>
          </cell>
        </row>
        <row r="345">
          <cell r="A345">
            <v>103020</v>
          </cell>
          <cell r="B345" t="str">
            <v>狂怒回复</v>
          </cell>
          <cell r="D345" t="str">
            <v>skill5</v>
          </cell>
          <cell r="I345" t="str">
            <v>0</v>
          </cell>
          <cell r="J345" t="str">
            <v>1000</v>
          </cell>
          <cell r="K345">
            <v>0</v>
          </cell>
          <cell r="L345" t="str">
            <v>250</v>
          </cell>
          <cell r="M345" t="str">
            <v>100</v>
          </cell>
          <cell r="N345" t="str">
            <v>e_c_a_attack1_hit_4</v>
          </cell>
          <cell r="O345" t="str">
            <v>3</v>
          </cell>
        </row>
        <row r="346">
          <cell r="A346">
            <v>103030</v>
          </cell>
          <cell r="B346" t="str">
            <v>破胆怒吼</v>
          </cell>
          <cell r="D346" t="str">
            <v>skill5</v>
          </cell>
          <cell r="I346" t="str">
            <v>0</v>
          </cell>
          <cell r="J346" t="str">
            <v>1000</v>
          </cell>
          <cell r="K346">
            <v>0</v>
          </cell>
          <cell r="L346" t="str">
            <v>250</v>
          </cell>
          <cell r="M346" t="str">
            <v>100</v>
          </cell>
          <cell r="N346" t="str">
            <v>e_c_a_attack1_hit_4</v>
          </cell>
          <cell r="O346" t="str">
            <v>3</v>
          </cell>
        </row>
        <row r="347">
          <cell r="A347">
            <v>103040</v>
          </cell>
          <cell r="B347" t="str">
            <v>无所畏惧</v>
          </cell>
          <cell r="D347" t="str">
            <v>skill5</v>
          </cell>
          <cell r="I347" t="str">
            <v>0</v>
          </cell>
          <cell r="J347" t="str">
            <v>1000</v>
          </cell>
          <cell r="K347">
            <v>0</v>
          </cell>
          <cell r="L347" t="str">
            <v>250</v>
          </cell>
          <cell r="M347" t="str">
            <v>100</v>
          </cell>
          <cell r="N347" t="str">
            <v>e_c_a_attack1_hit_4</v>
          </cell>
          <cell r="O347" t="str">
            <v>3</v>
          </cell>
        </row>
        <row r="348">
          <cell r="A348">
            <v>104010</v>
          </cell>
          <cell r="B348" t="str">
            <v>狂风打击</v>
          </cell>
          <cell r="D348" t="str">
            <v>attack1_01|attack2_01</v>
          </cell>
          <cell r="E348" t="str">
            <v>attack2_02</v>
          </cell>
          <cell r="G348" t="str">
            <v>e_c_a_attack1_cast|e_c_a_attack2_cast</v>
          </cell>
          <cell r="I348" t="str">
            <v>0</v>
          </cell>
          <cell r="J348" t="str">
            <v>500|500</v>
          </cell>
          <cell r="K348" t="str">
            <v>350</v>
          </cell>
          <cell r="L348" t="str">
            <v>450|950</v>
          </cell>
          <cell r="M348" t="str">
            <v>50|50</v>
          </cell>
          <cell r="N348" t="str">
            <v>e_c_a_attack1_hit_4</v>
          </cell>
          <cell r="O348" t="str">
            <v>3</v>
          </cell>
        </row>
        <row r="349">
          <cell r="A349">
            <v>104020</v>
          </cell>
          <cell r="B349" t="str">
            <v>绞肉机</v>
          </cell>
          <cell r="D349" t="str">
            <v>skill4_01</v>
          </cell>
          <cell r="E349" t="str">
            <v>skill4_02</v>
          </cell>
          <cell r="G349" t="str">
            <v>e_c_a_skill4_cast</v>
          </cell>
          <cell r="I349" t="str">
            <v>0</v>
          </cell>
          <cell r="J349" t="str">
            <v>1200</v>
          </cell>
          <cell r="K349">
            <v>300</v>
          </cell>
          <cell r="L349" t="str">
            <v>1020</v>
          </cell>
          <cell r="M349" t="str">
            <v>100</v>
          </cell>
          <cell r="N349" t="str">
            <v>e_c_a_attack1_hit_4</v>
          </cell>
          <cell r="O349" t="str">
            <v>8</v>
          </cell>
        </row>
        <row r="350">
          <cell r="A350">
            <v>104030</v>
          </cell>
          <cell r="B350" t="str">
            <v>平静意志</v>
          </cell>
          <cell r="D350" t="str">
            <v>skill5</v>
          </cell>
          <cell r="I350" t="str">
            <v>0</v>
          </cell>
          <cell r="J350" t="str">
            <v>1000</v>
          </cell>
          <cell r="K350">
            <v>0</v>
          </cell>
          <cell r="L350" t="str">
            <v>250</v>
          </cell>
          <cell r="M350" t="str">
            <v>100</v>
          </cell>
          <cell r="N350" t="str">
            <v>e_c_a_attack1_hit_4</v>
          </cell>
          <cell r="O350" t="str">
            <v>3</v>
          </cell>
        </row>
        <row r="351">
          <cell r="A351">
            <v>104040</v>
          </cell>
          <cell r="B351" t="str">
            <v>无敌斩</v>
          </cell>
          <cell r="D351" t="str">
            <v>attack1_01|attack2_01|attack1_01|attack2_01|attack1_01|attack2_01</v>
          </cell>
          <cell r="G351" t="str">
            <v>e_c_a_skill_light|e_c_a_skill_light|e_c_a_skill_light|e_c_a_skill_light|e_c_a_skill_light|e_c_a_skill_light</v>
          </cell>
          <cell r="I351" t="str">
            <v>0</v>
          </cell>
          <cell r="J351" t="str">
            <v>300|300|300|300|300|300</v>
          </cell>
          <cell r="K351">
            <v>0</v>
          </cell>
          <cell r="L351" t="str">
            <v>150|450|750|1050|1350|1650</v>
          </cell>
          <cell r="M351" t="str">
            <v>16|16|17|17|17|17</v>
          </cell>
          <cell r="N351" t="str">
            <v>e_c_a_attack1_hit_4|e_c_a_attack1_hit_4|e_c_a_attack1_hit_4|e_c_a_attack1_hit_4|e_c_a_attack1_hit_4|e_c_a_attack1_hit_4</v>
          </cell>
          <cell r="O351" t="str">
            <v>8</v>
          </cell>
        </row>
        <row r="352">
          <cell r="A352">
            <v>200001</v>
          </cell>
          <cell r="B352" t="str">
            <v>[b]骑士普攻1[-]</v>
          </cell>
          <cell r="D352" t="str">
            <v>attack1_01</v>
          </cell>
          <cell r="E352" t="str">
            <v>attack1_02</v>
          </cell>
          <cell r="G352" t="str">
            <v>e_c_e_attack1_cast</v>
          </cell>
          <cell r="I352" t="str">
            <v>0</v>
          </cell>
          <cell r="J352" t="str">
            <v>500</v>
          </cell>
          <cell r="K352">
            <v>350</v>
          </cell>
          <cell r="L352" t="str">
            <v>250</v>
          </cell>
          <cell r="M352" t="str">
            <v>100</v>
          </cell>
          <cell r="N352" t="str">
            <v>e_c_a_attack1_hit_3</v>
          </cell>
          <cell r="O352" t="str">
            <v>3</v>
          </cell>
        </row>
        <row r="353">
          <cell r="A353">
            <v>200002</v>
          </cell>
          <cell r="B353" t="str">
            <v>[b]骑士普攻2[-]</v>
          </cell>
          <cell r="D353" t="str">
            <v>attack2_01</v>
          </cell>
          <cell r="E353" t="str">
            <v>attack2_02</v>
          </cell>
          <cell r="G353" t="str">
            <v>e_c_e_attack2_cast</v>
          </cell>
          <cell r="I353" t="str">
            <v>0</v>
          </cell>
          <cell r="J353" t="str">
            <v>500</v>
          </cell>
          <cell r="K353">
            <v>350</v>
          </cell>
          <cell r="L353" t="str">
            <v>250</v>
          </cell>
          <cell r="M353" t="str">
            <v>100</v>
          </cell>
          <cell r="N353" t="str">
            <v>e_c_a_attack1_hit_3</v>
          </cell>
          <cell r="O353" t="str">
            <v>3</v>
          </cell>
        </row>
        <row r="354">
          <cell r="A354">
            <v>200003</v>
          </cell>
          <cell r="B354" t="str">
            <v>[b]骑士普攻3[-]</v>
          </cell>
          <cell r="D354" t="str">
            <v>attack3_01</v>
          </cell>
          <cell r="E354" t="str">
            <v>attack3_02</v>
          </cell>
          <cell r="G354" t="str">
            <v>e_c_e_attack3_cast</v>
          </cell>
          <cell r="I354" t="str">
            <v>0</v>
          </cell>
          <cell r="J354" t="str">
            <v>500</v>
          </cell>
          <cell r="K354">
            <v>350</v>
          </cell>
          <cell r="L354" t="str">
            <v>250</v>
          </cell>
          <cell r="M354" t="str">
            <v>100</v>
          </cell>
          <cell r="N354" t="str">
            <v>e_c_a_attack1_hit_3</v>
          </cell>
          <cell r="O354" t="str">
            <v>3</v>
          </cell>
        </row>
        <row r="355">
          <cell r="A355">
            <v>200004</v>
          </cell>
          <cell r="B355" t="str">
            <v>[b]骑士普攻4[-]</v>
          </cell>
          <cell r="D355" t="str">
            <v>attack2_01</v>
          </cell>
          <cell r="E355" t="str">
            <v>attack2_02</v>
          </cell>
          <cell r="G355" t="str">
            <v>e_c_e_attack2_cast</v>
          </cell>
          <cell r="I355" t="str">
            <v>0</v>
          </cell>
          <cell r="J355" t="str">
            <v>500</v>
          </cell>
          <cell r="K355">
            <v>350</v>
          </cell>
          <cell r="L355" t="str">
            <v>250</v>
          </cell>
          <cell r="M355" t="str">
            <v>100</v>
          </cell>
          <cell r="N355" t="str">
            <v>e_c_a_attack1_hit_3</v>
          </cell>
          <cell r="O355" t="str">
            <v>3</v>
          </cell>
        </row>
        <row r="356">
          <cell r="A356">
            <v>201010</v>
          </cell>
          <cell r="B356" t="str">
            <v>复仇之盾</v>
          </cell>
          <cell r="D356" t="str">
            <v>attack3_01</v>
          </cell>
          <cell r="E356" t="str">
            <v>attack3_02</v>
          </cell>
          <cell r="G356" t="str">
            <v>e_c_e_skill2_cast</v>
          </cell>
          <cell r="I356" t="str">
            <v>0</v>
          </cell>
          <cell r="J356" t="str">
            <v>400</v>
          </cell>
          <cell r="K356" t="str">
            <v>350</v>
          </cell>
          <cell r="L356" t="str">
            <v>300</v>
          </cell>
          <cell r="M356" t="str">
            <v>100</v>
          </cell>
          <cell r="N356" t="str">
            <v>e_c_a_attack1_hit_3</v>
          </cell>
          <cell r="O356" t="str">
            <v>3</v>
          </cell>
        </row>
        <row r="357">
          <cell r="A357">
            <v>201020</v>
          </cell>
          <cell r="B357" t="str">
            <v>狮心之盾</v>
          </cell>
          <cell r="C357" t="str">
            <v>skill2_01</v>
          </cell>
          <cell r="D357" t="str">
            <v>attack3_01</v>
          </cell>
          <cell r="E357" t="str">
            <v>attack3_02</v>
          </cell>
          <cell r="G357" t="str">
            <v>e_c_e_skill2_cast</v>
          </cell>
          <cell r="I357" t="str">
            <v>0</v>
          </cell>
          <cell r="J357" t="str">
            <v>300</v>
          </cell>
          <cell r="K357">
            <v>300</v>
          </cell>
          <cell r="L357" t="str">
            <v>300</v>
          </cell>
          <cell r="M357" t="str">
            <v>100</v>
          </cell>
          <cell r="N357" t="str">
            <v>e_c_a_attack1_hit_4</v>
          </cell>
          <cell r="O357" t="str">
            <v>10</v>
          </cell>
        </row>
        <row r="358">
          <cell r="A358">
            <v>201030</v>
          </cell>
          <cell r="B358" t="str">
            <v>俯冲之盾</v>
          </cell>
          <cell r="D358" t="str">
            <v>skill8</v>
          </cell>
          <cell r="G358" t="str">
            <v>e_c_e_skill8_cast</v>
          </cell>
          <cell r="I358" t="str">
            <v>0</v>
          </cell>
          <cell r="J358" t="str">
            <v>1200</v>
          </cell>
          <cell r="K358" t="str">
            <v>0</v>
          </cell>
          <cell r="L358" t="str">
            <v>600</v>
          </cell>
          <cell r="M358" t="str">
            <v>100</v>
          </cell>
          <cell r="N358" t="str">
            <v>e_c_a_attack1_hit_3</v>
          </cell>
          <cell r="O358" t="str">
            <v>8</v>
          </cell>
        </row>
        <row r="359">
          <cell r="A359">
            <v>201040</v>
          </cell>
          <cell r="B359" t="str">
            <v>神圣之盾</v>
          </cell>
          <cell r="C359" t="str">
            <v>skill5_01</v>
          </cell>
          <cell r="D359" t="str">
            <v>skill5_02</v>
          </cell>
          <cell r="E359" t="str">
            <v>skill5_03</v>
          </cell>
          <cell r="G359" t="str">
            <v>e_c_n_02_bullet</v>
          </cell>
          <cell r="I359" t="str">
            <v>50</v>
          </cell>
          <cell r="J359" t="str">
            <v>600</v>
          </cell>
          <cell r="K359" t="str">
            <v>600</v>
          </cell>
          <cell r="L359" t="str">
            <v>600</v>
          </cell>
          <cell r="M359" t="str">
            <v>100</v>
          </cell>
          <cell r="N359" t="str">
            <v>e_c_a_attack1_hit_3</v>
          </cell>
          <cell r="O359" t="str">
            <v>8</v>
          </cell>
        </row>
        <row r="360">
          <cell r="A360">
            <v>202010</v>
          </cell>
          <cell r="B360" t="str">
            <v>审判之锤</v>
          </cell>
          <cell r="D360" t="str">
            <v>prepare</v>
          </cell>
          <cell r="G360" t="str">
            <v>e_c_e_skill1_cast</v>
          </cell>
          <cell r="I360" t="str">
            <v>0</v>
          </cell>
          <cell r="J360" t="str">
            <v>1000</v>
          </cell>
          <cell r="K360" t="str">
            <v>0</v>
          </cell>
          <cell r="L360" t="str">
            <v>0</v>
          </cell>
          <cell r="M360" t="str">
            <v>100</v>
          </cell>
          <cell r="N360" t="str">
            <v>e_c_holy_hit</v>
          </cell>
          <cell r="O360" t="str">
            <v>8</v>
          </cell>
        </row>
        <row r="361">
          <cell r="A361">
            <v>202020</v>
          </cell>
          <cell r="B361" t="str">
            <v>光明之锤</v>
          </cell>
          <cell r="C361" t="str">
            <v>skill5_01</v>
          </cell>
          <cell r="D361" t="str">
            <v>skill5_02</v>
          </cell>
          <cell r="E361" t="str">
            <v>skill5_03</v>
          </cell>
          <cell r="I361" t="str">
            <v>400</v>
          </cell>
          <cell r="J361" t="str">
            <v>700</v>
          </cell>
          <cell r="K361" t="str">
            <v>500</v>
          </cell>
          <cell r="L361" t="str">
            <v>1100</v>
          </cell>
          <cell r="M361" t="str">
            <v>100</v>
          </cell>
          <cell r="N361" t="str">
            <v>e_c_holy_hit</v>
          </cell>
          <cell r="O361" t="str">
            <v>3</v>
          </cell>
        </row>
        <row r="362">
          <cell r="A362">
            <v>202030</v>
          </cell>
          <cell r="B362" t="str">
            <v>神圣奉献</v>
          </cell>
          <cell r="D362" t="str">
            <v>prepare</v>
          </cell>
          <cell r="G362" t="str">
            <v>e_c_e_skill1_cast</v>
          </cell>
          <cell r="I362" t="str">
            <v>0</v>
          </cell>
          <cell r="J362" t="str">
            <v>1000</v>
          </cell>
          <cell r="K362" t="str">
            <v>0</v>
          </cell>
          <cell r="L362" t="str">
            <v>600</v>
          </cell>
          <cell r="M362" t="str">
            <v>100</v>
          </cell>
          <cell r="N362" t="str">
            <v>e_c_holy_hit</v>
          </cell>
          <cell r="O362" t="str">
            <v>3</v>
          </cell>
        </row>
        <row r="363">
          <cell r="A363">
            <v>202040</v>
          </cell>
          <cell r="B363" t="str">
            <v>神圣愤怒</v>
          </cell>
          <cell r="C363" t="str">
            <v>skill5_01</v>
          </cell>
          <cell r="D363" t="str">
            <v>skill5_02</v>
          </cell>
          <cell r="E363" t="str">
            <v>skill5_03</v>
          </cell>
          <cell r="I363" t="str">
            <v>400</v>
          </cell>
          <cell r="J363" t="str">
            <v>700</v>
          </cell>
          <cell r="K363" t="str">
            <v>500</v>
          </cell>
          <cell r="L363" t="str">
            <v>350</v>
          </cell>
          <cell r="M363" t="str">
            <v>100</v>
          </cell>
          <cell r="N363" t="str">
            <v>e_c_holy_hit</v>
          </cell>
          <cell r="O363" t="str">
            <v>8</v>
          </cell>
        </row>
        <row r="364">
          <cell r="A364">
            <v>203010</v>
          </cell>
          <cell r="B364" t="str">
            <v>勇气圣印</v>
          </cell>
          <cell r="C364" t="str">
            <v>skill4_01</v>
          </cell>
          <cell r="D364" t="str">
            <v>skill4_02</v>
          </cell>
          <cell r="E364" t="str">
            <v>skill4_03</v>
          </cell>
          <cell r="I364" t="str">
            <v>300</v>
          </cell>
          <cell r="J364" t="str">
            <v>600</v>
          </cell>
          <cell r="K364" t="str">
            <v>400</v>
          </cell>
          <cell r="L364" t="str">
            <v>400</v>
          </cell>
          <cell r="M364" t="str">
            <v>100</v>
          </cell>
          <cell r="O364" t="str">
            <v>3</v>
          </cell>
        </row>
        <row r="365">
          <cell r="A365">
            <v>203020</v>
          </cell>
          <cell r="B365" t="str">
            <v>圣疗术</v>
          </cell>
          <cell r="D365" t="str">
            <v>prepare</v>
          </cell>
          <cell r="G365" t="str">
            <v>e_c_e_skill1_cast</v>
          </cell>
          <cell r="I365" t="str">
            <v>0</v>
          </cell>
          <cell r="J365" t="str">
            <v>1000</v>
          </cell>
          <cell r="K365" t="str">
            <v>0</v>
          </cell>
          <cell r="L365" t="str">
            <v>600</v>
          </cell>
          <cell r="M365" t="str">
            <v>100</v>
          </cell>
          <cell r="O365" t="str">
            <v>3</v>
          </cell>
        </row>
        <row r="366">
          <cell r="A366">
            <v>203030</v>
          </cell>
          <cell r="B366" t="str">
            <v>荣耀圣令</v>
          </cell>
          <cell r="C366" t="str">
            <v>skill4_01</v>
          </cell>
          <cell r="D366" t="str">
            <v>skill4_02</v>
          </cell>
          <cell r="E366" t="str">
            <v>skill4_03</v>
          </cell>
          <cell r="I366" t="str">
            <v>300</v>
          </cell>
          <cell r="J366" t="str">
            <v>600</v>
          </cell>
          <cell r="K366" t="str">
            <v>400</v>
          </cell>
          <cell r="L366" t="str">
            <v>400</v>
          </cell>
          <cell r="M366" t="str">
            <v>100</v>
          </cell>
          <cell r="O366" t="str">
            <v>5</v>
          </cell>
        </row>
        <row r="367">
          <cell r="A367">
            <v>203040</v>
          </cell>
          <cell r="B367" t="str">
            <v>勇猛征伐</v>
          </cell>
          <cell r="C367" t="str">
            <v>skill4_01</v>
          </cell>
          <cell r="D367" t="str">
            <v>skill4_02</v>
          </cell>
          <cell r="E367" t="str">
            <v>skill4_03</v>
          </cell>
          <cell r="I367" t="str">
            <v>300</v>
          </cell>
          <cell r="J367" t="str">
            <v>600</v>
          </cell>
          <cell r="K367" t="str">
            <v>400</v>
          </cell>
          <cell r="L367" t="str">
            <v>400</v>
          </cell>
          <cell r="M367" t="str">
            <v>100</v>
          </cell>
          <cell r="O367" t="str">
            <v>3</v>
          </cell>
        </row>
        <row r="368">
          <cell r="A368">
            <v>204010</v>
          </cell>
          <cell r="B368" t="str">
            <v>狂热惩戒</v>
          </cell>
          <cell r="D368" t="str">
            <v>attack1_01|attack2_01</v>
          </cell>
          <cell r="E368" t="str">
            <v>attack2_02</v>
          </cell>
          <cell r="G368" t="str">
            <v>e_c_e_attack1_cast|e_c_e_attack2_cast</v>
          </cell>
          <cell r="I368" t="str">
            <v>0</v>
          </cell>
          <cell r="J368" t="str">
            <v>500|500</v>
          </cell>
          <cell r="K368" t="str">
            <v>350</v>
          </cell>
          <cell r="L368" t="str">
            <v>450|950</v>
          </cell>
          <cell r="M368" t="str">
            <v>50|50</v>
          </cell>
          <cell r="N368" t="str">
            <v>e_c_a_attack1_hit_4</v>
          </cell>
          <cell r="O368" t="str">
            <v>3</v>
          </cell>
        </row>
        <row r="369">
          <cell r="A369">
            <v>204020</v>
          </cell>
          <cell r="B369" t="str">
            <v>圣洁怒火</v>
          </cell>
          <cell r="D369" t="str">
            <v>prepare</v>
          </cell>
          <cell r="I369" t="str">
            <v>0</v>
          </cell>
          <cell r="J369" t="str">
            <v>1000</v>
          </cell>
          <cell r="K369" t="str">
            <v>0</v>
          </cell>
          <cell r="L369" t="str">
            <v>600</v>
          </cell>
          <cell r="M369" t="str">
            <v>100</v>
          </cell>
          <cell r="N369" t="str">
            <v>e_c_holy_hit</v>
          </cell>
          <cell r="O369" t="str">
            <v>3</v>
          </cell>
        </row>
        <row r="370">
          <cell r="A370">
            <v>204030</v>
          </cell>
          <cell r="B370" t="str">
            <v>信仰道标</v>
          </cell>
          <cell r="C370" t="str">
            <v>skill4_01</v>
          </cell>
          <cell r="D370" t="str">
            <v>skill4_02</v>
          </cell>
          <cell r="E370" t="str">
            <v>skill4_03</v>
          </cell>
          <cell r="I370" t="str">
            <v>300</v>
          </cell>
          <cell r="J370" t="str">
            <v>600</v>
          </cell>
          <cell r="K370" t="str">
            <v>400</v>
          </cell>
          <cell r="L370" t="str">
            <v>400</v>
          </cell>
          <cell r="M370" t="str">
            <v>100</v>
          </cell>
          <cell r="O370" t="str">
            <v>3</v>
          </cell>
        </row>
        <row r="371">
          <cell r="A371">
            <v>204040</v>
          </cell>
          <cell r="B371" t="str">
            <v>神圣干涉</v>
          </cell>
          <cell r="C371" t="str">
            <v>skill4_01</v>
          </cell>
          <cell r="D371" t="str">
            <v>skill4_02</v>
          </cell>
          <cell r="E371" t="str">
            <v>skill4_03</v>
          </cell>
          <cell r="I371" t="str">
            <v>300</v>
          </cell>
          <cell r="J371" t="str">
            <v>600</v>
          </cell>
          <cell r="K371" t="str">
            <v>400</v>
          </cell>
          <cell r="L371" t="str">
            <v>400</v>
          </cell>
          <cell r="M371" t="str">
            <v>100</v>
          </cell>
          <cell r="O371" t="str">
            <v>3</v>
          </cell>
        </row>
        <row r="372">
          <cell r="A372">
            <v>300001</v>
          </cell>
          <cell r="B372" t="str">
            <v>[b]法师普攻1[-]</v>
          </cell>
          <cell r="C372" t="str">
            <v>attack1_01</v>
          </cell>
          <cell r="E372" t="str">
            <v>attack1_02</v>
          </cell>
          <cell r="I372" t="str">
            <v>660</v>
          </cell>
          <cell r="J372" t="str">
            <v>1</v>
          </cell>
          <cell r="K372" t="str">
            <v>500</v>
          </cell>
          <cell r="L372" t="str">
            <v>1</v>
          </cell>
          <cell r="M372" t="str">
            <v>100</v>
          </cell>
          <cell r="N372" t="str">
            <v>e_c_ice_hit_big</v>
          </cell>
          <cell r="O372" t="str">
            <v>5</v>
          </cell>
        </row>
        <row r="373">
          <cell r="A373">
            <v>300002</v>
          </cell>
          <cell r="B373" t="str">
            <v>[b]法师普攻2[-]</v>
          </cell>
          <cell r="C373" t="str">
            <v>attack2_01</v>
          </cell>
          <cell r="E373" t="str">
            <v>attack2_02</v>
          </cell>
          <cell r="I373" t="str">
            <v>660</v>
          </cell>
          <cell r="J373" t="str">
            <v>1</v>
          </cell>
          <cell r="K373" t="str">
            <v>500</v>
          </cell>
          <cell r="L373" t="str">
            <v>1</v>
          </cell>
          <cell r="M373" t="str">
            <v>100</v>
          </cell>
          <cell r="N373" t="str">
            <v>e_c_ice_hit_big</v>
          </cell>
          <cell r="O373" t="str">
            <v>5</v>
          </cell>
        </row>
        <row r="374">
          <cell r="A374">
            <v>300003</v>
          </cell>
          <cell r="B374" t="str">
            <v>[b]法师普攻3[-]</v>
          </cell>
          <cell r="C374" t="str">
            <v>attack3_01</v>
          </cell>
          <cell r="E374" t="str">
            <v>attack3_02</v>
          </cell>
          <cell r="I374" t="str">
            <v>800</v>
          </cell>
          <cell r="J374" t="str">
            <v>1</v>
          </cell>
          <cell r="K374" t="str">
            <v>500</v>
          </cell>
          <cell r="L374" t="str">
            <v>1</v>
          </cell>
          <cell r="M374" t="str">
            <v>100</v>
          </cell>
          <cell r="N374" t="str">
            <v>e_c_ice_hit_big</v>
          </cell>
          <cell r="O374" t="str">
            <v>5</v>
          </cell>
        </row>
        <row r="375">
          <cell r="A375">
            <v>300004</v>
          </cell>
          <cell r="B375" t="str">
            <v>[b]法师普攻4[-]</v>
          </cell>
          <cell r="C375" t="str">
            <v>attack2_01</v>
          </cell>
          <cell r="E375" t="str">
            <v>attack2_02</v>
          </cell>
          <cell r="I375" t="str">
            <v>660</v>
          </cell>
          <cell r="J375" t="str">
            <v>1</v>
          </cell>
          <cell r="K375" t="str">
            <v>500</v>
          </cell>
          <cell r="L375" t="str">
            <v>1</v>
          </cell>
          <cell r="M375" t="str">
            <v>100</v>
          </cell>
          <cell r="N375" t="str">
            <v>e_c_ice_hit_big</v>
          </cell>
          <cell r="O375" t="str">
            <v>5</v>
          </cell>
        </row>
        <row r="376">
          <cell r="A376">
            <v>301010</v>
          </cell>
          <cell r="B376" t="str">
            <v>火焰冲击</v>
          </cell>
          <cell r="C376" t="str">
            <v>attack1_01</v>
          </cell>
          <cell r="E376" t="str">
            <v>attack1_02</v>
          </cell>
          <cell r="I376" t="str">
            <v>660</v>
          </cell>
          <cell r="J376" t="str">
            <v>1</v>
          </cell>
          <cell r="K376" t="str">
            <v>500</v>
          </cell>
          <cell r="L376" t="str">
            <v>1</v>
          </cell>
          <cell r="M376" t="str">
            <v>100</v>
          </cell>
          <cell r="N376" t="str">
            <v>e_c_fire_hit_big</v>
          </cell>
          <cell r="O376" t="str">
            <v>10</v>
          </cell>
        </row>
        <row r="377">
          <cell r="A377">
            <v>301020</v>
          </cell>
          <cell r="B377" t="str">
            <v>火球术</v>
          </cell>
          <cell r="C377" t="str">
            <v>attack1_01</v>
          </cell>
          <cell r="E377" t="str">
            <v>attack1_02</v>
          </cell>
          <cell r="I377" t="str">
            <v>660</v>
          </cell>
          <cell r="J377" t="str">
            <v>1</v>
          </cell>
          <cell r="K377" t="str">
            <v>500</v>
          </cell>
          <cell r="L377" t="str">
            <v>1</v>
          </cell>
          <cell r="M377" t="str">
            <v>100</v>
          </cell>
          <cell r="N377" t="str">
            <v>e_c_ice_hit_big</v>
          </cell>
          <cell r="O377" t="str">
            <v>10</v>
          </cell>
        </row>
        <row r="378">
          <cell r="A378">
            <v>301030</v>
          </cell>
          <cell r="B378" t="str">
            <v>炎爆</v>
          </cell>
          <cell r="C378" t="str">
            <v>attack1_01</v>
          </cell>
          <cell r="E378" t="str">
            <v>attack1_02</v>
          </cell>
          <cell r="I378" t="str">
            <v>660</v>
          </cell>
          <cell r="J378" t="str">
            <v>1</v>
          </cell>
          <cell r="K378" t="str">
            <v>500</v>
          </cell>
          <cell r="L378" t="str">
            <v>1</v>
          </cell>
          <cell r="M378" t="str">
            <v>100</v>
          </cell>
          <cell r="N378" t="str">
            <v>e_c_fire_hit_big</v>
          </cell>
          <cell r="O378" t="str">
            <v>10</v>
          </cell>
        </row>
        <row r="379">
          <cell r="A379">
            <v>301040</v>
          </cell>
          <cell r="B379" t="str">
            <v>律令死亡</v>
          </cell>
          <cell r="C379" t="str">
            <v>attack1_01</v>
          </cell>
          <cell r="E379" t="str">
            <v>attack1_02</v>
          </cell>
          <cell r="I379" t="str">
            <v>660</v>
          </cell>
          <cell r="J379" t="str">
            <v>1</v>
          </cell>
          <cell r="K379" t="str">
            <v>500</v>
          </cell>
          <cell r="L379" t="str">
            <v>1</v>
          </cell>
          <cell r="M379" t="str">
            <v>100</v>
          </cell>
          <cell r="N379" t="str">
            <v>e_c_fire_hit_big</v>
          </cell>
          <cell r="O379" t="str">
            <v>10</v>
          </cell>
        </row>
        <row r="380">
          <cell r="A380">
            <v>302010</v>
          </cell>
          <cell r="B380" t="str">
            <v>暴风雪</v>
          </cell>
          <cell r="C380" t="str">
            <v>skill4_01</v>
          </cell>
          <cell r="D380" t="str">
            <v>skill4_02</v>
          </cell>
          <cell r="E380" t="str">
            <v>skill4_03</v>
          </cell>
          <cell r="F380" t="str">
            <v>e_c_d_skill1_cast</v>
          </cell>
          <cell r="I380" t="str">
            <v>250</v>
          </cell>
          <cell r="J380" t="str">
            <v>700</v>
          </cell>
          <cell r="K380" t="str">
            <v>333</v>
          </cell>
          <cell r="L380" t="str">
            <v>0</v>
          </cell>
          <cell r="M380" t="str">
            <v>100</v>
          </cell>
          <cell r="N380" t="str">
            <v>e_c_ice_hit_big</v>
          </cell>
          <cell r="O380" t="str">
            <v>5</v>
          </cell>
        </row>
        <row r="381">
          <cell r="A381">
            <v>302020</v>
          </cell>
          <cell r="B381" t="str">
            <v>死灵法阵</v>
          </cell>
          <cell r="D381" t="str">
            <v>skill8</v>
          </cell>
          <cell r="G381" t="str">
            <v>e_c_e_skill1_cast</v>
          </cell>
          <cell r="I381" t="str">
            <v>0</v>
          </cell>
          <cell r="J381" t="str">
            <v>1000</v>
          </cell>
          <cell r="K381" t="str">
            <v>0</v>
          </cell>
          <cell r="L381" t="str">
            <v>0</v>
          </cell>
          <cell r="M381" t="str">
            <v>100</v>
          </cell>
          <cell r="N381" t="str">
            <v>e_c_d_skill10_cast_hit</v>
          </cell>
          <cell r="O381" t="str">
            <v>8</v>
          </cell>
        </row>
        <row r="382">
          <cell r="A382">
            <v>302030</v>
          </cell>
          <cell r="B382" t="str">
            <v>凛冬之怒</v>
          </cell>
          <cell r="C382" t="str">
            <v>skill4_01</v>
          </cell>
          <cell r="D382" t="str">
            <v>skill4_02</v>
          </cell>
          <cell r="E382" t="str">
            <v>skill4_03</v>
          </cell>
          <cell r="F382" t="str">
            <v>e_c_d_skill1_cast</v>
          </cell>
          <cell r="I382" t="str">
            <v>250</v>
          </cell>
          <cell r="J382" t="str">
            <v>700</v>
          </cell>
          <cell r="K382" t="str">
            <v>333</v>
          </cell>
          <cell r="L382" t="str">
            <v>0</v>
          </cell>
          <cell r="M382" t="str">
            <v>100</v>
          </cell>
          <cell r="N382" t="str">
            <v>e_c_ice_hit_big</v>
          </cell>
          <cell r="O382" t="str">
            <v>8</v>
          </cell>
        </row>
        <row r="383">
          <cell r="A383">
            <v>302040</v>
          </cell>
          <cell r="B383" t="str">
            <v>凤火浩劫</v>
          </cell>
          <cell r="D383" t="str">
            <v>skill8</v>
          </cell>
          <cell r="G383" t="str">
            <v>e_c_d_skill12_cast</v>
          </cell>
          <cell r="I383" t="str">
            <v>0</v>
          </cell>
          <cell r="J383" t="str">
            <v>2200</v>
          </cell>
          <cell r="K383">
            <v>0</v>
          </cell>
          <cell r="L383" t="str">
            <v>300|500|800|1100|1400|1700|2000</v>
          </cell>
          <cell r="M383" t="str">
            <v>20|20|20|20|20|20|20</v>
          </cell>
          <cell r="N383" t="str">
            <v>e_c_fire_hit_big|e_c_fire_hit_big|e_c_fire_hit_big|e_c_fire_hit_big|e_c_fire_hit_big|e_c_fire_hit_big|e_c_fire_hit_big</v>
          </cell>
          <cell r="O383" t="str">
            <v>8</v>
          </cell>
        </row>
        <row r="384">
          <cell r="A384">
            <v>303010</v>
          </cell>
          <cell r="B384" t="str">
            <v>咒术洪流</v>
          </cell>
          <cell r="D384" t="str">
            <v>skill5</v>
          </cell>
          <cell r="G384" t="str">
            <v>e_c_d_arcaneforg_cast</v>
          </cell>
          <cell r="I384" t="str">
            <v>0</v>
          </cell>
          <cell r="J384" t="str">
            <v>1800</v>
          </cell>
          <cell r="K384" t="str">
            <v>0</v>
          </cell>
          <cell r="L384" t="str">
            <v>900</v>
          </cell>
          <cell r="M384" t="str">
            <v>100</v>
          </cell>
          <cell r="N384" t="str">
            <v>e_c_n_01_hit</v>
          </cell>
          <cell r="O384" t="str">
            <v>5</v>
          </cell>
        </row>
        <row r="385">
          <cell r="A385">
            <v>303020</v>
          </cell>
          <cell r="B385" t="str">
            <v>星火共鸣</v>
          </cell>
          <cell r="C385" t="str">
            <v>skill4_01</v>
          </cell>
          <cell r="I385" t="str">
            <v>250</v>
          </cell>
          <cell r="J385" t="str">
            <v>0</v>
          </cell>
          <cell r="K385" t="str">
            <v>300</v>
          </cell>
          <cell r="L385" t="str">
            <v>0</v>
          </cell>
          <cell r="M385" t="str">
            <v>100</v>
          </cell>
          <cell r="N385" t="str">
            <v>e_c_fire_hit_big</v>
          </cell>
          <cell r="O385" t="str">
            <v>3</v>
          </cell>
        </row>
        <row r="386">
          <cell r="A386">
            <v>303030</v>
          </cell>
          <cell r="B386" t="str">
            <v>寒冰结界</v>
          </cell>
          <cell r="D386" t="str">
            <v>skill5</v>
          </cell>
          <cell r="I386" t="str">
            <v>0</v>
          </cell>
          <cell r="J386" t="str">
            <v>1800</v>
          </cell>
          <cell r="K386" t="str">
            <v>0</v>
          </cell>
          <cell r="L386" t="str">
            <v>900</v>
          </cell>
          <cell r="M386" t="str">
            <v>100</v>
          </cell>
          <cell r="N386" t="str">
            <v>e_c_n_01_hit</v>
          </cell>
          <cell r="O386" t="str">
            <v>5</v>
          </cell>
        </row>
        <row r="387">
          <cell r="A387">
            <v>303040</v>
          </cell>
          <cell r="B387" t="str">
            <v>寒冰屏障</v>
          </cell>
          <cell r="I387" t="str">
            <v>0</v>
          </cell>
          <cell r="J387" t="str">
            <v>0</v>
          </cell>
          <cell r="K387" t="str">
            <v>0</v>
          </cell>
          <cell r="L387" t="str">
            <v>0</v>
          </cell>
          <cell r="M387" t="str">
            <v>100</v>
          </cell>
          <cell r="O387" t="str">
            <v>3</v>
          </cell>
        </row>
        <row r="388">
          <cell r="A388">
            <v>304010</v>
          </cell>
          <cell r="B388" t="str">
            <v>秘法回响</v>
          </cell>
          <cell r="D388" t="str">
            <v>attack4_01|attack4_01</v>
          </cell>
          <cell r="E388" t="str">
            <v>attack2_02</v>
          </cell>
          <cell r="G388" t="str">
            <v>e_c_d_attack4_cast|e_c_d_attack4_cast</v>
          </cell>
          <cell r="I388" t="str">
            <v>0</v>
          </cell>
          <cell r="J388" t="str">
            <v>500|500</v>
          </cell>
          <cell r="K388" t="str">
            <v>350</v>
          </cell>
          <cell r="L388" t="str">
            <v>450|950</v>
          </cell>
          <cell r="M388" t="str">
            <v>50|50</v>
          </cell>
          <cell r="N388" t="str">
            <v>e_c_a_attack1_hit_4</v>
          </cell>
          <cell r="O388" t="str">
            <v>3</v>
          </cell>
        </row>
        <row r="389">
          <cell r="A389">
            <v>304020</v>
          </cell>
          <cell r="B389" t="str">
            <v>终极光束</v>
          </cell>
          <cell r="C389" t="str">
            <v>skill6_01</v>
          </cell>
          <cell r="D389" t="str">
            <v>skill6_02</v>
          </cell>
          <cell r="E389" t="str">
            <v>skill6_03</v>
          </cell>
          <cell r="G389" t="str">
            <v>e_c_d_skill6_cast</v>
          </cell>
          <cell r="I389" t="str">
            <v>300</v>
          </cell>
          <cell r="J389" t="str">
            <v>1050</v>
          </cell>
          <cell r="K389" t="str">
            <v>300</v>
          </cell>
          <cell r="L389" t="str">
            <v>550|750|1000</v>
          </cell>
          <cell r="M389" t="str">
            <v>20|20|20</v>
          </cell>
          <cell r="N389" t="str">
            <v>e_c_d_skill7_hit</v>
          </cell>
          <cell r="O389" t="str">
            <v>10</v>
          </cell>
        </row>
        <row r="390">
          <cell r="A390">
            <v>304030</v>
          </cell>
          <cell r="B390" t="str">
            <v>冰冷血脉</v>
          </cell>
          <cell r="D390" t="str">
            <v>attack3_01</v>
          </cell>
          <cell r="E390" t="str">
            <v>attack3_02</v>
          </cell>
          <cell r="I390" t="str">
            <v>0</v>
          </cell>
          <cell r="J390" t="str">
            <v>400</v>
          </cell>
          <cell r="K390" t="str">
            <v>400</v>
          </cell>
          <cell r="L390" t="str">
            <v>350</v>
          </cell>
          <cell r="M390" t="str">
            <v>100</v>
          </cell>
          <cell r="O390" t="str">
            <v>3</v>
          </cell>
        </row>
        <row r="391">
          <cell r="A391">
            <v>304040</v>
          </cell>
          <cell r="B391" t="str">
            <v>奥术回春</v>
          </cell>
          <cell r="D391" t="str">
            <v>skill5</v>
          </cell>
          <cell r="I391" t="str">
            <v>0</v>
          </cell>
          <cell r="J391" t="str">
            <v>1800</v>
          </cell>
          <cell r="K391" t="str">
            <v>0</v>
          </cell>
          <cell r="L391" t="str">
            <v>900</v>
          </cell>
          <cell r="M391" t="str">
            <v>100</v>
          </cell>
          <cell r="N391" t="str">
            <v>e_c_n_01_hit</v>
          </cell>
          <cell r="O391" t="str">
            <v>5</v>
          </cell>
        </row>
        <row r="392">
          <cell r="A392">
            <v>401001</v>
          </cell>
          <cell r="B392" t="str">
            <v>旋风斩</v>
          </cell>
          <cell r="C392" t="str">
            <v>attack2</v>
          </cell>
          <cell r="I392" t="str">
            <v>250</v>
          </cell>
          <cell r="J392" t="str">
            <v>0</v>
          </cell>
          <cell r="K392">
            <v>0</v>
          </cell>
          <cell r="L392" t="str">
            <v>0</v>
          </cell>
          <cell r="M392" t="str">
            <v>100</v>
          </cell>
          <cell r="O392" t="str">
            <v>3</v>
          </cell>
        </row>
        <row r="393">
          <cell r="A393">
            <v>402001</v>
          </cell>
          <cell r="B393" t="str">
            <v>盾墙</v>
          </cell>
          <cell r="D393" t="str">
            <v>scream</v>
          </cell>
          <cell r="I393" t="str">
            <v>0</v>
          </cell>
          <cell r="J393" t="str">
            <v>2000</v>
          </cell>
          <cell r="K393">
            <v>0</v>
          </cell>
          <cell r="L393" t="str">
            <v>0</v>
          </cell>
          <cell r="M393" t="str">
            <v>100</v>
          </cell>
          <cell r="O393" t="str">
            <v>5</v>
          </cell>
        </row>
        <row r="394">
          <cell r="A394">
            <v>403001</v>
          </cell>
          <cell r="B394" t="str">
            <v>召唤怪物</v>
          </cell>
          <cell r="D394" t="str">
            <v>scream</v>
          </cell>
          <cell r="G394" t="str">
            <v>e_c_cast_001</v>
          </cell>
          <cell r="I394" t="str">
            <v>0</v>
          </cell>
          <cell r="J394" t="str">
            <v>1000</v>
          </cell>
          <cell r="K394" t="str">
            <v>0</v>
          </cell>
          <cell r="L394" t="str">
            <v>0</v>
          </cell>
          <cell r="M394" t="str">
            <v>100</v>
          </cell>
          <cell r="O394" t="str">
            <v>15</v>
          </cell>
        </row>
        <row r="395">
          <cell r="A395">
            <v>404001</v>
          </cell>
          <cell r="B395" t="str">
            <v>流血</v>
          </cell>
          <cell r="D395" t="str">
            <v>attack2</v>
          </cell>
          <cell r="I395" t="str">
            <v>0</v>
          </cell>
          <cell r="J395" t="str">
            <v>1000</v>
          </cell>
          <cell r="K395" t="str">
            <v>0</v>
          </cell>
          <cell r="L395" t="str">
            <v>0</v>
          </cell>
          <cell r="M395" t="str">
            <v>100</v>
          </cell>
          <cell r="O395" t="str">
            <v>15</v>
          </cell>
        </row>
        <row r="396">
          <cell r="A396">
            <v>405001</v>
          </cell>
          <cell r="B396" t="str">
            <v>盾墙</v>
          </cell>
          <cell r="D396" t="str">
            <v>skill</v>
          </cell>
          <cell r="I396" t="str">
            <v>0</v>
          </cell>
          <cell r="J396" t="str">
            <v>2000</v>
          </cell>
          <cell r="K396">
            <v>0</v>
          </cell>
          <cell r="L396" t="str">
            <v>0</v>
          </cell>
          <cell r="M396" t="str">
            <v>100</v>
          </cell>
          <cell r="O396" t="str">
            <v>5</v>
          </cell>
        </row>
        <row r="397">
          <cell r="A397">
            <v>406001</v>
          </cell>
          <cell r="B397" t="str">
            <v>狂暴</v>
          </cell>
          <cell r="D397" t="str">
            <v>scream</v>
          </cell>
          <cell r="I397" t="str">
            <v>0</v>
          </cell>
          <cell r="J397" t="str">
            <v>1000</v>
          </cell>
          <cell r="K397">
            <v>0</v>
          </cell>
          <cell r="L397" t="str">
            <v>0</v>
          </cell>
          <cell r="M397" t="str">
            <v>100</v>
          </cell>
          <cell r="O397" t="str">
            <v>5</v>
          </cell>
        </row>
        <row r="398">
          <cell r="A398">
            <v>407001</v>
          </cell>
          <cell r="B398" t="str">
            <v>回血</v>
          </cell>
          <cell r="D398" t="str">
            <v>attack2</v>
          </cell>
          <cell r="I398" t="str">
            <v>0</v>
          </cell>
          <cell r="J398" t="str">
            <v>1300</v>
          </cell>
          <cell r="K398">
            <v>0</v>
          </cell>
          <cell r="L398" t="str">
            <v>0</v>
          </cell>
          <cell r="M398" t="str">
            <v>100</v>
          </cell>
          <cell r="O398" t="str">
            <v>5</v>
          </cell>
        </row>
        <row r="399">
          <cell r="A399">
            <v>408001</v>
          </cell>
          <cell r="B399" t="str">
            <v>多重打击</v>
          </cell>
          <cell r="D399" t="str">
            <v>skill_2</v>
          </cell>
          <cell r="G399" t="str">
            <v>e_c_cast_004</v>
          </cell>
          <cell r="I399" t="str">
            <v>250</v>
          </cell>
          <cell r="J399" t="str">
            <v>1200</v>
          </cell>
          <cell r="K399">
            <v>0</v>
          </cell>
          <cell r="L399" t="str">
            <v>207|303|410|511|612|696</v>
          </cell>
          <cell r="M399" t="str">
            <v>15|15|15|15|15|25</v>
          </cell>
          <cell r="N399" t="str">
            <v>e_c_a_attack1_hit_4|e_c_a_attack1_hit_4|e_c_a_attack1_hit_4</v>
          </cell>
          <cell r="O399" t="str">
            <v>3</v>
          </cell>
        </row>
        <row r="400">
          <cell r="A400">
            <v>409001</v>
          </cell>
          <cell r="B400" t="str">
            <v>坚如磐石</v>
          </cell>
          <cell r="D400" t="str">
            <v>scream</v>
          </cell>
          <cell r="G400" t="str">
            <v>e_c_e_skill1_cast</v>
          </cell>
          <cell r="I400" t="str">
            <v>0</v>
          </cell>
          <cell r="J400" t="str">
            <v>1000</v>
          </cell>
          <cell r="K400">
            <v>0</v>
          </cell>
          <cell r="L400">
            <v>300</v>
          </cell>
          <cell r="M400" t="str">
            <v>100</v>
          </cell>
          <cell r="O400" t="str">
            <v>3</v>
          </cell>
        </row>
        <row r="401">
          <cell r="A401">
            <v>410001</v>
          </cell>
          <cell r="B401" t="str">
            <v>猫头鹰突袭</v>
          </cell>
          <cell r="C401" t="str">
            <v>skill_2</v>
          </cell>
          <cell r="I401" t="str">
            <v>800</v>
          </cell>
          <cell r="J401" t="str">
            <v>1</v>
          </cell>
          <cell r="K401">
            <v>0</v>
          </cell>
          <cell r="L401">
            <v>1</v>
          </cell>
          <cell r="M401" t="str">
            <v>100</v>
          </cell>
          <cell r="N401" t="str">
            <v>e_c_a_attack1_hit_1</v>
          </cell>
          <cell r="O401">
            <v>10</v>
          </cell>
        </row>
        <row r="402">
          <cell r="A402">
            <v>411001</v>
          </cell>
          <cell r="B402" t="str">
            <v>吸血</v>
          </cell>
          <cell r="D402" t="str">
            <v>scream</v>
          </cell>
          <cell r="G402" t="str">
            <v>e_c_e_skill1_cast</v>
          </cell>
          <cell r="I402" t="str">
            <v>0</v>
          </cell>
          <cell r="J402" t="str">
            <v>1000</v>
          </cell>
          <cell r="K402">
            <v>0</v>
          </cell>
          <cell r="L402">
            <v>300</v>
          </cell>
          <cell r="M402" t="str">
            <v>100</v>
          </cell>
          <cell r="O402" t="str">
            <v>3</v>
          </cell>
        </row>
        <row r="403">
          <cell r="A403">
            <v>412001</v>
          </cell>
          <cell r="B403" t="str">
            <v>吸血</v>
          </cell>
          <cell r="D403" t="str">
            <v>scream</v>
          </cell>
          <cell r="G403" t="str">
            <v>e_c_e_skill1_cast</v>
          </cell>
          <cell r="I403" t="str">
            <v>0</v>
          </cell>
          <cell r="J403" t="str">
            <v>1000</v>
          </cell>
          <cell r="K403">
            <v>0</v>
          </cell>
          <cell r="L403">
            <v>300</v>
          </cell>
          <cell r="M403" t="str">
            <v>100</v>
          </cell>
          <cell r="O403" t="str">
            <v>3</v>
          </cell>
        </row>
        <row r="404">
          <cell r="A404">
            <v>413001</v>
          </cell>
          <cell r="B404" t="str">
            <v>虚弱</v>
          </cell>
          <cell r="D404" t="str">
            <v>scream</v>
          </cell>
          <cell r="G404" t="str">
            <v>e_c_e_skill1_cast</v>
          </cell>
          <cell r="I404" t="str">
            <v>0</v>
          </cell>
          <cell r="J404" t="str">
            <v>1000</v>
          </cell>
          <cell r="K404">
            <v>0</v>
          </cell>
          <cell r="L404">
            <v>300</v>
          </cell>
          <cell r="M404" t="str">
            <v>100</v>
          </cell>
          <cell r="O404" t="str">
            <v>3</v>
          </cell>
        </row>
        <row r="405">
          <cell r="A405">
            <v>414001</v>
          </cell>
          <cell r="B405" t="str">
            <v>佯攻</v>
          </cell>
          <cell r="D405" t="str">
            <v>attack2</v>
          </cell>
          <cell r="G405" t="str">
            <v>e_c_e_skill1_cast</v>
          </cell>
          <cell r="I405" t="str">
            <v>0</v>
          </cell>
          <cell r="J405" t="str">
            <v>1000</v>
          </cell>
          <cell r="K405">
            <v>0</v>
          </cell>
          <cell r="L405">
            <v>300</v>
          </cell>
          <cell r="M405" t="str">
            <v>100</v>
          </cell>
          <cell r="O405" t="str">
            <v>3</v>
          </cell>
        </row>
        <row r="406">
          <cell r="A406">
            <v>415001</v>
          </cell>
          <cell r="B406" t="str">
            <v>佯攻</v>
          </cell>
          <cell r="D406" t="str">
            <v>attack2</v>
          </cell>
          <cell r="G406" t="str">
            <v>e_c_e_skill1_cast</v>
          </cell>
          <cell r="I406" t="str">
            <v>0</v>
          </cell>
          <cell r="J406" t="str">
            <v>1000</v>
          </cell>
          <cell r="K406">
            <v>0</v>
          </cell>
          <cell r="L406">
            <v>300</v>
          </cell>
          <cell r="M406" t="str">
            <v>100</v>
          </cell>
          <cell r="O406" t="str">
            <v>3</v>
          </cell>
        </row>
        <row r="407">
          <cell r="A407">
            <v>416001</v>
          </cell>
          <cell r="B407" t="str">
            <v>AOE爆发</v>
          </cell>
          <cell r="D407" t="str">
            <v>attack2</v>
          </cell>
          <cell r="I407" t="str">
            <v>0</v>
          </cell>
          <cell r="J407" t="str">
            <v>1000</v>
          </cell>
          <cell r="K407">
            <v>0</v>
          </cell>
          <cell r="L407" t="str">
            <v>250</v>
          </cell>
          <cell r="M407" t="str">
            <v>100</v>
          </cell>
          <cell r="N407" t="str">
            <v>e_c_a_attack1_hit_4</v>
          </cell>
          <cell r="O407" t="str">
            <v>3</v>
          </cell>
        </row>
        <row r="408">
          <cell r="A408">
            <v>417001</v>
          </cell>
          <cell r="B408" t="str">
            <v>大回血</v>
          </cell>
          <cell r="D408" t="str">
            <v>skill</v>
          </cell>
          <cell r="I408" t="str">
            <v>0</v>
          </cell>
          <cell r="J408" t="str">
            <v>1300</v>
          </cell>
          <cell r="K408">
            <v>0</v>
          </cell>
          <cell r="L408" t="str">
            <v>0</v>
          </cell>
          <cell r="M408" t="str">
            <v>100</v>
          </cell>
          <cell r="O408" t="str">
            <v>5</v>
          </cell>
        </row>
        <row r="409">
          <cell r="A409">
            <v>418001</v>
          </cell>
          <cell r="B409" t="str">
            <v>恶魔重击</v>
          </cell>
          <cell r="D409" t="str">
            <v>skill1</v>
          </cell>
          <cell r="G409" t="str">
            <v>e_c_e_skill1_cast</v>
          </cell>
          <cell r="I409" t="str">
            <v>0</v>
          </cell>
          <cell r="J409" t="str">
            <v>1000</v>
          </cell>
          <cell r="K409">
            <v>0</v>
          </cell>
          <cell r="L409">
            <v>320</v>
          </cell>
          <cell r="M409" t="str">
            <v>100</v>
          </cell>
          <cell r="N409" t="str">
            <v>e_c_a_attack1_hit_1</v>
          </cell>
          <cell r="O409" t="str">
            <v>3</v>
          </cell>
        </row>
        <row r="410">
          <cell r="A410">
            <v>419001</v>
          </cell>
          <cell r="B410" t="str">
            <v>霜之新星</v>
          </cell>
          <cell r="D410" t="str">
            <v>skill_01|skill_02</v>
          </cell>
          <cell r="I410" t="str">
            <v>0</v>
          </cell>
          <cell r="J410" t="str">
            <v>500|1500</v>
          </cell>
          <cell r="K410" t="str">
            <v>0</v>
          </cell>
          <cell r="L410" t="str">
            <v>0</v>
          </cell>
          <cell r="M410" t="str">
            <v>100</v>
          </cell>
          <cell r="N410" t="str">
            <v>e_c_ice_hit_big</v>
          </cell>
          <cell r="O410" t="str">
            <v>10</v>
          </cell>
        </row>
        <row r="411">
          <cell r="A411">
            <v>420001</v>
          </cell>
          <cell r="B411" t="str">
            <v>弱者肃清</v>
          </cell>
          <cell r="D411" t="str">
            <v>attack1</v>
          </cell>
          <cell r="G411" t="str">
            <v>e_c_e_skill1_cast</v>
          </cell>
          <cell r="I411" t="str">
            <v>0</v>
          </cell>
          <cell r="J411" t="str">
            <v>1000</v>
          </cell>
          <cell r="K411">
            <v>0</v>
          </cell>
          <cell r="L411">
            <v>400</v>
          </cell>
          <cell r="M411" t="str">
            <v>100</v>
          </cell>
          <cell r="N411" t="str">
            <v>e_c_fire_hit_big</v>
          </cell>
          <cell r="O411" t="str">
            <v>50</v>
          </cell>
        </row>
        <row r="412">
          <cell r="A412">
            <v>421001</v>
          </cell>
          <cell r="B412" t="str">
            <v>冲锋陷阵</v>
          </cell>
          <cell r="D412" t="str">
            <v>move2</v>
          </cell>
          <cell r="G412" t="str">
            <v>e_c_a_chargeassault</v>
          </cell>
          <cell r="I412" t="str">
            <v>1</v>
          </cell>
          <cell r="J412" t="str">
            <v>400</v>
          </cell>
          <cell r="K412">
            <v>0</v>
          </cell>
          <cell r="L412" t="str">
            <v>200</v>
          </cell>
          <cell r="M412" t="str">
            <v>100</v>
          </cell>
          <cell r="N412" t="str">
            <v>e_c_a_attack1_hit_4</v>
          </cell>
          <cell r="O412" t="str">
            <v>8</v>
          </cell>
        </row>
        <row r="413">
          <cell r="A413">
            <v>422001</v>
          </cell>
          <cell r="B413" t="str">
            <v>恶魔之力</v>
          </cell>
          <cell r="D413" t="str">
            <v>skill1</v>
          </cell>
          <cell r="G413" t="str">
            <v>e_n_arrow_002</v>
          </cell>
          <cell r="I413" t="str">
            <v>0</v>
          </cell>
          <cell r="J413" t="str">
            <v>2000</v>
          </cell>
          <cell r="K413">
            <v>0</v>
          </cell>
          <cell r="L413">
            <v>1140</v>
          </cell>
          <cell r="M413" t="str">
            <v>100</v>
          </cell>
          <cell r="N413" t="str">
            <v>e_c_fire_hit_big</v>
          </cell>
          <cell r="O413" t="str">
            <v>3</v>
          </cell>
        </row>
        <row r="414">
          <cell r="A414">
            <v>423001</v>
          </cell>
          <cell r="B414" t="str">
            <v>火雨</v>
          </cell>
          <cell r="D414" t="str">
            <v>skill1</v>
          </cell>
          <cell r="I414" t="str">
            <v>0</v>
          </cell>
          <cell r="J414" t="str">
            <v>300|200</v>
          </cell>
          <cell r="K414">
            <v>0</v>
          </cell>
          <cell r="L414">
            <v>300</v>
          </cell>
          <cell r="M414" t="str">
            <v>100</v>
          </cell>
          <cell r="N414" t="str">
            <v>e_c_fire_hit_big</v>
          </cell>
          <cell r="O414" t="str">
            <v>8</v>
          </cell>
        </row>
        <row r="415">
          <cell r="A415">
            <v>424001</v>
          </cell>
          <cell r="B415" t="str">
            <v>破胆咆哮</v>
          </cell>
          <cell r="D415" t="str">
            <v>scream</v>
          </cell>
          <cell r="I415" t="str">
            <v>0</v>
          </cell>
          <cell r="J415" t="str">
            <v>1000</v>
          </cell>
          <cell r="K415" t="str">
            <v>0</v>
          </cell>
          <cell r="L415" t="str">
            <v>350</v>
          </cell>
          <cell r="M415" t="str">
            <v>100</v>
          </cell>
          <cell r="N415" t="str">
            <v>e_c_n_01_hit</v>
          </cell>
          <cell r="O415" t="str">
            <v>4</v>
          </cell>
        </row>
        <row r="416">
          <cell r="A416">
            <v>425001</v>
          </cell>
          <cell r="B416" t="str">
            <v>邪能火墙</v>
          </cell>
          <cell r="D416" t="str">
            <v>skill1</v>
          </cell>
          <cell r="I416" t="str">
            <v>0</v>
          </cell>
          <cell r="J416" t="str">
            <v>1500</v>
          </cell>
          <cell r="K416">
            <v>0</v>
          </cell>
          <cell r="L416" t="str">
            <v>660</v>
          </cell>
          <cell r="M416" t="str">
            <v>100</v>
          </cell>
          <cell r="N416" t="str">
            <v>e_c_fire_hit_big</v>
          </cell>
          <cell r="O416" t="str">
            <v>6</v>
          </cell>
        </row>
        <row r="417">
          <cell r="A417">
            <v>426001</v>
          </cell>
          <cell r="B417" t="str">
            <v>死亡缠绕</v>
          </cell>
          <cell r="D417" t="str">
            <v>skill_1</v>
          </cell>
          <cell r="I417" t="str">
            <v>0</v>
          </cell>
          <cell r="J417" t="str">
            <v>1300</v>
          </cell>
          <cell r="K417" t="str">
            <v>0</v>
          </cell>
          <cell r="L417" t="str">
            <v>830</v>
          </cell>
          <cell r="M417" t="str">
            <v>100</v>
          </cell>
          <cell r="N417" t="str">
            <v>e_c_devil_hit</v>
          </cell>
          <cell r="O417">
            <v>10</v>
          </cell>
        </row>
        <row r="418">
          <cell r="A418">
            <v>427001</v>
          </cell>
          <cell r="B418" t="str">
            <v>大回复术</v>
          </cell>
          <cell r="I418" t="str">
            <v>0</v>
          </cell>
          <cell r="J418" t="str">
            <v>0</v>
          </cell>
          <cell r="K418">
            <v>0</v>
          </cell>
          <cell r="L418" t="str">
            <v>0</v>
          </cell>
          <cell r="M418" t="str">
            <v>100</v>
          </cell>
          <cell r="O418" t="str">
            <v>10</v>
          </cell>
        </row>
        <row r="419">
          <cell r="A419">
            <v>428001</v>
          </cell>
          <cell r="B419" t="str">
            <v>正义之怒</v>
          </cell>
          <cell r="D419" t="str">
            <v>skill_2</v>
          </cell>
          <cell r="I419" t="str">
            <v>0</v>
          </cell>
          <cell r="J419" t="str">
            <v>1467</v>
          </cell>
          <cell r="K419">
            <v>0</v>
          </cell>
          <cell r="L419">
            <v>733</v>
          </cell>
          <cell r="M419" t="str">
            <v>100</v>
          </cell>
          <cell r="O419" t="str">
            <v>3</v>
          </cell>
        </row>
        <row r="420">
          <cell r="A420">
            <v>429001</v>
          </cell>
          <cell r="B420" t="str">
            <v>旋风之刃</v>
          </cell>
          <cell r="D420" t="str">
            <v>skill_2</v>
          </cell>
          <cell r="G420" t="str">
            <v>e_c_cast_004</v>
          </cell>
          <cell r="I420" t="str">
            <v>0</v>
          </cell>
          <cell r="J420" t="str">
            <v>1200</v>
          </cell>
          <cell r="K420">
            <v>0</v>
          </cell>
          <cell r="L420" t="str">
            <v>207|303|410|511|612|696</v>
          </cell>
          <cell r="M420" t="str">
            <v>15|15|15|15|15|25</v>
          </cell>
          <cell r="N420" t="str">
            <v>e_c_a_attack1_hit_4</v>
          </cell>
          <cell r="O420" t="str">
            <v>3</v>
          </cell>
        </row>
        <row r="421">
          <cell r="A421">
            <v>430001</v>
          </cell>
          <cell r="B421" t="str">
            <v>射术专注</v>
          </cell>
          <cell r="D421" t="str">
            <v>attack1_01|attack1_01|attack1_01|attack1_01|attack1_01</v>
          </cell>
          <cell r="E421" t="str">
            <v>attack1_02</v>
          </cell>
          <cell r="G421" t="str">
            <v>e_c_zzsj_cast|e_c_zzsj_cast|e_c_zzsj_cast|e_c_zzsj_cast|e_c_zzsj_cast</v>
          </cell>
          <cell r="I421" t="str">
            <v>0</v>
          </cell>
          <cell r="J421" t="str">
            <v>250|250|250|250|250</v>
          </cell>
          <cell r="K421">
            <v>300</v>
          </cell>
          <cell r="L421" t="str">
            <v>300|450|600|750|850</v>
          </cell>
          <cell r="M421" t="str">
            <v>20|20|20|20|20</v>
          </cell>
          <cell r="N421" t="str">
            <v>e_c_a_attack1_hit_1|e_c_a_attack1_hit_1|e_c_a_attack1_hit_1|e_c_a_attack1_hit_1|e_c_a_attack1_hit_1</v>
          </cell>
          <cell r="O421" t="str">
            <v>8</v>
          </cell>
        </row>
        <row r="422">
          <cell r="A422">
            <v>431001</v>
          </cell>
          <cell r="B422" t="str">
            <v>银月之牙</v>
          </cell>
          <cell r="D422" t="str">
            <v>attack1|skill_2</v>
          </cell>
          <cell r="G422" t="str">
            <v>|e_c_wl_attack1_04</v>
          </cell>
          <cell r="I422" t="str">
            <v>0</v>
          </cell>
          <cell r="J422" t="str">
            <v>200|500</v>
          </cell>
          <cell r="K422">
            <v>0</v>
          </cell>
          <cell r="L422" t="str">
            <v>100|300|400|500|600</v>
          </cell>
          <cell r="M422" t="str">
            <v>60|10|10|10|10</v>
          </cell>
          <cell r="N422" t="str">
            <v>e_c_a_attack1_hit_1|e_c_a_attack1_hit_1</v>
          </cell>
          <cell r="O422" t="str">
            <v>3</v>
          </cell>
        </row>
        <row r="423">
          <cell r="A423">
            <v>432001</v>
          </cell>
          <cell r="B423" t="str">
            <v>公正之手</v>
          </cell>
          <cell r="D423" t="str">
            <v>skill2</v>
          </cell>
          <cell r="G423" t="str">
            <v>e_c_e_skill2_cast</v>
          </cell>
          <cell r="I423" t="str">
            <v>0</v>
          </cell>
          <cell r="J423" t="str">
            <v>850</v>
          </cell>
          <cell r="K423">
            <v>0</v>
          </cell>
          <cell r="L423" t="str">
            <v>306</v>
          </cell>
          <cell r="M423" t="str">
            <v>100</v>
          </cell>
          <cell r="N423" t="str">
            <v>e_c_a_attack1_hit_1|e_c_a_attack1_hit_1</v>
          </cell>
          <cell r="O423" t="str">
            <v>3</v>
          </cell>
        </row>
        <row r="424">
          <cell r="A424">
            <v>433001</v>
          </cell>
          <cell r="B424" t="str">
            <v>邪恶之影</v>
          </cell>
          <cell r="C424" t="str">
            <v>skill_1</v>
          </cell>
          <cell r="I424" t="str">
            <v>1833</v>
          </cell>
          <cell r="J424" t="str">
            <v>1</v>
          </cell>
          <cell r="K424" t="str">
            <v>0</v>
          </cell>
          <cell r="L424" t="str">
            <v>1</v>
          </cell>
          <cell r="M424" t="str">
            <v>100</v>
          </cell>
          <cell r="N424" t="str">
            <v>e_c_n_01_hit</v>
          </cell>
          <cell r="O424" t="str">
            <v>8</v>
          </cell>
        </row>
        <row r="425">
          <cell r="A425">
            <v>434001</v>
          </cell>
          <cell r="B425" t="str">
            <v>暗影横扫</v>
          </cell>
          <cell r="D425" t="str">
            <v>skill_1</v>
          </cell>
          <cell r="I425" t="str">
            <v>0</v>
          </cell>
          <cell r="J425" t="str">
            <v>800</v>
          </cell>
          <cell r="K425">
            <v>0</v>
          </cell>
          <cell r="L425">
            <v>320</v>
          </cell>
          <cell r="M425" t="str">
            <v>100</v>
          </cell>
          <cell r="N425" t="str">
            <v>e_c_a_attack1_hit_1</v>
          </cell>
          <cell r="O425" t="str">
            <v>3</v>
          </cell>
        </row>
        <row r="426">
          <cell r="A426">
            <v>435001</v>
          </cell>
          <cell r="B426" t="str">
            <v>双重打击</v>
          </cell>
          <cell r="D426" t="str">
            <v>attack1|attack1</v>
          </cell>
          <cell r="I426" t="str">
            <v>0</v>
          </cell>
          <cell r="J426" t="str">
            <v>400|400</v>
          </cell>
          <cell r="K426">
            <v>0</v>
          </cell>
          <cell r="L426" t="str">
            <v>200|600</v>
          </cell>
          <cell r="M426" t="str">
            <v>50|50</v>
          </cell>
          <cell r="N426" t="str">
            <v>e_c_a_attack1_hit_1|e_c_a_attack1_hit_1</v>
          </cell>
          <cell r="O426" t="str">
            <v>3</v>
          </cell>
        </row>
        <row r="427">
          <cell r="A427">
            <v>436001</v>
          </cell>
          <cell r="B427" t="str">
            <v>双重打击</v>
          </cell>
          <cell r="D427" t="str">
            <v>attack1|attack1</v>
          </cell>
          <cell r="I427" t="str">
            <v>0</v>
          </cell>
          <cell r="J427" t="str">
            <v>400|400</v>
          </cell>
          <cell r="K427">
            <v>0</v>
          </cell>
          <cell r="L427" t="str">
            <v>200|600</v>
          </cell>
          <cell r="M427" t="str">
            <v>50|50</v>
          </cell>
          <cell r="N427" t="str">
            <v>e_c_a_attack1_hit_1|e_c_a_attack1_hit_1</v>
          </cell>
          <cell r="O427" t="str">
            <v>3</v>
          </cell>
        </row>
        <row r="428">
          <cell r="A428">
            <v>437001</v>
          </cell>
          <cell r="B428" t="str">
            <v>无情之锤</v>
          </cell>
          <cell r="D428" t="str">
            <v>skill_2</v>
          </cell>
          <cell r="I428" t="str">
            <v>0</v>
          </cell>
          <cell r="J428" t="str">
            <v>1500</v>
          </cell>
          <cell r="K428" t="str">
            <v>0</v>
          </cell>
          <cell r="L428" t="str">
            <v>1</v>
          </cell>
          <cell r="M428" t="str">
            <v>100</v>
          </cell>
          <cell r="N428" t="str">
            <v>e_c_fire_hit_big</v>
          </cell>
          <cell r="O428" t="str">
            <v>10</v>
          </cell>
        </row>
        <row r="429">
          <cell r="A429">
            <v>438001</v>
          </cell>
          <cell r="B429" t="str">
            <v>回春术</v>
          </cell>
          <cell r="D429" t="str">
            <v>attack1</v>
          </cell>
          <cell r="I429" t="str">
            <v>0</v>
          </cell>
          <cell r="J429" t="str">
            <v>1300</v>
          </cell>
          <cell r="K429">
            <v>0</v>
          </cell>
          <cell r="L429">
            <v>1040</v>
          </cell>
          <cell r="M429" t="str">
            <v>100</v>
          </cell>
          <cell r="N429" t="str">
            <v>e_c_a_attack1_hit_1</v>
          </cell>
          <cell r="O429" t="str">
            <v>10</v>
          </cell>
        </row>
        <row r="430">
          <cell r="A430">
            <v>439001</v>
          </cell>
          <cell r="B430" t="str">
            <v>火雨</v>
          </cell>
          <cell r="D430" t="str">
            <v>skill6</v>
          </cell>
          <cell r="I430" t="str">
            <v>0</v>
          </cell>
          <cell r="J430" t="str">
            <v>1300</v>
          </cell>
          <cell r="K430">
            <v>0</v>
          </cell>
          <cell r="L430">
            <v>1040</v>
          </cell>
          <cell r="M430" t="str">
            <v>100</v>
          </cell>
          <cell r="N430" t="str">
            <v>e_c_a_attack1_hit_1</v>
          </cell>
          <cell r="O430" t="str">
            <v>8</v>
          </cell>
        </row>
        <row r="431">
          <cell r="A431">
            <v>899998</v>
          </cell>
          <cell r="B431" t="str">
            <v>[b]BUFF用空技能[-]</v>
          </cell>
          <cell r="I431" t="str">
            <v>0</v>
          </cell>
          <cell r="J431" t="str">
            <v>0</v>
          </cell>
          <cell r="K431" t="str">
            <v>0</v>
          </cell>
          <cell r="L431" t="str">
            <v>0</v>
          </cell>
          <cell r="M431" t="str">
            <v>100</v>
          </cell>
          <cell r="O431" t="str">
            <v>3</v>
          </cell>
        </row>
        <row r="432">
          <cell r="A432">
            <v>899999</v>
          </cell>
          <cell r="B432" t="str">
            <v>[b]系统陷阱用技能[-]</v>
          </cell>
          <cell r="I432" t="str">
            <v>0</v>
          </cell>
          <cell r="J432" t="str">
            <v>0</v>
          </cell>
          <cell r="K432" t="str">
            <v>0</v>
          </cell>
          <cell r="L432" t="str">
            <v>0</v>
          </cell>
          <cell r="M432" t="str">
            <v>100</v>
          </cell>
          <cell r="O432" t="str">
            <v>3</v>
          </cell>
        </row>
        <row r="433">
          <cell r="A433">
            <v>900000</v>
          </cell>
          <cell r="B433" t="str">
            <v>[b]被动寒冰箭[-]</v>
          </cell>
          <cell r="I433" t="str">
            <v>0</v>
          </cell>
          <cell r="J433" t="str">
            <v>1050</v>
          </cell>
          <cell r="K433" t="str">
            <v>0</v>
          </cell>
          <cell r="L433" t="str">
            <v>0</v>
          </cell>
          <cell r="M433" t="str">
            <v>100</v>
          </cell>
          <cell r="N433" t="str">
            <v>e_c_a_attack1_hit_4</v>
          </cell>
          <cell r="O433" t="str">
            <v>15</v>
          </cell>
        </row>
        <row r="434">
          <cell r="A434">
            <v>900001</v>
          </cell>
          <cell r="B434" t="str">
            <v>[b]被动暴风雪[-]</v>
          </cell>
          <cell r="I434" t="str">
            <v>666</v>
          </cell>
          <cell r="J434" t="str">
            <v>0</v>
          </cell>
          <cell r="K434" t="str">
            <v>0</v>
          </cell>
          <cell r="L434" t="str">
            <v>1</v>
          </cell>
          <cell r="M434" t="str">
            <v>100</v>
          </cell>
          <cell r="O434" t="str">
            <v>10</v>
          </cell>
        </row>
        <row r="435">
          <cell r="A435">
            <v>900002</v>
          </cell>
          <cell r="B435" t="str">
            <v>[b]被动骑士箭矢[-]</v>
          </cell>
          <cell r="I435" t="str">
            <v>0</v>
          </cell>
          <cell r="J435" t="str">
            <v>1050</v>
          </cell>
          <cell r="K435" t="str">
            <v>0</v>
          </cell>
          <cell r="L435" t="str">
            <v>0</v>
          </cell>
          <cell r="M435" t="str">
            <v>100</v>
          </cell>
          <cell r="N435" t="str">
            <v>e_c_a_attack1_hit_4</v>
          </cell>
          <cell r="O435" t="str">
            <v>15</v>
          </cell>
        </row>
        <row r="436">
          <cell r="A436">
            <v>20010101</v>
          </cell>
          <cell r="B436" t="str">
            <v>[b]风暴尤格普攻[-]</v>
          </cell>
          <cell r="D436" t="str">
            <v>attack1</v>
          </cell>
          <cell r="I436" t="str">
            <v>0</v>
          </cell>
          <cell r="J436" t="str">
            <v>2000</v>
          </cell>
          <cell r="K436" t="str">
            <v>0</v>
          </cell>
          <cell r="L436" t="str">
            <v>506|720</v>
          </cell>
          <cell r="M436" t="str">
            <v>50|50</v>
          </cell>
          <cell r="N436" t="str">
            <v>e_c_a_attack1_hit_1|e_c_a_attack1_hit_1</v>
          </cell>
          <cell r="O436" t="str">
            <v>3</v>
          </cell>
        </row>
        <row r="437">
          <cell r="A437">
            <v>20010201</v>
          </cell>
          <cell r="B437" t="str">
            <v>[b]横扫推进[-]</v>
          </cell>
          <cell r="D437" t="str">
            <v>attack1</v>
          </cell>
          <cell r="G437" t="str">
            <v>e_c_a_skill2_cast</v>
          </cell>
          <cell r="I437" t="str">
            <v>1</v>
          </cell>
          <cell r="J437" t="str">
            <v>400</v>
          </cell>
          <cell r="K437">
            <v>0</v>
          </cell>
          <cell r="L437" t="str">
            <v>200|120</v>
          </cell>
          <cell r="M437" t="str">
            <v>20|80</v>
          </cell>
          <cell r="N437" t="str">
            <v>e_c_a_attack1_hit_4</v>
          </cell>
          <cell r="O437" t="str">
            <v>8</v>
          </cell>
        </row>
        <row r="438">
          <cell r="A438">
            <v>20020101</v>
          </cell>
          <cell r="B438" t="str">
            <v>[b]重剑步兵普攻[-]</v>
          </cell>
          <cell r="D438" t="str">
            <v>attack1</v>
          </cell>
          <cell r="I438" t="str">
            <v>0</v>
          </cell>
          <cell r="J438" t="str">
            <v>1200</v>
          </cell>
          <cell r="K438">
            <v>0</v>
          </cell>
          <cell r="L438">
            <v>600</v>
          </cell>
          <cell r="M438" t="str">
            <v>100</v>
          </cell>
          <cell r="N438" t="str">
            <v>e_c_a_attack1_hit_1</v>
          </cell>
          <cell r="O438" t="str">
            <v>3</v>
          </cell>
        </row>
        <row r="439">
          <cell r="A439">
            <v>20020201</v>
          </cell>
          <cell r="B439" t="str">
            <v>[b]嘲讽[-]</v>
          </cell>
          <cell r="D439" t="str">
            <v>attack1</v>
          </cell>
          <cell r="G439" t="str">
            <v>e_c_e_skill1_cast</v>
          </cell>
          <cell r="I439" t="str">
            <v>0</v>
          </cell>
          <cell r="J439" t="str">
            <v>800</v>
          </cell>
          <cell r="K439">
            <v>0</v>
          </cell>
          <cell r="L439">
            <v>400</v>
          </cell>
          <cell r="M439" t="str">
            <v>100</v>
          </cell>
          <cell r="O439" t="str">
            <v>5</v>
          </cell>
        </row>
        <row r="440">
          <cell r="A440">
            <v>20030101</v>
          </cell>
          <cell r="B440" t="str">
            <v>[b]诺萨尼尔普攻[-]</v>
          </cell>
          <cell r="D440" t="str">
            <v>attack1</v>
          </cell>
          <cell r="I440" t="str">
            <v>0</v>
          </cell>
          <cell r="J440" t="str">
            <v>1167</v>
          </cell>
          <cell r="K440">
            <v>0</v>
          </cell>
          <cell r="L440">
            <v>420</v>
          </cell>
          <cell r="M440" t="str">
            <v>100</v>
          </cell>
          <cell r="N440" t="str">
            <v>e_c_a_attack1_hit_1</v>
          </cell>
          <cell r="O440" t="str">
            <v>3</v>
          </cell>
        </row>
        <row r="441">
          <cell r="A441">
            <v>20030201</v>
          </cell>
          <cell r="B441" t="str">
            <v>[b]炎爆连击[-]</v>
          </cell>
          <cell r="D441" t="str">
            <v>attack1|skill2|attack1|skill1</v>
          </cell>
          <cell r="G441" t="str">
            <v>e_c_a_attack2_cast|e_c_a_attack3_cast|e_c_a_attack2_cast|e_c_a_skill4_cast_delay</v>
          </cell>
          <cell r="I441" t="str">
            <v>0</v>
          </cell>
          <cell r="J441" t="str">
            <v>500|500|500|1000</v>
          </cell>
          <cell r="K441">
            <v>0</v>
          </cell>
          <cell r="L441" t="str">
            <v>175|650|1175|1820</v>
          </cell>
          <cell r="M441" t="str">
            <v>10|10|10|70</v>
          </cell>
          <cell r="N441" t="str">
            <v>e_c_fire_hit_big|e_c_fire_hit_big|e_c_fire_hit_big|e_c_fire_hit_big</v>
          </cell>
          <cell r="O441" t="str">
            <v>3</v>
          </cell>
        </row>
        <row r="442">
          <cell r="A442">
            <v>20040101</v>
          </cell>
          <cell r="B442" t="str">
            <v>[b]女妖蒂罗亚普攻[-]</v>
          </cell>
          <cell r="D442" t="str">
            <v>attack1_01|attack1_02</v>
          </cell>
          <cell r="E442" t="str">
            <v>attack1_03</v>
          </cell>
          <cell r="I442" t="str">
            <v>0</v>
          </cell>
          <cell r="J442" t="str">
            <v>600|100</v>
          </cell>
          <cell r="K442" t="str">
            <v>300</v>
          </cell>
          <cell r="L442" t="str">
            <v>1</v>
          </cell>
          <cell r="M442" t="str">
            <v>100</v>
          </cell>
          <cell r="N442" t="str">
            <v>e_c_n_01_hit</v>
          </cell>
          <cell r="O442">
            <v>10</v>
          </cell>
        </row>
        <row r="443">
          <cell r="A443">
            <v>20040201</v>
          </cell>
          <cell r="B443" t="str">
            <v>[b]寒冰飞弹[-]</v>
          </cell>
          <cell r="D443" t="str">
            <v>attack1_01|attack1_02</v>
          </cell>
          <cell r="E443" t="str">
            <v>attack1_03</v>
          </cell>
          <cell r="I443" t="str">
            <v>0</v>
          </cell>
          <cell r="J443" t="str">
            <v>600|100</v>
          </cell>
          <cell r="K443" t="str">
            <v>300</v>
          </cell>
          <cell r="L443" t="str">
            <v>1</v>
          </cell>
          <cell r="M443" t="str">
            <v>100</v>
          </cell>
          <cell r="N443" t="str">
            <v>e_c_ice_hit_big</v>
          </cell>
          <cell r="O443">
            <v>10</v>
          </cell>
        </row>
        <row r="444">
          <cell r="A444">
            <v>20050101</v>
          </cell>
          <cell r="B444" t="str">
            <v>[b]泰兰德普攻[-]</v>
          </cell>
          <cell r="D444" t="str">
            <v>attack1_01</v>
          </cell>
          <cell r="E444" t="str">
            <v>attack1_02</v>
          </cell>
          <cell r="I444" t="str">
            <v>0</v>
          </cell>
          <cell r="J444" t="str">
            <v>800</v>
          </cell>
          <cell r="K444" t="str">
            <v>500</v>
          </cell>
          <cell r="L444" t="str">
            <v>1</v>
          </cell>
          <cell r="M444" t="str">
            <v>100</v>
          </cell>
          <cell r="N444" t="str">
            <v>e_c_ice_hit_big</v>
          </cell>
          <cell r="O444">
            <v>10</v>
          </cell>
        </row>
        <row r="445">
          <cell r="A445">
            <v>20050201</v>
          </cell>
          <cell r="B445" t="str">
            <v>[b]猫头鹰突袭[-]</v>
          </cell>
          <cell r="C445" t="str">
            <v>skill_2</v>
          </cell>
          <cell r="I445" t="str">
            <v>800</v>
          </cell>
          <cell r="J445" t="str">
            <v>1</v>
          </cell>
          <cell r="K445">
            <v>0</v>
          </cell>
          <cell r="L445">
            <v>1</v>
          </cell>
          <cell r="M445" t="str">
            <v>100</v>
          </cell>
          <cell r="N445" t="str">
            <v>e_c_a_attack1_hit_1</v>
          </cell>
          <cell r="O445">
            <v>10</v>
          </cell>
        </row>
        <row r="446">
          <cell r="A446">
            <v>20060101</v>
          </cell>
          <cell r="B446" t="str">
            <v>[b]莫德雷斯普攻[-]</v>
          </cell>
          <cell r="D446" t="str">
            <v>attack2</v>
          </cell>
          <cell r="I446" t="str">
            <v>0</v>
          </cell>
          <cell r="J446" t="str">
            <v>1200</v>
          </cell>
          <cell r="K446">
            <v>0</v>
          </cell>
          <cell r="L446">
            <v>380</v>
          </cell>
          <cell r="M446" t="str">
            <v>100</v>
          </cell>
          <cell r="N446" t="str">
            <v>e_c_a_attack1_hit_1</v>
          </cell>
          <cell r="O446" t="str">
            <v>3</v>
          </cell>
        </row>
        <row r="447">
          <cell r="A447">
            <v>20060201</v>
          </cell>
          <cell r="B447" t="str">
            <v>[b]寒冰护盾[-]</v>
          </cell>
          <cell r="D447" t="str">
            <v>scream</v>
          </cell>
          <cell r="G447" t="str">
            <v>e_c_e_skill1_cast</v>
          </cell>
          <cell r="I447" t="str">
            <v>0</v>
          </cell>
          <cell r="J447" t="str">
            <v>1000</v>
          </cell>
          <cell r="K447">
            <v>0</v>
          </cell>
          <cell r="L447">
            <v>308</v>
          </cell>
          <cell r="M447" t="str">
            <v>100</v>
          </cell>
          <cell r="N447" t="str">
            <v>e_c_a_attack1_hit_1</v>
          </cell>
          <cell r="O447" t="str">
            <v>5</v>
          </cell>
        </row>
        <row r="448">
          <cell r="A448">
            <v>30010101</v>
          </cell>
          <cell r="B448" t="str">
            <v>[b]土元素普攻[-]</v>
          </cell>
          <cell r="D448" t="str">
            <v>attack1</v>
          </cell>
          <cell r="I448" t="str">
            <v>0</v>
          </cell>
          <cell r="J448" t="str">
            <v>2000</v>
          </cell>
          <cell r="K448">
            <v>0</v>
          </cell>
          <cell r="L448">
            <v>680</v>
          </cell>
          <cell r="M448" t="str">
            <v>100</v>
          </cell>
          <cell r="N448" t="str">
            <v>e_c_a_attack1_hit_1</v>
          </cell>
          <cell r="O448" t="str">
            <v>3</v>
          </cell>
        </row>
        <row r="449">
          <cell r="A449">
            <v>30010201</v>
          </cell>
          <cell r="B449" t="str">
            <v>[b]嘲讽[-]</v>
          </cell>
          <cell r="D449" t="str">
            <v>scream</v>
          </cell>
          <cell r="G449" t="str">
            <v>e_c_e_skill1_cast</v>
          </cell>
          <cell r="I449" t="str">
            <v>0</v>
          </cell>
          <cell r="J449" t="str">
            <v>1000</v>
          </cell>
          <cell r="K449">
            <v>0</v>
          </cell>
          <cell r="L449">
            <v>300</v>
          </cell>
          <cell r="M449" t="str">
            <v>100</v>
          </cell>
          <cell r="O449" t="str">
            <v>5</v>
          </cell>
        </row>
        <row r="450">
          <cell r="A450">
            <v>30010202</v>
          </cell>
          <cell r="B450" t="str">
            <v>[b]顽石护体[-]</v>
          </cell>
          <cell r="D450" t="str">
            <v>scream</v>
          </cell>
          <cell r="I450" t="str">
            <v>0</v>
          </cell>
          <cell r="J450" t="str">
            <v>500</v>
          </cell>
          <cell r="K450" t="str">
            <v>0</v>
          </cell>
          <cell r="L450" t="str">
            <v>150</v>
          </cell>
          <cell r="M450" t="str">
            <v>100</v>
          </cell>
          <cell r="N450" t="str">
            <v>e_c_holy_hit</v>
          </cell>
          <cell r="O450" t="str">
            <v>5</v>
          </cell>
        </row>
        <row r="451">
          <cell r="A451">
            <v>30020101</v>
          </cell>
          <cell r="B451" t="str">
            <v>[b]霍格普攻[-]</v>
          </cell>
          <cell r="D451" t="str">
            <v>attack1</v>
          </cell>
          <cell r="I451" t="str">
            <v>0</v>
          </cell>
          <cell r="J451" t="str">
            <v>1500</v>
          </cell>
          <cell r="K451">
            <v>0</v>
          </cell>
          <cell r="L451">
            <v>551</v>
          </cell>
          <cell r="M451" t="str">
            <v>100</v>
          </cell>
          <cell r="N451" t="str">
            <v>e_c_a_attack1_hit_1</v>
          </cell>
          <cell r="O451" t="str">
            <v>3</v>
          </cell>
        </row>
        <row r="452">
          <cell r="A452">
            <v>30020201</v>
          </cell>
          <cell r="B452" t="str">
            <v>[b]旋风斩[-]</v>
          </cell>
          <cell r="D452" t="str">
            <v>skill1</v>
          </cell>
          <cell r="G452" t="str">
            <v>e_c_a_skill2_cast</v>
          </cell>
          <cell r="I452" t="str">
            <v>0</v>
          </cell>
          <cell r="J452" t="str">
            <v>1400</v>
          </cell>
          <cell r="K452">
            <v>0</v>
          </cell>
          <cell r="L452" t="str">
            <v>420|550|680</v>
          </cell>
          <cell r="M452" t="str">
            <v>33|33|34</v>
          </cell>
          <cell r="N452" t="str">
            <v>e_c_a_attack1_hit_4|e_c_a_attack1_hit_4|e_c_a_attack1_hit_4</v>
          </cell>
          <cell r="O452" t="str">
            <v>3</v>
          </cell>
        </row>
        <row r="453">
          <cell r="A453">
            <v>30020202</v>
          </cell>
          <cell r="B453" t="str">
            <v>[b]嗜血成性[-]</v>
          </cell>
          <cell r="D453" t="str">
            <v>skill4</v>
          </cell>
          <cell r="I453" t="str">
            <v>0</v>
          </cell>
          <cell r="J453" t="str">
            <v>1000</v>
          </cell>
          <cell r="K453">
            <v>0</v>
          </cell>
          <cell r="L453">
            <v>500</v>
          </cell>
          <cell r="M453" t="str">
            <v>100</v>
          </cell>
          <cell r="O453" t="str">
            <v>3</v>
          </cell>
        </row>
        <row r="454">
          <cell r="A454">
            <v>30030101</v>
          </cell>
          <cell r="B454" t="str">
            <v>[b]火元素普攻[-]</v>
          </cell>
          <cell r="D454" t="str">
            <v>attack1</v>
          </cell>
          <cell r="I454" t="str">
            <v>0</v>
          </cell>
          <cell r="J454" t="str">
            <v>2000</v>
          </cell>
          <cell r="K454">
            <v>0</v>
          </cell>
          <cell r="L454">
            <v>680</v>
          </cell>
          <cell r="M454" t="str">
            <v>100</v>
          </cell>
          <cell r="N454" t="str">
            <v>e_c_a_attack1_hit_1</v>
          </cell>
          <cell r="O454" t="str">
            <v>3</v>
          </cell>
        </row>
        <row r="455">
          <cell r="A455">
            <v>30030201</v>
          </cell>
          <cell r="B455" t="str">
            <v>[b]火焰强化[-]</v>
          </cell>
          <cell r="D455" t="str">
            <v>scream</v>
          </cell>
          <cell r="G455" t="str">
            <v>e_c_e_skill1_cast</v>
          </cell>
          <cell r="I455" t="str">
            <v>0</v>
          </cell>
          <cell r="J455" t="str">
            <v>1000</v>
          </cell>
          <cell r="K455">
            <v>0</v>
          </cell>
          <cell r="L455">
            <v>300</v>
          </cell>
          <cell r="M455" t="str">
            <v>100</v>
          </cell>
          <cell r="O455" t="str">
            <v>3</v>
          </cell>
        </row>
        <row r="456">
          <cell r="A456">
            <v>30030202</v>
          </cell>
          <cell r="B456" t="str">
            <v>[b]多重火焰[-]</v>
          </cell>
          <cell r="D456" t="str">
            <v>attack2</v>
          </cell>
          <cell r="I456" t="str">
            <v>0</v>
          </cell>
          <cell r="J456" t="str">
            <v>2200</v>
          </cell>
          <cell r="K456">
            <v>0</v>
          </cell>
          <cell r="L456">
            <v>792</v>
          </cell>
          <cell r="M456" t="str">
            <v>100</v>
          </cell>
          <cell r="N456" t="str">
            <v>e_c_fire_hit_big</v>
          </cell>
          <cell r="O456" t="str">
            <v>8</v>
          </cell>
        </row>
        <row r="457">
          <cell r="A457">
            <v>30040101</v>
          </cell>
          <cell r="B457" t="str">
            <v>[b]月影莎娜普攻[-]</v>
          </cell>
          <cell r="D457" t="str">
            <v>attack1</v>
          </cell>
          <cell r="I457" t="str">
            <v>0</v>
          </cell>
          <cell r="J457" t="str">
            <v>1100</v>
          </cell>
          <cell r="K457">
            <v>0</v>
          </cell>
          <cell r="L457">
            <v>434</v>
          </cell>
          <cell r="M457" t="str">
            <v>100</v>
          </cell>
          <cell r="N457" t="str">
            <v>e_c_a_attack1_hit_1</v>
          </cell>
          <cell r="O457" t="str">
            <v>2</v>
          </cell>
        </row>
        <row r="458">
          <cell r="A458">
            <v>30040201</v>
          </cell>
          <cell r="B458" t="str">
            <v>[b]夜幕降临[-]</v>
          </cell>
          <cell r="D458" t="str">
            <v>skill_1</v>
          </cell>
          <cell r="I458" t="str">
            <v>0</v>
          </cell>
          <cell r="J458" t="str">
            <v>1000</v>
          </cell>
          <cell r="K458" t="str">
            <v>0</v>
          </cell>
          <cell r="L458" t="str">
            <v>480</v>
          </cell>
          <cell r="M458" t="str">
            <v>100</v>
          </cell>
          <cell r="O458" t="str">
            <v>8</v>
          </cell>
        </row>
        <row r="459">
          <cell r="A459">
            <v>30040202</v>
          </cell>
          <cell r="B459" t="str">
            <v>[b]银月之牙[-]</v>
          </cell>
          <cell r="D459" t="str">
            <v>attack1|skill_2</v>
          </cell>
          <cell r="G459" t="str">
            <v>|e_c_wl_attack1_04</v>
          </cell>
          <cell r="I459" t="str">
            <v>0</v>
          </cell>
          <cell r="J459" t="str">
            <v>200|500</v>
          </cell>
          <cell r="K459">
            <v>0</v>
          </cell>
          <cell r="L459" t="str">
            <v>100|300|400|500|600</v>
          </cell>
          <cell r="M459" t="str">
            <v>60|10|10|10|10</v>
          </cell>
          <cell r="N459" t="str">
            <v>e_c_a_attack1_hit_1|e_c_a_attack1_hit_1</v>
          </cell>
          <cell r="O459" t="str">
            <v>3</v>
          </cell>
        </row>
        <row r="460">
          <cell r="A460">
            <v>30050101</v>
          </cell>
          <cell r="B460" t="str">
            <v>[b]风元素普攻[-]</v>
          </cell>
          <cell r="D460" t="str">
            <v>attack1</v>
          </cell>
          <cell r="I460" t="str">
            <v>0</v>
          </cell>
          <cell r="J460" t="str">
            <v>2000</v>
          </cell>
          <cell r="K460">
            <v>0</v>
          </cell>
          <cell r="L460">
            <v>680</v>
          </cell>
          <cell r="M460" t="str">
            <v>100</v>
          </cell>
          <cell r="N460" t="str">
            <v>e_c_a_attack1_hit_1</v>
          </cell>
          <cell r="O460" t="str">
            <v>3</v>
          </cell>
        </row>
        <row r="461">
          <cell r="A461">
            <v>30050201</v>
          </cell>
          <cell r="B461" t="str">
            <v>[b]风暴之怒[-]</v>
          </cell>
          <cell r="D461" t="str">
            <v>attack2</v>
          </cell>
          <cell r="I461" t="str">
            <v>0</v>
          </cell>
          <cell r="J461" t="str">
            <v>2200</v>
          </cell>
          <cell r="K461">
            <v>0</v>
          </cell>
          <cell r="L461">
            <v>792</v>
          </cell>
          <cell r="M461" t="str">
            <v>100</v>
          </cell>
          <cell r="N461" t="str">
            <v>e_c_a_attack1_hit_1</v>
          </cell>
          <cell r="O461" t="str">
            <v>8</v>
          </cell>
        </row>
        <row r="462">
          <cell r="A462">
            <v>30050202</v>
          </cell>
          <cell r="B462" t="str">
            <v>[b]风卷残云[-]</v>
          </cell>
          <cell r="D462" t="str">
            <v>scream</v>
          </cell>
          <cell r="G462" t="str">
            <v>e_c_a_skill2_4_cast</v>
          </cell>
          <cell r="I462" t="str">
            <v>0</v>
          </cell>
          <cell r="J462" t="str">
            <v>800</v>
          </cell>
          <cell r="K462" t="str">
            <v>0</v>
          </cell>
          <cell r="L462" t="str">
            <v>240</v>
          </cell>
          <cell r="M462" t="str">
            <v>100</v>
          </cell>
          <cell r="N462" t="str">
            <v>e_c_a_attack1_hit_1|e_c_a_attack1_hit_1|e_c_a_attack1_hit_1</v>
          </cell>
          <cell r="O462" t="str">
            <v>3</v>
          </cell>
        </row>
        <row r="463">
          <cell r="A463">
            <v>30060101</v>
          </cell>
          <cell r="B463" t="str">
            <v>[b]阿拉基普攻[-]</v>
          </cell>
          <cell r="D463" t="str">
            <v>attack1_01</v>
          </cell>
          <cell r="E463" t="str">
            <v>attack1_02</v>
          </cell>
          <cell r="I463" t="str">
            <v>0</v>
          </cell>
          <cell r="J463" t="str">
            <v>600</v>
          </cell>
          <cell r="K463" t="str">
            <v>660</v>
          </cell>
          <cell r="L463" t="str">
            <v>1</v>
          </cell>
          <cell r="M463" t="str">
            <v>100</v>
          </cell>
          <cell r="N463" t="str">
            <v>e_c_n_01_hit</v>
          </cell>
          <cell r="O463">
            <v>10</v>
          </cell>
        </row>
        <row r="464">
          <cell r="A464">
            <v>30060201</v>
          </cell>
          <cell r="B464" t="str">
            <v>[b]毁灭[-]</v>
          </cell>
          <cell r="D464" t="str">
            <v>attack1_01</v>
          </cell>
          <cell r="E464" t="str">
            <v>attack1_02</v>
          </cell>
          <cell r="I464" t="str">
            <v>0</v>
          </cell>
          <cell r="J464" t="str">
            <v>300</v>
          </cell>
          <cell r="K464" t="str">
            <v>320</v>
          </cell>
          <cell r="L464" t="str">
            <v>1</v>
          </cell>
          <cell r="M464" t="str">
            <v>100</v>
          </cell>
          <cell r="N464" t="str">
            <v>e_c_n_01_hit</v>
          </cell>
          <cell r="O464">
            <v>10</v>
          </cell>
        </row>
        <row r="465">
          <cell r="A465">
            <v>30060202</v>
          </cell>
          <cell r="B465" t="str">
            <v>[b]黑暗领域[-]</v>
          </cell>
          <cell r="D465" t="str">
            <v>attack2</v>
          </cell>
          <cell r="I465" t="str">
            <v>0</v>
          </cell>
          <cell r="J465" t="str">
            <v>1000</v>
          </cell>
          <cell r="K465" t="str">
            <v>0</v>
          </cell>
          <cell r="L465" t="str">
            <v>0</v>
          </cell>
          <cell r="M465" t="str">
            <v>100</v>
          </cell>
          <cell r="N465" t="str">
            <v>e_c_n_01_hit</v>
          </cell>
          <cell r="O465" t="str">
            <v>8</v>
          </cell>
        </row>
        <row r="466">
          <cell r="A466">
            <v>40010101</v>
          </cell>
          <cell r="B466" t="str">
            <v>[b]瓦里安普攻[-]</v>
          </cell>
          <cell r="D466" t="str">
            <v>attack1_01|attack1_02|skill_1</v>
          </cell>
          <cell r="I466" t="str">
            <v>0</v>
          </cell>
          <cell r="J466" t="str">
            <v>480|320|900</v>
          </cell>
          <cell r="K466">
            <v>0</v>
          </cell>
          <cell r="L466" t="str">
            <v>307|664|1133|1206</v>
          </cell>
          <cell r="M466" t="str">
            <v>25|25|25|25</v>
          </cell>
          <cell r="N466" t="str">
            <v>e_c_a_attack1_hit_1|e_c_a_attack1_hit_1|e_c_a_attack1_hit_1</v>
          </cell>
          <cell r="O466" t="str">
            <v>3</v>
          </cell>
        </row>
        <row r="467">
          <cell r="A467">
            <v>40010201</v>
          </cell>
          <cell r="B467" t="str">
            <v>[b]旋风之刃[-]</v>
          </cell>
          <cell r="D467" t="str">
            <v>skill_2</v>
          </cell>
          <cell r="G467" t="str">
            <v>e_c_cast_004</v>
          </cell>
          <cell r="I467" t="str">
            <v>0</v>
          </cell>
          <cell r="J467" t="str">
            <v>1200</v>
          </cell>
          <cell r="K467">
            <v>0</v>
          </cell>
          <cell r="L467" t="str">
            <v>207|303|410|511|612|696</v>
          </cell>
          <cell r="M467" t="str">
            <v>15|15|15|15|15|25</v>
          </cell>
          <cell r="N467" t="str">
            <v>e_c_a_attack1_hit_4</v>
          </cell>
          <cell r="O467" t="str">
            <v>3</v>
          </cell>
        </row>
        <row r="468">
          <cell r="A468">
            <v>40010202</v>
          </cell>
          <cell r="B468" t="str">
            <v>[b]刀锋乱舞[-]</v>
          </cell>
          <cell r="D468" t="str">
            <v>attack1_01|attack1_02|attack1_04</v>
          </cell>
          <cell r="G468" t="str">
            <v>e_c_wl_attack1_01|e_c_wl_attack1_02|e_c_wl_attack1_04</v>
          </cell>
          <cell r="I468" t="str">
            <v>0</v>
          </cell>
          <cell r="J468" t="str">
            <v>200|150|800</v>
          </cell>
          <cell r="K468">
            <v>0</v>
          </cell>
          <cell r="L468" t="str">
            <v>100|300|400|600|800|1000</v>
          </cell>
          <cell r="M468" t="str">
            <v>15|15|15|15|15|25</v>
          </cell>
          <cell r="N468" t="str">
            <v>e_c_a_attack1_hit_4|e_c_a_attack1_hit_4|e_c_a_attack1_hit_4</v>
          </cell>
          <cell r="O468" t="str">
            <v>3</v>
          </cell>
        </row>
        <row r="469">
          <cell r="A469">
            <v>40010203</v>
          </cell>
          <cell r="B469" t="str">
            <v>[b]蛮横扫荡[-]</v>
          </cell>
          <cell r="D469" t="str">
            <v>attack1_04</v>
          </cell>
          <cell r="G469" t="str">
            <v>e_c_wl_attack1_04</v>
          </cell>
          <cell r="I469" t="str">
            <v>0</v>
          </cell>
          <cell r="J469" t="str">
            <v>600</v>
          </cell>
          <cell r="K469">
            <v>0</v>
          </cell>
          <cell r="L469" t="str">
            <v>100|200|300|400|500</v>
          </cell>
          <cell r="M469" t="str">
            <v>20|20|20|20|20</v>
          </cell>
          <cell r="N469" t="str">
            <v>e_c_a_attack1_hit_4|e_c_a_attack1_hit_4|e_c_a_attack1_hit_4|e_c_a_attack1_hit_4|e_c_a_attack1_hit_4</v>
          </cell>
          <cell r="O469" t="str">
            <v>8</v>
          </cell>
        </row>
        <row r="470">
          <cell r="A470">
            <v>40020101</v>
          </cell>
          <cell r="B470" t="str">
            <v>[b]范克里夫普攻[-]</v>
          </cell>
          <cell r="D470" t="str">
            <v>attack1_01|attack1_02|skill_1</v>
          </cell>
          <cell r="I470" t="str">
            <v>0</v>
          </cell>
          <cell r="J470" t="str">
            <v>480|320|900</v>
          </cell>
          <cell r="K470">
            <v>0</v>
          </cell>
          <cell r="L470" t="str">
            <v>307|664|1133|1206</v>
          </cell>
          <cell r="M470" t="str">
            <v>25|25|25|25</v>
          </cell>
          <cell r="N470" t="str">
            <v>e_c_a_attack1_hit_1|e_c_a_attack1_hit_1|e_c_a_attack1_hit_1</v>
          </cell>
          <cell r="O470" t="str">
            <v>3</v>
          </cell>
        </row>
        <row r="471">
          <cell r="A471">
            <v>40020201</v>
          </cell>
          <cell r="B471" t="str">
            <v>[b]冲锋陷阵[-]</v>
          </cell>
          <cell r="D471" t="str">
            <v>move2</v>
          </cell>
          <cell r="G471" t="str">
            <v>e_c_a_chargeassault</v>
          </cell>
          <cell r="I471" t="str">
            <v>1</v>
          </cell>
          <cell r="J471" t="str">
            <v>400</v>
          </cell>
          <cell r="K471">
            <v>0</v>
          </cell>
          <cell r="L471" t="str">
            <v>200</v>
          </cell>
          <cell r="M471" t="str">
            <v>100</v>
          </cell>
          <cell r="N471" t="str">
            <v>e_c_a_attack1_hit_4</v>
          </cell>
          <cell r="O471" t="str">
            <v>8</v>
          </cell>
        </row>
        <row r="472">
          <cell r="A472">
            <v>40020202</v>
          </cell>
          <cell r="B472" t="str">
            <v>[b]咆哮[-]</v>
          </cell>
          <cell r="D472" t="str">
            <v>scream</v>
          </cell>
          <cell r="G472" t="str">
            <v>e_c_a_ordercry_cast</v>
          </cell>
          <cell r="I472" t="str">
            <v>0</v>
          </cell>
          <cell r="J472" t="str">
            <v>1200</v>
          </cell>
          <cell r="K472">
            <v>0</v>
          </cell>
          <cell r="L472">
            <v>552</v>
          </cell>
          <cell r="M472" t="str">
            <v>100</v>
          </cell>
          <cell r="O472" t="str">
            <v>3</v>
          </cell>
        </row>
        <row r="473">
          <cell r="A473">
            <v>40020203</v>
          </cell>
          <cell r="B473" t="str">
            <v>[b]锋锐之刃[-]</v>
          </cell>
          <cell r="D473" t="str">
            <v>scream</v>
          </cell>
          <cell r="I473" t="str">
            <v>0</v>
          </cell>
          <cell r="J473" t="str">
            <v>1200</v>
          </cell>
          <cell r="K473">
            <v>0</v>
          </cell>
          <cell r="L473">
            <v>552</v>
          </cell>
          <cell r="M473" t="str">
            <v>100</v>
          </cell>
          <cell r="O473" t="str">
            <v>3</v>
          </cell>
        </row>
        <row r="474">
          <cell r="A474">
            <v>40030101</v>
          </cell>
          <cell r="B474" t="str">
            <v>[b]阿尔萨斯普攻[-]</v>
          </cell>
          <cell r="D474" t="str">
            <v>skill_1</v>
          </cell>
          <cell r="I474" t="str">
            <v>0</v>
          </cell>
          <cell r="J474" t="str">
            <v>1600</v>
          </cell>
          <cell r="K474">
            <v>0</v>
          </cell>
          <cell r="L474">
            <v>640</v>
          </cell>
          <cell r="M474" t="str">
            <v>100</v>
          </cell>
          <cell r="N474" t="str">
            <v>e_c_a_attack1_hit_1</v>
          </cell>
          <cell r="O474" t="str">
            <v>3</v>
          </cell>
        </row>
        <row r="475">
          <cell r="A475">
            <v>40030201</v>
          </cell>
          <cell r="B475" t="str">
            <v>[b]正义之锤[-]</v>
          </cell>
          <cell r="D475" t="str">
            <v>skill_2</v>
          </cell>
          <cell r="I475" t="str">
            <v>0</v>
          </cell>
          <cell r="J475" t="str">
            <v>1500</v>
          </cell>
          <cell r="K475">
            <v>0</v>
          </cell>
          <cell r="L475" t="str">
            <v>0</v>
          </cell>
          <cell r="M475" t="str">
            <v>100</v>
          </cell>
          <cell r="N475" t="str">
            <v>e_c_fire_hit_big</v>
          </cell>
          <cell r="O475" t="str">
            <v>10</v>
          </cell>
        </row>
        <row r="476">
          <cell r="A476">
            <v>40030202</v>
          </cell>
          <cell r="B476" t="str">
            <v>[b]神圣之锤[-]</v>
          </cell>
          <cell r="D476" t="str">
            <v>skill_2</v>
          </cell>
          <cell r="I476" t="str">
            <v>0</v>
          </cell>
          <cell r="J476" t="str">
            <v>800</v>
          </cell>
          <cell r="K476" t="str">
            <v>1</v>
          </cell>
          <cell r="L476" t="str">
            <v>0</v>
          </cell>
          <cell r="M476" t="str">
            <v>100</v>
          </cell>
          <cell r="N476" t="str">
            <v>e_c_fire_hit_big</v>
          </cell>
          <cell r="O476" t="str">
            <v>10</v>
          </cell>
        </row>
        <row r="477">
          <cell r="A477">
            <v>40030203</v>
          </cell>
          <cell r="B477" t="str">
            <v>[b]重锤打击[-]</v>
          </cell>
          <cell r="D477" t="str">
            <v>attack1</v>
          </cell>
          <cell r="G477" t="str">
            <v>e_c_e_skill1_cast</v>
          </cell>
          <cell r="I477" t="str">
            <v>0</v>
          </cell>
          <cell r="J477" t="str">
            <v>1500</v>
          </cell>
          <cell r="K477">
            <v>0</v>
          </cell>
          <cell r="L477">
            <v>675</v>
          </cell>
          <cell r="M477" t="str">
            <v>100</v>
          </cell>
          <cell r="N477" t="str">
            <v>e_c_a_attack1_hit_1</v>
          </cell>
          <cell r="O477" t="str">
            <v>3</v>
          </cell>
        </row>
        <row r="478">
          <cell r="A478">
            <v>40040101</v>
          </cell>
          <cell r="B478" t="str">
            <v>[b]穆拉尼尔普攻[-]</v>
          </cell>
          <cell r="D478" t="str">
            <v>attack1</v>
          </cell>
          <cell r="I478" t="str">
            <v>0</v>
          </cell>
          <cell r="J478" t="str">
            <v>1700</v>
          </cell>
          <cell r="K478">
            <v>0</v>
          </cell>
          <cell r="L478">
            <v>748</v>
          </cell>
          <cell r="M478" t="str">
            <v>100</v>
          </cell>
          <cell r="N478" t="str">
            <v>e_c_a_attack1_hit_1</v>
          </cell>
          <cell r="O478" t="str">
            <v>3</v>
          </cell>
        </row>
        <row r="479">
          <cell r="A479">
            <v>40040201</v>
          </cell>
          <cell r="B479" t="str">
            <v>[b]复仇之怒[-]</v>
          </cell>
          <cell r="D479" t="str">
            <v>skill_2</v>
          </cell>
          <cell r="I479" t="str">
            <v>0</v>
          </cell>
          <cell r="J479" t="str">
            <v>1467</v>
          </cell>
          <cell r="K479">
            <v>0</v>
          </cell>
          <cell r="L479">
            <v>733</v>
          </cell>
          <cell r="M479" t="str">
            <v>100</v>
          </cell>
          <cell r="O479" t="str">
            <v>5</v>
          </cell>
        </row>
        <row r="480">
          <cell r="A480">
            <v>40040202</v>
          </cell>
          <cell r="B480" t="str">
            <v>[b]血色威严[-]</v>
          </cell>
          <cell r="D480" t="str">
            <v>attack1</v>
          </cell>
          <cell r="G480" t="str">
            <v>e_c_e_skill1_cast</v>
          </cell>
          <cell r="I480" t="str">
            <v>0</v>
          </cell>
          <cell r="J480" t="str">
            <v>1467</v>
          </cell>
          <cell r="K480">
            <v>0</v>
          </cell>
          <cell r="L480">
            <v>733</v>
          </cell>
          <cell r="M480" t="str">
            <v>100</v>
          </cell>
          <cell r="O480" t="str">
            <v>5</v>
          </cell>
        </row>
        <row r="481">
          <cell r="A481">
            <v>40040203</v>
          </cell>
          <cell r="B481" t="str">
            <v>治愈之风</v>
          </cell>
          <cell r="D481" t="str">
            <v>skill_2</v>
          </cell>
          <cell r="I481" t="str">
            <v>0</v>
          </cell>
          <cell r="J481" t="str">
            <v>1500</v>
          </cell>
          <cell r="K481">
            <v>0</v>
          </cell>
          <cell r="L481" t="str">
            <v>1</v>
          </cell>
          <cell r="M481" t="str">
            <v>100</v>
          </cell>
          <cell r="O481" t="str">
            <v>5</v>
          </cell>
        </row>
        <row r="482">
          <cell r="A482">
            <v>40050101</v>
          </cell>
          <cell r="B482" t="str">
            <v>[b]吉安娜普攻[-]</v>
          </cell>
          <cell r="D482" t="str">
            <v>attack2_01</v>
          </cell>
          <cell r="E482" t="str">
            <v>attack2_02</v>
          </cell>
          <cell r="I482" t="str">
            <v>0</v>
          </cell>
          <cell r="J482" t="str">
            <v>600</v>
          </cell>
          <cell r="K482" t="str">
            <v>300</v>
          </cell>
          <cell r="L482" t="str">
            <v>1</v>
          </cell>
          <cell r="M482" t="str">
            <v>100</v>
          </cell>
          <cell r="N482" t="str">
            <v>e_c_ice_hit_big</v>
          </cell>
          <cell r="O482" t="str">
            <v>10</v>
          </cell>
        </row>
        <row r="483">
          <cell r="A483">
            <v>40050201</v>
          </cell>
          <cell r="B483" t="str">
            <v>[b]火球术[-]</v>
          </cell>
          <cell r="D483" t="str">
            <v>attack2_01</v>
          </cell>
          <cell r="E483" t="str">
            <v>attack2_02</v>
          </cell>
          <cell r="I483" t="str">
            <v>0</v>
          </cell>
          <cell r="J483" t="str">
            <v>300</v>
          </cell>
          <cell r="K483" t="str">
            <v>150</v>
          </cell>
          <cell r="L483" t="str">
            <v>1</v>
          </cell>
          <cell r="M483" t="str">
            <v>100</v>
          </cell>
          <cell r="N483" t="str">
            <v>e_c_fire_hit_big</v>
          </cell>
          <cell r="O483">
            <v>10</v>
          </cell>
        </row>
        <row r="484">
          <cell r="A484">
            <v>40050202</v>
          </cell>
          <cell r="B484" t="str">
            <v>[b]凛冬之怒[-]</v>
          </cell>
          <cell r="D484" t="str">
            <v>skill5</v>
          </cell>
          <cell r="I484" t="str">
            <v>0</v>
          </cell>
          <cell r="J484" t="str">
            <v>1000</v>
          </cell>
          <cell r="K484" t="str">
            <v>0</v>
          </cell>
          <cell r="L484" t="str">
            <v>500</v>
          </cell>
          <cell r="M484" t="str">
            <v>100</v>
          </cell>
          <cell r="N484" t="str">
            <v>e_c_ice_hit_big</v>
          </cell>
          <cell r="O484" t="str">
            <v>5</v>
          </cell>
        </row>
        <row r="485">
          <cell r="A485">
            <v>40050203</v>
          </cell>
          <cell r="B485" t="str">
            <v>[b]霜火箭[-]</v>
          </cell>
          <cell r="D485" t="str">
            <v>attack2_01</v>
          </cell>
          <cell r="E485" t="str">
            <v>attack2_02</v>
          </cell>
          <cell r="I485" t="str">
            <v>0</v>
          </cell>
          <cell r="J485" t="str">
            <v>300</v>
          </cell>
          <cell r="K485" t="str">
            <v>150</v>
          </cell>
          <cell r="L485" t="str">
            <v>1</v>
          </cell>
          <cell r="M485" t="str">
            <v>100</v>
          </cell>
          <cell r="N485" t="str">
            <v>e_c_ice_hit_big</v>
          </cell>
          <cell r="O485">
            <v>10</v>
          </cell>
        </row>
        <row r="486">
          <cell r="A486">
            <v>40060101</v>
          </cell>
          <cell r="B486" t="str">
            <v>[b]琳娜普攻[-]</v>
          </cell>
          <cell r="D486" t="str">
            <v>attack2_01</v>
          </cell>
          <cell r="E486" t="str">
            <v>attack2_02</v>
          </cell>
          <cell r="I486" t="str">
            <v>0</v>
          </cell>
          <cell r="J486" t="str">
            <v>600</v>
          </cell>
          <cell r="K486" t="str">
            <v>300</v>
          </cell>
          <cell r="L486" t="str">
            <v>1</v>
          </cell>
          <cell r="M486" t="str">
            <v>100</v>
          </cell>
          <cell r="N486" t="str">
            <v>e_c_fire_hit_big</v>
          </cell>
          <cell r="O486" t="str">
            <v>10</v>
          </cell>
        </row>
        <row r="487">
          <cell r="A487">
            <v>40060201</v>
          </cell>
          <cell r="B487" t="str">
            <v>[b]火雨[-]</v>
          </cell>
          <cell r="D487" t="str">
            <v>skill6</v>
          </cell>
          <cell r="I487" t="str">
            <v>0</v>
          </cell>
          <cell r="J487" t="str">
            <v>1300</v>
          </cell>
          <cell r="K487">
            <v>0</v>
          </cell>
          <cell r="L487">
            <v>1040</v>
          </cell>
          <cell r="M487" t="str">
            <v>100</v>
          </cell>
          <cell r="N487" t="str">
            <v>e_c_a_attack1_hit_1</v>
          </cell>
          <cell r="O487" t="str">
            <v>8</v>
          </cell>
        </row>
        <row r="488">
          <cell r="A488">
            <v>40060202</v>
          </cell>
          <cell r="B488" t="str">
            <v>[b]炽热燃心[-]</v>
          </cell>
          <cell r="D488" t="str">
            <v>attack3_02</v>
          </cell>
          <cell r="I488" t="str">
            <v>0</v>
          </cell>
          <cell r="J488" t="str">
            <v>1100</v>
          </cell>
          <cell r="K488">
            <v>0</v>
          </cell>
          <cell r="L488">
            <v>600</v>
          </cell>
          <cell r="M488" t="str">
            <v>100</v>
          </cell>
          <cell r="O488" t="str">
            <v>5</v>
          </cell>
        </row>
        <row r="489">
          <cell r="A489">
            <v>40060203</v>
          </cell>
          <cell r="B489" t="str">
            <v>[b]神灭斩[-]</v>
          </cell>
          <cell r="D489" t="str">
            <v>skill6</v>
          </cell>
          <cell r="I489" t="str">
            <v>0</v>
          </cell>
          <cell r="J489" t="str">
            <v>1200</v>
          </cell>
          <cell r="K489">
            <v>0</v>
          </cell>
          <cell r="L489" t="str">
            <v>800</v>
          </cell>
          <cell r="M489" t="str">
            <v>100</v>
          </cell>
          <cell r="N489" t="str">
            <v>e_c_fire_hit_big</v>
          </cell>
          <cell r="O489" t="str">
            <v>8</v>
          </cell>
        </row>
        <row r="490">
          <cell r="A490">
            <v>40070101</v>
          </cell>
          <cell r="B490" t="str">
            <v>[b]维克斯普攻[-]</v>
          </cell>
          <cell r="D490" t="str">
            <v>attack1</v>
          </cell>
          <cell r="I490" t="str">
            <v>0</v>
          </cell>
          <cell r="J490" t="str">
            <v>1367</v>
          </cell>
          <cell r="K490">
            <v>0</v>
          </cell>
          <cell r="L490">
            <v>837</v>
          </cell>
          <cell r="M490" t="str">
            <v>100</v>
          </cell>
          <cell r="N490" t="str">
            <v>e_c_a_attack1_hit_1</v>
          </cell>
          <cell r="O490" t="str">
            <v>3</v>
          </cell>
        </row>
        <row r="491">
          <cell r="A491">
            <v>40070201</v>
          </cell>
          <cell r="B491" t="str">
            <v>[b]极速狂奔[-]</v>
          </cell>
          <cell r="D491" t="str">
            <v>move2</v>
          </cell>
          <cell r="G491" t="str">
            <v>e_c_a_skill_bullet</v>
          </cell>
          <cell r="I491" t="str">
            <v>1</v>
          </cell>
          <cell r="J491" t="str">
            <v>400</v>
          </cell>
          <cell r="K491">
            <v>0</v>
          </cell>
          <cell r="L491" t="str">
            <v>200</v>
          </cell>
          <cell r="M491" t="str">
            <v>100</v>
          </cell>
          <cell r="N491" t="str">
            <v>e_c_a_attack1_hit_4</v>
          </cell>
          <cell r="O491" t="str">
            <v>8</v>
          </cell>
        </row>
        <row r="492">
          <cell r="A492">
            <v>40070202</v>
          </cell>
          <cell r="B492" t="str">
            <v>[b]疯狂撞击[-]</v>
          </cell>
          <cell r="D492" t="str">
            <v>attack2|attack2|attack2|attack2</v>
          </cell>
          <cell r="G492" t="str">
            <v>e_c_e_skill2_cast|e_c_e_skill2_cast|e_c_e_skill2_cast|e_c_e_skill2_cast</v>
          </cell>
          <cell r="I492" t="str">
            <v>0</v>
          </cell>
          <cell r="J492" t="str">
            <v>500|500|500|500</v>
          </cell>
          <cell r="K492">
            <v>0</v>
          </cell>
          <cell r="L492" t="str">
            <v>250|750|1250|1750</v>
          </cell>
          <cell r="M492" t="str">
            <v>20|20|20|20</v>
          </cell>
          <cell r="N492" t="str">
            <v>e_c_fire_hit_big</v>
          </cell>
          <cell r="O492" t="str">
            <v>3</v>
          </cell>
        </row>
        <row r="493">
          <cell r="A493">
            <v>40070203</v>
          </cell>
          <cell r="B493" t="str">
            <v>[b]狡诈爆破[-]</v>
          </cell>
          <cell r="D493" t="str">
            <v>kickfly_01|kickfly_02|kickfly_03|getup</v>
          </cell>
          <cell r="I493" t="str">
            <v>0</v>
          </cell>
          <cell r="J493" t="str">
            <v>500|500|500|1100</v>
          </cell>
          <cell r="K493">
            <v>0</v>
          </cell>
          <cell r="L493" t="str">
            <v>1</v>
          </cell>
          <cell r="M493" t="str">
            <v>100</v>
          </cell>
          <cell r="N493" t="str">
            <v>e_c_fire_hit_big</v>
          </cell>
          <cell r="O493" t="str">
            <v>3</v>
          </cell>
        </row>
        <row r="494">
          <cell r="A494">
            <v>40080101</v>
          </cell>
          <cell r="B494" t="str">
            <v>[b]萨尔普攻[-]</v>
          </cell>
          <cell r="D494" t="str">
            <v>attack2</v>
          </cell>
          <cell r="I494" t="str">
            <v>0</v>
          </cell>
          <cell r="J494" t="str">
            <v>1600</v>
          </cell>
          <cell r="K494" t="str">
            <v>0</v>
          </cell>
          <cell r="L494">
            <v>720</v>
          </cell>
          <cell r="M494" t="str">
            <v>100</v>
          </cell>
          <cell r="N494" t="str">
            <v>e_c_light_hit</v>
          </cell>
          <cell r="O494" t="str">
            <v>3</v>
          </cell>
        </row>
        <row r="495">
          <cell r="A495">
            <v>40080201</v>
          </cell>
          <cell r="B495" t="str">
            <v>[b]治愈图腾[-]</v>
          </cell>
          <cell r="D495" t="str">
            <v>scream</v>
          </cell>
          <cell r="G495" t="str">
            <v>e_c_e_attack1_cast</v>
          </cell>
          <cell r="I495" t="str">
            <v>0</v>
          </cell>
          <cell r="J495" t="str">
            <v>1300</v>
          </cell>
          <cell r="K495" t="str">
            <v>0</v>
          </cell>
          <cell r="L495" t="str">
            <v>0</v>
          </cell>
          <cell r="M495" t="str">
            <v>100</v>
          </cell>
          <cell r="N495" t="str">
            <v>e_c_keep_004</v>
          </cell>
          <cell r="O495" t="str">
            <v>5</v>
          </cell>
        </row>
        <row r="496">
          <cell r="A496">
            <v>40080202</v>
          </cell>
          <cell r="B496" t="str">
            <v>[b]环形闪电[-]</v>
          </cell>
          <cell r="D496" t="str">
            <v>attack1</v>
          </cell>
          <cell r="I496" t="str">
            <v>0</v>
          </cell>
          <cell r="J496" t="str">
            <v>1000</v>
          </cell>
          <cell r="K496" t="str">
            <v>0</v>
          </cell>
          <cell r="L496" t="str">
            <v>0</v>
          </cell>
          <cell r="M496" t="str">
            <v>100</v>
          </cell>
          <cell r="N496" t="str">
            <v>e_c_d_skill7_hit</v>
          </cell>
          <cell r="O496" t="str">
            <v>3</v>
          </cell>
        </row>
        <row r="497">
          <cell r="A497">
            <v>40080203</v>
          </cell>
          <cell r="B497" t="str">
            <v>[b]雷霆风暴[-]</v>
          </cell>
          <cell r="D497" t="str">
            <v>scream</v>
          </cell>
          <cell r="I497" t="str">
            <v>0</v>
          </cell>
          <cell r="J497" t="str">
            <v>1000</v>
          </cell>
          <cell r="K497" t="str">
            <v>0</v>
          </cell>
          <cell r="L497" t="str">
            <v>0</v>
          </cell>
          <cell r="M497" t="str">
            <v>100</v>
          </cell>
          <cell r="N497" t="str">
            <v>e_c_light_hit</v>
          </cell>
          <cell r="O497" t="str">
            <v>8</v>
          </cell>
        </row>
        <row r="498">
          <cell r="A498">
            <v>40090101</v>
          </cell>
          <cell r="B498" t="str">
            <v>[b]伯瓦尔普攻[-]</v>
          </cell>
          <cell r="D498" t="str">
            <v>attack1|attack2|skill2</v>
          </cell>
          <cell r="G498" t="str">
            <v>e_c_e_attack1_cast|e_c_e_attack2_cast</v>
          </cell>
          <cell r="I498" t="str">
            <v>0</v>
          </cell>
          <cell r="J498" t="str">
            <v>400|333|1133</v>
          </cell>
          <cell r="K498">
            <v>0</v>
          </cell>
          <cell r="L498" t="str">
            <v>288|450|1140</v>
          </cell>
          <cell r="M498" t="str">
            <v>20|20|60</v>
          </cell>
          <cell r="N498" t="str">
            <v>e_c_a_attack1_hit_1|e_c_a_attack1_hit_1|e_c_a_attack1_hit_1</v>
          </cell>
          <cell r="O498" t="str">
            <v>3</v>
          </cell>
        </row>
        <row r="499">
          <cell r="A499">
            <v>40090201</v>
          </cell>
          <cell r="B499" t="str">
            <v>[b]冲锋[-]</v>
          </cell>
          <cell r="D499" t="str">
            <v>skill2</v>
          </cell>
          <cell r="G499" t="str">
            <v>e_c_e_skill2_cast</v>
          </cell>
          <cell r="I499" t="str">
            <v>0</v>
          </cell>
          <cell r="J499" t="str">
            <v>425</v>
          </cell>
          <cell r="K499">
            <v>0</v>
          </cell>
          <cell r="L499" t="str">
            <v>153</v>
          </cell>
          <cell r="M499" t="str">
            <v>100</v>
          </cell>
          <cell r="O499" t="str">
            <v>8</v>
          </cell>
        </row>
        <row r="500">
          <cell r="A500">
            <v>40090202</v>
          </cell>
          <cell r="B500" t="str">
            <v>[b]颤栗咆哮[-]</v>
          </cell>
          <cell r="D500" t="str">
            <v>skill1</v>
          </cell>
          <cell r="G500" t="str">
            <v>e_c_e_skill1_cast</v>
          </cell>
          <cell r="I500" t="str">
            <v>0</v>
          </cell>
          <cell r="J500" t="str">
            <v>1425</v>
          </cell>
          <cell r="K500">
            <v>0</v>
          </cell>
          <cell r="L500">
            <v>285</v>
          </cell>
          <cell r="M500" t="str">
            <v>100</v>
          </cell>
          <cell r="O500" t="str">
            <v>5</v>
          </cell>
        </row>
        <row r="501">
          <cell r="A501">
            <v>40090203</v>
          </cell>
          <cell r="B501" t="str">
            <v>[b]公正之手[-]</v>
          </cell>
          <cell r="D501" t="str">
            <v>skill2</v>
          </cell>
          <cell r="G501" t="str">
            <v>e_c_e_skill2_cast</v>
          </cell>
          <cell r="I501" t="str">
            <v>0</v>
          </cell>
          <cell r="J501" t="str">
            <v>850</v>
          </cell>
          <cell r="K501">
            <v>0</v>
          </cell>
          <cell r="L501" t="str">
            <v>306</v>
          </cell>
          <cell r="M501" t="str">
            <v>100</v>
          </cell>
          <cell r="N501" t="str">
            <v>e_c_a_attack1_hit_1|e_c_a_attack1_hit_1</v>
          </cell>
          <cell r="O501" t="str">
            <v>3</v>
          </cell>
        </row>
        <row r="502">
          <cell r="A502">
            <v>40100101</v>
          </cell>
          <cell r="B502" t="str">
            <v>[b]乌瑟尔普攻[-]</v>
          </cell>
          <cell r="D502" t="str">
            <v>skill_1</v>
          </cell>
          <cell r="I502" t="str">
            <v>0</v>
          </cell>
          <cell r="J502" t="str">
            <v>1800</v>
          </cell>
          <cell r="K502">
            <v>0</v>
          </cell>
          <cell r="L502">
            <v>720</v>
          </cell>
          <cell r="M502" t="str">
            <v>100</v>
          </cell>
          <cell r="N502" t="str">
            <v>e_c_a_attack1_hit_1</v>
          </cell>
          <cell r="O502" t="str">
            <v>3</v>
          </cell>
        </row>
        <row r="503">
          <cell r="A503">
            <v>40100201</v>
          </cell>
          <cell r="B503" t="str">
            <v>[b]公正之锤[-]</v>
          </cell>
          <cell r="D503" t="str">
            <v>attack1</v>
          </cell>
          <cell r="I503" t="str">
            <v>0</v>
          </cell>
          <cell r="J503" t="str">
            <v>1000</v>
          </cell>
          <cell r="K503" t="str">
            <v>1</v>
          </cell>
          <cell r="L503" t="str">
            <v>460</v>
          </cell>
          <cell r="M503" t="str">
            <v>100</v>
          </cell>
          <cell r="N503" t="str">
            <v>e_c_fire_hit_big</v>
          </cell>
          <cell r="O503" t="str">
            <v>10</v>
          </cell>
        </row>
        <row r="504">
          <cell r="A504">
            <v>40100202</v>
          </cell>
          <cell r="B504" t="str">
            <v>[b]正义之怒[-]</v>
          </cell>
          <cell r="D504" t="str">
            <v>skill_2</v>
          </cell>
          <cell r="I504" t="str">
            <v>0</v>
          </cell>
          <cell r="J504" t="str">
            <v>1467</v>
          </cell>
          <cell r="K504">
            <v>0</v>
          </cell>
          <cell r="L504">
            <v>733</v>
          </cell>
          <cell r="M504" t="str">
            <v>100</v>
          </cell>
          <cell r="O504" t="str">
            <v>10</v>
          </cell>
        </row>
        <row r="505">
          <cell r="A505">
            <v>40100203</v>
          </cell>
          <cell r="B505" t="str">
            <v>[b]神圣干涉[-]</v>
          </cell>
          <cell r="D505" t="str">
            <v>skill_2</v>
          </cell>
          <cell r="G505" t="str">
            <v>e_c_e_skill1_cast</v>
          </cell>
          <cell r="I505" t="str">
            <v>0</v>
          </cell>
          <cell r="J505" t="str">
            <v>1467</v>
          </cell>
          <cell r="K505">
            <v>0</v>
          </cell>
          <cell r="L505">
            <v>733</v>
          </cell>
          <cell r="M505" t="str">
            <v>100</v>
          </cell>
          <cell r="O505" t="str">
            <v>3</v>
          </cell>
        </row>
        <row r="506">
          <cell r="A506">
            <v>40110101</v>
          </cell>
          <cell r="B506" t="str">
            <v>[b]扎克普攻[-]</v>
          </cell>
          <cell r="D506" t="str">
            <v>attack1</v>
          </cell>
          <cell r="G506" t="str">
            <v>e_c_e_skill1_cast</v>
          </cell>
          <cell r="I506" t="str">
            <v>0</v>
          </cell>
          <cell r="J506" t="str">
            <v>1500</v>
          </cell>
          <cell r="K506" t="str">
            <v>0</v>
          </cell>
          <cell r="L506" t="str">
            <v>930</v>
          </cell>
          <cell r="M506" t="str">
            <v>100</v>
          </cell>
          <cell r="N506" t="str">
            <v>e_c_fire_hit_big</v>
          </cell>
          <cell r="O506" t="str">
            <v>5</v>
          </cell>
        </row>
        <row r="507">
          <cell r="A507">
            <v>40110201</v>
          </cell>
          <cell r="B507" t="str">
            <v>[b]邪能深渊[-]</v>
          </cell>
          <cell r="D507" t="str">
            <v>skill1</v>
          </cell>
          <cell r="I507" t="str">
            <v>0</v>
          </cell>
          <cell r="J507" t="str">
            <v>2000</v>
          </cell>
          <cell r="K507" t="str">
            <v>0</v>
          </cell>
          <cell r="L507" t="str">
            <v>0</v>
          </cell>
          <cell r="M507" t="str">
            <v>100</v>
          </cell>
          <cell r="N507" t="str">
            <v>e_c_n_01_hit</v>
          </cell>
          <cell r="O507" t="str">
            <v>5</v>
          </cell>
        </row>
        <row r="508">
          <cell r="A508">
            <v>40110202</v>
          </cell>
          <cell r="B508" t="str">
            <v>[b]邪能之火[-]</v>
          </cell>
          <cell r="D508" t="str">
            <v>skill1</v>
          </cell>
          <cell r="I508" t="str">
            <v>0</v>
          </cell>
          <cell r="J508" t="str">
            <v>2000</v>
          </cell>
          <cell r="K508">
            <v>0</v>
          </cell>
          <cell r="L508" t="str">
            <v>1000</v>
          </cell>
          <cell r="M508" t="str">
            <v>100</v>
          </cell>
          <cell r="N508" t="str">
            <v>e_c_fire_hit_big</v>
          </cell>
          <cell r="O508" t="str">
            <v>6</v>
          </cell>
        </row>
        <row r="509">
          <cell r="A509">
            <v>40110203</v>
          </cell>
          <cell r="B509" t="str">
            <v>[b]邪能炸裂[-]</v>
          </cell>
          <cell r="D509" t="str">
            <v>skill1</v>
          </cell>
          <cell r="I509" t="str">
            <v>0</v>
          </cell>
          <cell r="J509" t="str">
            <v>2000</v>
          </cell>
          <cell r="K509" t="str">
            <v>0</v>
          </cell>
          <cell r="L509" t="str">
            <v>1000</v>
          </cell>
          <cell r="M509" t="str">
            <v>100</v>
          </cell>
          <cell r="N509" t="str">
            <v>e_c_fire_hit_big</v>
          </cell>
          <cell r="O509" t="str">
            <v>5</v>
          </cell>
        </row>
        <row r="510">
          <cell r="A510">
            <v>50010101</v>
          </cell>
          <cell r="B510" t="str">
            <v>[b]巫妖王普攻[-]</v>
          </cell>
          <cell r="D510" t="str">
            <v>attack1</v>
          </cell>
          <cell r="I510" t="str">
            <v>0</v>
          </cell>
          <cell r="J510" t="str">
            <v>1660</v>
          </cell>
          <cell r="K510" t="str">
            <v>0</v>
          </cell>
          <cell r="L510">
            <v>777</v>
          </cell>
          <cell r="M510" t="str">
            <v>100</v>
          </cell>
          <cell r="N510" t="str">
            <v>e_c_ice_hit_big</v>
          </cell>
          <cell r="O510" t="str">
            <v>3</v>
          </cell>
        </row>
        <row r="511">
          <cell r="A511">
            <v>50010201</v>
          </cell>
          <cell r="B511" t="str">
            <v>[b]死亡之握[-]</v>
          </cell>
          <cell r="D511" t="str">
            <v>skill_2</v>
          </cell>
          <cell r="G511" t="str">
            <v>e_c_darknova_cast</v>
          </cell>
          <cell r="I511" t="str">
            <v>0</v>
          </cell>
          <cell r="J511" t="str">
            <v>1500</v>
          </cell>
          <cell r="K511" t="str">
            <v>0</v>
          </cell>
          <cell r="L511" t="str">
            <v>1305</v>
          </cell>
          <cell r="M511" t="str">
            <v>100</v>
          </cell>
          <cell r="N511" t="str">
            <v>e_c_n_01_hit</v>
          </cell>
          <cell r="O511" t="str">
            <v>8</v>
          </cell>
        </row>
        <row r="512">
          <cell r="A512">
            <v>50010202</v>
          </cell>
          <cell r="B512" t="str">
            <v>[b]不死之躯[-]</v>
          </cell>
          <cell r="D512" t="str">
            <v>skill_2</v>
          </cell>
          <cell r="G512" t="str">
            <v>e_c_ice_hit_big</v>
          </cell>
          <cell r="I512" t="str">
            <v>0</v>
          </cell>
          <cell r="J512" t="str">
            <v>1500</v>
          </cell>
          <cell r="K512" t="str">
            <v>0</v>
          </cell>
          <cell r="L512" t="str">
            <v>1305</v>
          </cell>
          <cell r="M512" t="str">
            <v>100</v>
          </cell>
          <cell r="O512" t="str">
            <v>3</v>
          </cell>
        </row>
        <row r="513">
          <cell r="A513">
            <v>50010203</v>
          </cell>
          <cell r="B513" t="str">
            <v>[b]死亡缠绕[-]</v>
          </cell>
          <cell r="D513" t="str">
            <v>skill_1</v>
          </cell>
          <cell r="I513" t="str">
            <v>0</v>
          </cell>
          <cell r="J513" t="str">
            <v>1300</v>
          </cell>
          <cell r="K513" t="str">
            <v>0</v>
          </cell>
          <cell r="L513" t="str">
            <v>830</v>
          </cell>
          <cell r="M513" t="str">
            <v>100</v>
          </cell>
          <cell r="N513" t="str">
            <v>e_c_devil_hit</v>
          </cell>
          <cell r="O513">
            <v>10</v>
          </cell>
        </row>
        <row r="514">
          <cell r="A514">
            <v>50010204</v>
          </cell>
          <cell r="B514" t="str">
            <v>[b]霜之哀伤[-]</v>
          </cell>
          <cell r="D514" t="str">
            <v>attack1</v>
          </cell>
          <cell r="I514" t="str">
            <v>0</v>
          </cell>
          <cell r="J514" t="str">
            <v>800</v>
          </cell>
          <cell r="K514" t="str">
            <v>0</v>
          </cell>
          <cell r="L514" t="str">
            <v>374</v>
          </cell>
          <cell r="M514" t="str">
            <v>100</v>
          </cell>
          <cell r="N514" t="str">
            <v>e_c_ice_hit_big</v>
          </cell>
          <cell r="O514" t="str">
            <v>3</v>
          </cell>
        </row>
        <row r="515">
          <cell r="A515">
            <v>50020101</v>
          </cell>
          <cell r="B515" t="str">
            <v>[b]希尔瓦娜斯普攻[-]</v>
          </cell>
          <cell r="D515" t="str">
            <v>attack1_01</v>
          </cell>
          <cell r="E515" t="str">
            <v>attack1_02</v>
          </cell>
          <cell r="I515" t="str">
            <v>0</v>
          </cell>
          <cell r="J515" t="str">
            <v>800</v>
          </cell>
          <cell r="K515" t="str">
            <v>500</v>
          </cell>
          <cell r="L515" t="str">
            <v>1</v>
          </cell>
          <cell r="M515" t="str">
            <v>100</v>
          </cell>
          <cell r="N515" t="str">
            <v>e_c_a_attack1_hit_1</v>
          </cell>
          <cell r="O515">
            <v>10</v>
          </cell>
        </row>
        <row r="516">
          <cell r="A516">
            <v>50020201</v>
          </cell>
          <cell r="B516" t="str">
            <v>[b]射术专注[-]</v>
          </cell>
          <cell r="D516" t="str">
            <v>attack1_01|attack1_01|attack1_01|attack1_01|attack1_01</v>
          </cell>
          <cell r="E516" t="str">
            <v>attack1_02</v>
          </cell>
          <cell r="G516" t="str">
            <v>e_c_zzsj_cast|e_c_zzsj_cast|e_c_zzsj_cast|e_c_zzsj_cast|e_c_zzsj_cast</v>
          </cell>
          <cell r="I516" t="str">
            <v>0</v>
          </cell>
          <cell r="J516" t="str">
            <v>250|250|250|250|250</v>
          </cell>
          <cell r="K516">
            <v>300</v>
          </cell>
          <cell r="L516" t="str">
            <v>300|450|600|750|850</v>
          </cell>
          <cell r="M516" t="str">
            <v>20|20|20|20|20</v>
          </cell>
          <cell r="N516" t="str">
            <v>e_c_a_attack1_hit_1|e_c_a_attack1_hit_1|e_c_a_attack1_hit_1|e_c_a_attack1_hit_1|e_c_a_attack1_hit_1</v>
          </cell>
          <cell r="O516" t="str">
            <v>8</v>
          </cell>
        </row>
        <row r="517">
          <cell r="A517">
            <v>50020202</v>
          </cell>
          <cell r="B517" t="str">
            <v>[b]箭雨[-]</v>
          </cell>
          <cell r="D517" t="str">
            <v>attack1</v>
          </cell>
          <cell r="I517" t="str">
            <v>0</v>
          </cell>
          <cell r="J517" t="str">
            <v>800</v>
          </cell>
          <cell r="K517">
            <v>0</v>
          </cell>
          <cell r="L517">
            <v>800</v>
          </cell>
          <cell r="M517" t="str">
            <v>100</v>
          </cell>
          <cell r="N517" t="str">
            <v>e_c_a_attack1_hit_1</v>
          </cell>
          <cell r="O517" t="str">
            <v>8</v>
          </cell>
        </row>
        <row r="518">
          <cell r="A518">
            <v>50020203</v>
          </cell>
          <cell r="B518" t="str">
            <v>[b]迅猛突袭[-]</v>
          </cell>
          <cell r="D518" t="str">
            <v>skill_1</v>
          </cell>
          <cell r="G518" t="str">
            <v>e_c_e_skill1_cast</v>
          </cell>
          <cell r="I518" t="str">
            <v>0</v>
          </cell>
          <cell r="J518" t="str">
            <v>800</v>
          </cell>
          <cell r="K518" t="str">
            <v>0</v>
          </cell>
          <cell r="L518" t="str">
            <v>350</v>
          </cell>
          <cell r="M518" t="str">
            <v>100</v>
          </cell>
          <cell r="O518" t="str">
            <v>10</v>
          </cell>
        </row>
        <row r="519">
          <cell r="A519">
            <v>50020204</v>
          </cell>
          <cell r="B519" t="str">
            <v>[b]暗影杀戮[-]</v>
          </cell>
          <cell r="D519" t="str">
            <v>skill_2</v>
          </cell>
          <cell r="G519" t="str">
            <v>e_c_moonglaive_cast</v>
          </cell>
          <cell r="I519" t="str">
            <v>0</v>
          </cell>
          <cell r="J519" t="str">
            <v>1200</v>
          </cell>
          <cell r="K519">
            <v>300</v>
          </cell>
          <cell r="L519" t="str">
            <v>450|650|850</v>
          </cell>
          <cell r="M519" t="str">
            <v>33|33|34</v>
          </cell>
          <cell r="N519" t="str">
            <v>e_c_a_attack1_hit_1|e_c_a_attack1_hit_1|e_c_a_attack1_hit_1</v>
          </cell>
          <cell r="O519" t="str">
            <v>8</v>
          </cell>
        </row>
        <row r="520">
          <cell r="A520">
            <v>50030101</v>
          </cell>
          <cell r="B520" t="str">
            <v>[b]尤狄恩普攻[-]</v>
          </cell>
          <cell r="D520" t="str">
            <v>attack1|attack2|attack3</v>
          </cell>
          <cell r="G520" t="str">
            <v>e_dh_attack1|e_dh_attack2|e_dh_attack3</v>
          </cell>
          <cell r="I520" t="str">
            <v>0</v>
          </cell>
          <cell r="J520" t="str">
            <v>700|500|800</v>
          </cell>
          <cell r="K520">
            <v>0</v>
          </cell>
          <cell r="L520" t="str">
            <v>210|975|1608</v>
          </cell>
          <cell r="M520" t="str">
            <v>20|20|60</v>
          </cell>
          <cell r="N520" t="str">
            <v>e_c_a_attack1_hit_1</v>
          </cell>
          <cell r="O520" t="str">
            <v>3</v>
          </cell>
        </row>
        <row r="521">
          <cell r="A521">
            <v>50030201</v>
          </cell>
          <cell r="B521" t="str">
            <v>[b]邪恶冲刺[-]</v>
          </cell>
          <cell r="D521" t="str">
            <v>skill1_2</v>
          </cell>
          <cell r="G521" t="str">
            <v>e_dh_attack5</v>
          </cell>
          <cell r="I521" t="str">
            <v>0</v>
          </cell>
          <cell r="J521" t="str">
            <v>500</v>
          </cell>
          <cell r="K521">
            <v>0</v>
          </cell>
          <cell r="L521" t="str">
            <v>500</v>
          </cell>
          <cell r="M521" t="str">
            <v>100</v>
          </cell>
          <cell r="N521" t="str">
            <v>e_c_a_attack1_hit_1</v>
          </cell>
          <cell r="O521" t="str">
            <v>8</v>
          </cell>
        </row>
        <row r="522">
          <cell r="A522">
            <v>50030202</v>
          </cell>
          <cell r="B522" t="str">
            <v>[b]切割[-]</v>
          </cell>
          <cell r="D522" t="str">
            <v>attack4</v>
          </cell>
          <cell r="G522" t="str">
            <v>e_dh_attack4</v>
          </cell>
          <cell r="I522" t="str">
            <v>0</v>
          </cell>
          <cell r="J522" t="str">
            <v>1200</v>
          </cell>
          <cell r="K522">
            <v>0</v>
          </cell>
          <cell r="L522">
            <v>600</v>
          </cell>
          <cell r="M522" t="str">
            <v>100</v>
          </cell>
          <cell r="N522" t="str">
            <v>e_c_a_attack1_hit_1</v>
          </cell>
          <cell r="O522" t="str">
            <v>3</v>
          </cell>
        </row>
        <row r="523">
          <cell r="A523">
            <v>50030203</v>
          </cell>
          <cell r="B523" t="str">
            <v>[b]恶魔之力[-]</v>
          </cell>
          <cell r="D523" t="str">
            <v>scream</v>
          </cell>
          <cell r="G523" t="str">
            <v>e_n_arrow_002</v>
          </cell>
          <cell r="I523" t="str">
            <v>0</v>
          </cell>
          <cell r="J523" t="str">
            <v>2000</v>
          </cell>
          <cell r="K523">
            <v>0</v>
          </cell>
          <cell r="L523">
            <v>1140</v>
          </cell>
          <cell r="M523" t="str">
            <v>100</v>
          </cell>
          <cell r="N523" t="str">
            <v>e_c_fire_hit_big</v>
          </cell>
          <cell r="O523" t="str">
            <v>3</v>
          </cell>
        </row>
        <row r="524">
          <cell r="A524">
            <v>50030204</v>
          </cell>
          <cell r="B524" t="str">
            <v>[b]邪刃之舞[-]</v>
          </cell>
          <cell r="D524" t="str">
            <v>attack4|attack4|attack4|attack4|skill1_1</v>
          </cell>
          <cell r="G524" t="str">
            <v>e_dh_attack4|e_dh_attack4|e_dh_attack4|e_dh_attack4|e_n_arrow_002</v>
          </cell>
          <cell r="I524" t="str">
            <v>0</v>
          </cell>
          <cell r="J524" t="str">
            <v>300|250|200|150|1100</v>
          </cell>
          <cell r="K524">
            <v>0</v>
          </cell>
          <cell r="L524" t="str">
            <v>150|425|650|825|1450</v>
          </cell>
          <cell r="M524" t="str">
            <v>10|10|10|10|60</v>
          </cell>
          <cell r="N524" t="str">
            <v>e_c_fire_hit_big</v>
          </cell>
          <cell r="O524" t="str">
            <v>3</v>
          </cell>
        </row>
        <row r="525">
          <cell r="A525">
            <v>50040101</v>
          </cell>
          <cell r="B525" t="str">
            <v>[b]守护者寒冰箭普攻[-]</v>
          </cell>
          <cell r="D525" t="str">
            <v>attack2_01</v>
          </cell>
          <cell r="E525" t="str">
            <v>attack2_02</v>
          </cell>
          <cell r="I525" t="str">
            <v>0</v>
          </cell>
          <cell r="J525" t="str">
            <v>600</v>
          </cell>
          <cell r="K525" t="str">
            <v>300</v>
          </cell>
          <cell r="L525" t="str">
            <v>1</v>
          </cell>
          <cell r="M525" t="str">
            <v>100</v>
          </cell>
          <cell r="N525" t="str">
            <v>e_c_ice_hit_big</v>
          </cell>
          <cell r="O525" t="str">
            <v>10</v>
          </cell>
        </row>
        <row r="526">
          <cell r="A526">
            <v>50040201</v>
          </cell>
          <cell r="B526" t="str">
            <v>[b]闪电[-]</v>
          </cell>
          <cell r="D526" t="str">
            <v>attack1_01</v>
          </cell>
          <cell r="E526" t="str">
            <v>attack1_02</v>
          </cell>
          <cell r="I526" t="str">
            <v>0</v>
          </cell>
          <cell r="J526" t="str">
            <v>650</v>
          </cell>
          <cell r="K526" t="str">
            <v>550</v>
          </cell>
          <cell r="L526" t="str">
            <v>640</v>
          </cell>
          <cell r="M526" t="str">
            <v>100</v>
          </cell>
          <cell r="N526" t="str">
            <v>e_c_light_hit</v>
          </cell>
          <cell r="O526" t="str">
            <v>6</v>
          </cell>
        </row>
        <row r="527">
          <cell r="A527">
            <v>50040202</v>
          </cell>
          <cell r="B527" t="str">
            <v>[b]火雨[-]</v>
          </cell>
          <cell r="D527" t="str">
            <v>skill6</v>
          </cell>
          <cell r="I527" t="str">
            <v>0</v>
          </cell>
          <cell r="J527" t="str">
            <v>1300</v>
          </cell>
          <cell r="K527">
            <v>0</v>
          </cell>
          <cell r="L527">
            <v>1040</v>
          </cell>
          <cell r="M527" t="str">
            <v>100</v>
          </cell>
          <cell r="N527" t="str">
            <v>e_c_a_attack1_hit_1</v>
          </cell>
          <cell r="O527" t="str">
            <v>10</v>
          </cell>
        </row>
        <row r="528">
          <cell r="A528">
            <v>50040203</v>
          </cell>
          <cell r="B528" t="str">
            <v>[b]冰封[-]</v>
          </cell>
          <cell r="D528" t="str">
            <v>skill5</v>
          </cell>
          <cell r="I528" t="str">
            <v>0</v>
          </cell>
          <cell r="J528" t="str">
            <v>1300</v>
          </cell>
          <cell r="K528" t="str">
            <v>0</v>
          </cell>
          <cell r="L528" t="str">
            <v>650</v>
          </cell>
          <cell r="M528" t="str">
            <v>100</v>
          </cell>
          <cell r="N528" t="str">
            <v>e_c_ice_hit_big</v>
          </cell>
          <cell r="O528" t="str">
            <v>5</v>
          </cell>
        </row>
        <row r="529">
          <cell r="A529">
            <v>50040204</v>
          </cell>
          <cell r="B529" t="str">
            <v>[b]春风[-]</v>
          </cell>
          <cell r="D529" t="str">
            <v>attack2</v>
          </cell>
          <cell r="I529" t="str">
            <v>0</v>
          </cell>
          <cell r="J529" t="str">
            <v>1150</v>
          </cell>
          <cell r="K529">
            <v>0</v>
          </cell>
          <cell r="L529" t="str">
            <v>330</v>
          </cell>
          <cell r="M529" t="str">
            <v>100</v>
          </cell>
          <cell r="N529" t="str">
            <v>e_c_a_attack1_hit_1</v>
          </cell>
          <cell r="O529" t="str">
            <v>5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config"/>
      <sheetName val="Entourage"/>
      <sheetName val="sconfig1"/>
      <sheetName val="EntourageExp"/>
      <sheetName val="all"/>
      <sheetName val="字段说明"/>
      <sheetName val="EntourageTalk"/>
      <sheetName val="sconfig2"/>
      <sheetName val="filiation"/>
      <sheetName val="sconfig3"/>
      <sheetName val="filiationLevel"/>
      <sheetName val="sconfig4"/>
      <sheetName val="soulLinkConfig"/>
      <sheetName val="随从Entourage诶我去二群二群"/>
    </sheetNames>
    <definedNames>
      <definedName name="WriteCur"/>
    </definedNames>
    <sheetDataSet>
      <sheetData sheetId="0" refreshError="1"/>
      <sheetData sheetId="1" refreshError="1">
        <row r="1">
          <cell r="A1" t="str">
            <v>id</v>
          </cell>
          <cell r="B1" t="str">
            <v>petname</v>
          </cell>
          <cell r="C1" t="str">
            <v>star</v>
          </cell>
          <cell r="D1" t="str">
            <v>petintro</v>
          </cell>
          <cell r="E1" t="str">
            <v>petskillGroup</v>
          </cell>
          <cell r="F1" t="str">
            <v>petEquipGroup</v>
          </cell>
          <cell r="G1" t="str">
            <v>pic</v>
          </cell>
          <cell r="H1" t="str">
            <v>equipList</v>
          </cell>
          <cell r="I1" t="str">
            <v>boneName</v>
          </cell>
          <cell r="J1" t="str">
            <v>res_name</v>
          </cell>
          <cell r="K1" t="str">
            <v>needed_soul_id</v>
          </cell>
          <cell r="L1" t="str">
            <v>needed_soul_num</v>
          </cell>
          <cell r="M1" t="str">
            <v>propList</v>
          </cell>
          <cell r="N1" t="str">
            <v>type</v>
          </cell>
          <cell r="O1" t="str">
            <v>baseFighting</v>
          </cell>
          <cell r="P1" t="str">
            <v>growthFighting</v>
          </cell>
          <cell r="Q1" t="str">
            <v>starPropList</v>
          </cell>
          <cell r="R1" t="str">
            <v>starpropFighting</v>
          </cell>
          <cell r="S1" t="str">
            <v>pace_speed</v>
          </cell>
          <cell r="T1" t="str">
            <v>baseMoveSpd</v>
          </cell>
          <cell r="U1" t="str">
            <v>normalSkill</v>
          </cell>
          <cell r="V1" t="str">
            <v>preview_scale</v>
          </cell>
          <cell r="W1" t="str">
            <v>previewPostion</v>
          </cell>
          <cell r="X1" t="str">
            <v>previewRotation</v>
          </cell>
          <cell r="Y1" t="str">
            <v>atk</v>
          </cell>
          <cell r="Z1" t="str">
            <v>def</v>
          </cell>
          <cell r="AA1" t="str">
            <v>hpLimit</v>
          </cell>
        </row>
        <row r="2">
          <cell r="A2">
            <v>1</v>
          </cell>
          <cell r="B2" t="str">
            <v>重剑步兵</v>
          </cell>
          <cell r="C2">
            <v>1</v>
          </cell>
          <cell r="D2" t="str">
            <v>人类精英士兵，经过了多次战斗考验的忠诚战士。在战斗中是称职的好帮手。</v>
          </cell>
          <cell r="E2">
            <v>20020201</v>
          </cell>
          <cell r="H2">
            <v>1918</v>
          </cell>
          <cell r="I2" t="str">
            <v>Bip001</v>
          </cell>
          <cell r="J2" t="str">
            <v>ActorBone/c_n_004_01</v>
          </cell>
          <cell r="K2">
            <v>9015</v>
          </cell>
          <cell r="L2">
            <v>10</v>
          </cell>
          <cell r="N2">
            <v>1</v>
          </cell>
          <cell r="O2">
            <v>1011</v>
          </cell>
          <cell r="P2">
            <v>101</v>
          </cell>
          <cell r="Q2" t="str">
            <v>101,267|102,244|104,5009|103,0|106,0|108,0</v>
          </cell>
          <cell r="R2">
            <v>1113</v>
          </cell>
          <cell r="S2" t="str">
            <v>4</v>
          </cell>
          <cell r="T2" t="str">
            <v>8</v>
          </cell>
          <cell r="U2">
            <v>20020101</v>
          </cell>
          <cell r="V2">
            <v>1</v>
          </cell>
          <cell r="W2" t="str">
            <v>0.05,0.044,2.6</v>
          </cell>
          <cell r="X2" t="str">
            <v>0,11.46,0</v>
          </cell>
          <cell r="Y2">
            <v>267</v>
          </cell>
          <cell r="Z2">
            <v>244</v>
          </cell>
          <cell r="AA2">
            <v>5009</v>
          </cell>
        </row>
        <row r="3">
          <cell r="A3">
            <v>2</v>
          </cell>
          <cell r="B3" t="str">
            <v>女妖蒂罗亚</v>
          </cell>
          <cell r="C3">
            <v>1</v>
          </cell>
          <cell r="D3" t="str">
            <v>沉迷黑暗魔法的蒂罗亚将自己的身体也献给了暗影，成为女妖之后的她更加擅长将伤害和痛苦施加给敌人。</v>
          </cell>
          <cell r="E3">
            <v>20040201</v>
          </cell>
          <cell r="H3">
            <v>955</v>
          </cell>
          <cell r="I3" t="str">
            <v>Bip001</v>
          </cell>
          <cell r="J3" t="str">
            <v>ActorBone/c_m_010_b01</v>
          </cell>
          <cell r="K3">
            <v>9016</v>
          </cell>
          <cell r="L3">
            <v>10</v>
          </cell>
          <cell r="N3">
            <v>2</v>
          </cell>
          <cell r="O3">
            <v>934</v>
          </cell>
          <cell r="P3">
            <v>93</v>
          </cell>
          <cell r="Q3" t="str">
            <v>101,326|102,199|104,4098|103,0|106,0|108,0</v>
          </cell>
          <cell r="R3">
            <v>1028</v>
          </cell>
          <cell r="S3" t="str">
            <v>4</v>
          </cell>
          <cell r="T3" t="str">
            <v>8</v>
          </cell>
          <cell r="U3">
            <v>20040101</v>
          </cell>
          <cell r="V3">
            <v>1</v>
          </cell>
          <cell r="W3" t="str">
            <v>0.05,0.236,2.2</v>
          </cell>
          <cell r="X3" t="str">
            <v>0,17.79,0</v>
          </cell>
          <cell r="Y3">
            <v>326</v>
          </cell>
          <cell r="Z3">
            <v>199</v>
          </cell>
          <cell r="AA3">
            <v>4098</v>
          </cell>
        </row>
        <row r="4">
          <cell r="A4">
            <v>3</v>
          </cell>
          <cell r="B4" t="str">
            <v>莫德雷斯</v>
          </cell>
          <cell r="C4">
            <v>1</v>
          </cell>
          <cell r="D4" t="str">
            <v>莫德雷斯曾是一位残暴的角斗士，成为亡灵之后，不死的身躯令他得到了更加强大的力量。</v>
          </cell>
          <cell r="E4">
            <v>20060201</v>
          </cell>
          <cell r="H4">
            <v>953</v>
          </cell>
          <cell r="I4" t="str">
            <v>Bip001</v>
          </cell>
          <cell r="J4" t="str">
            <v>ActorBone/c_m_009_b01</v>
          </cell>
          <cell r="K4">
            <v>9017</v>
          </cell>
          <cell r="L4">
            <v>10</v>
          </cell>
          <cell r="N4">
            <v>3</v>
          </cell>
          <cell r="O4">
            <v>944</v>
          </cell>
          <cell r="P4">
            <v>94</v>
          </cell>
          <cell r="Q4" t="str">
            <v>101,267|102,222|104,4554|103,0|106,0|108,0</v>
          </cell>
          <cell r="R4">
            <v>1038</v>
          </cell>
          <cell r="S4" t="str">
            <v>4</v>
          </cell>
          <cell r="T4" t="str">
            <v>8</v>
          </cell>
          <cell r="U4">
            <v>20060101</v>
          </cell>
          <cell r="V4">
            <v>1</v>
          </cell>
          <cell r="W4" t="str">
            <v>0.02,0.084,2.6</v>
          </cell>
          <cell r="X4" t="str">
            <v>0,0,0</v>
          </cell>
          <cell r="Y4">
            <v>267</v>
          </cell>
          <cell r="Z4">
            <v>222</v>
          </cell>
          <cell r="AA4">
            <v>4554</v>
          </cell>
        </row>
        <row r="5">
          <cell r="A5">
            <v>4</v>
          </cell>
          <cell r="B5" t="str">
            <v>土元素</v>
          </cell>
          <cell r="C5">
            <v>1</v>
          </cell>
          <cell r="D5" t="str">
            <v>拥有着大地之力的土元素，坚硬厚实的身躯令它很难被敌人杀死。</v>
          </cell>
          <cell r="E5" t="str">
            <v>30010201,30010202</v>
          </cell>
          <cell r="H5">
            <v>962</v>
          </cell>
          <cell r="I5" t="str">
            <v>Bip001</v>
          </cell>
          <cell r="J5" t="str">
            <v>ActorBone/c_m_008_b02</v>
          </cell>
          <cell r="K5">
            <v>9018</v>
          </cell>
          <cell r="L5">
            <v>10</v>
          </cell>
          <cell r="N5">
            <v>1</v>
          </cell>
          <cell r="O5">
            <v>1288</v>
          </cell>
          <cell r="P5">
            <v>128</v>
          </cell>
          <cell r="Q5" t="str">
            <v>101,340|102,311|104,6375|103,0|106,0|108,0</v>
          </cell>
          <cell r="R5">
            <v>1803</v>
          </cell>
          <cell r="S5" t="str">
            <v>4</v>
          </cell>
          <cell r="T5" t="str">
            <v>8</v>
          </cell>
          <cell r="U5">
            <v>30010101</v>
          </cell>
          <cell r="V5">
            <v>1</v>
          </cell>
          <cell r="W5" t="str">
            <v>0.143,0.142,3.86</v>
          </cell>
          <cell r="X5" t="str">
            <v>0,21,0</v>
          </cell>
          <cell r="Y5">
            <v>340</v>
          </cell>
          <cell r="Z5">
            <v>311</v>
          </cell>
          <cell r="AA5">
            <v>6375</v>
          </cell>
        </row>
        <row r="6">
          <cell r="A6">
            <v>5</v>
          </cell>
          <cell r="B6" t="str">
            <v>火元素</v>
          </cell>
          <cell r="C6">
            <v>1</v>
          </cell>
          <cell r="D6" t="str">
            <v>操纵火焰之力的火元素，擅长使用威力惊人的炽热火焰灼烧敌人。</v>
          </cell>
          <cell r="E6" t="str">
            <v>30030201,30030202</v>
          </cell>
          <cell r="H6">
            <v>964</v>
          </cell>
          <cell r="I6" t="str">
            <v>Bip001</v>
          </cell>
          <cell r="J6" t="str">
            <v>ActorBone/c_m_008_b02</v>
          </cell>
          <cell r="K6">
            <v>9019</v>
          </cell>
          <cell r="L6">
            <v>10</v>
          </cell>
          <cell r="N6">
            <v>2</v>
          </cell>
          <cell r="O6">
            <v>1190</v>
          </cell>
          <cell r="P6">
            <v>119</v>
          </cell>
          <cell r="Q6" t="str">
            <v>101,415|102,254|104,5216|103,0|106,0|108,0</v>
          </cell>
          <cell r="R6">
            <v>1666</v>
          </cell>
          <cell r="S6" t="str">
            <v>4</v>
          </cell>
          <cell r="T6" t="str">
            <v>8</v>
          </cell>
          <cell r="U6">
            <v>30030101</v>
          </cell>
          <cell r="V6">
            <v>1</v>
          </cell>
          <cell r="W6" t="str">
            <v>0.193,-0.078,4</v>
          </cell>
          <cell r="X6" t="str">
            <v>0,15.62,0</v>
          </cell>
          <cell r="Y6">
            <v>415</v>
          </cell>
          <cell r="Z6">
            <v>254</v>
          </cell>
          <cell r="AA6">
            <v>5216</v>
          </cell>
        </row>
        <row r="7">
          <cell r="A7">
            <v>6</v>
          </cell>
          <cell r="B7" t="str">
            <v>风元素</v>
          </cell>
          <cell r="C7">
            <v>1</v>
          </cell>
          <cell r="D7" t="str">
            <v>掌控流动之风的风元素，擅长使用风来御敌或是纠缠敌人。</v>
          </cell>
          <cell r="E7" t="str">
            <v>30050201,30050202</v>
          </cell>
          <cell r="H7">
            <v>961</v>
          </cell>
          <cell r="I7" t="str">
            <v>Bip001</v>
          </cell>
          <cell r="J7" t="str">
            <v>ActorBone/c_m_008_b01</v>
          </cell>
          <cell r="K7">
            <v>9020</v>
          </cell>
          <cell r="L7">
            <v>10</v>
          </cell>
          <cell r="N7">
            <v>3</v>
          </cell>
          <cell r="O7">
            <v>1201</v>
          </cell>
          <cell r="P7">
            <v>120</v>
          </cell>
          <cell r="Q7" t="str">
            <v>101,340|102,282|104,5796|103,0|106,0|108,0</v>
          </cell>
          <cell r="R7">
            <v>1682</v>
          </cell>
          <cell r="S7" t="str">
            <v>4</v>
          </cell>
          <cell r="T7" t="str">
            <v>8</v>
          </cell>
          <cell r="U7">
            <v>30050101</v>
          </cell>
          <cell r="V7">
            <v>1</v>
          </cell>
          <cell r="W7" t="str">
            <v>0.172,0,3.5</v>
          </cell>
          <cell r="X7" t="str">
            <v>0,18.7,0</v>
          </cell>
          <cell r="Y7">
            <v>340</v>
          </cell>
          <cell r="Z7">
            <v>282</v>
          </cell>
          <cell r="AA7">
            <v>5796</v>
          </cell>
        </row>
        <row r="8">
          <cell r="A8">
            <v>7</v>
          </cell>
          <cell r="B8" t="str">
            <v>拉格霍尔</v>
          </cell>
          <cell r="C8">
            <v>1</v>
          </cell>
          <cell r="D8" t="str">
            <v>松木林地的恶梦，强壮无比的拉格霍尔能够用它手中的巨斧轻易的撕开敌人，而且嗜血的它不会令任何人逃脱。</v>
          </cell>
          <cell r="E8" t="str">
            <v>30020201,30020202</v>
          </cell>
          <cell r="H8">
            <v>949</v>
          </cell>
          <cell r="I8" t="str">
            <v>Bip001</v>
          </cell>
          <cell r="J8" t="str">
            <v>ActorBone/c_p_b_001</v>
          </cell>
          <cell r="K8">
            <v>9021</v>
          </cell>
          <cell r="L8">
            <v>10</v>
          </cell>
          <cell r="N8">
            <v>1</v>
          </cell>
          <cell r="O8">
            <v>1288</v>
          </cell>
          <cell r="P8">
            <v>128</v>
          </cell>
          <cell r="Q8" t="str">
            <v>101,340|102,311|104,6375|103,0|106,0|108,0</v>
          </cell>
          <cell r="R8">
            <v>1803</v>
          </cell>
          <cell r="S8" t="str">
            <v>4</v>
          </cell>
          <cell r="T8" t="str">
            <v>8</v>
          </cell>
          <cell r="U8">
            <v>30020101</v>
          </cell>
          <cell r="V8">
            <v>1</v>
          </cell>
          <cell r="W8" t="str">
            <v>0.02,0.048,3.37</v>
          </cell>
          <cell r="X8" t="str">
            <v>0,0,0</v>
          </cell>
          <cell r="Y8">
            <v>340</v>
          </cell>
          <cell r="Z8">
            <v>311</v>
          </cell>
          <cell r="AA8">
            <v>6375</v>
          </cell>
        </row>
        <row r="9">
          <cell r="A9">
            <v>8</v>
          </cell>
          <cell r="B9" t="str">
            <v>阿拉基</v>
          </cell>
          <cell r="C9">
            <v>1</v>
          </cell>
          <cell r="D9" t="str">
            <v>身为诅咒教的首脑他精通大量的黑暗魔法，并且极具破坏力。除此之外他还会使用一些幻术令人昏睡。</v>
          </cell>
          <cell r="E9" t="str">
            <v>30060201,30060202</v>
          </cell>
          <cell r="H9">
            <v>958</v>
          </cell>
          <cell r="I9" t="str">
            <v>Bip001</v>
          </cell>
          <cell r="J9" t="str">
            <v>ActorBone/c_m_002_b01</v>
          </cell>
          <cell r="K9">
            <v>9022</v>
          </cell>
          <cell r="L9">
            <v>10</v>
          </cell>
          <cell r="N9">
            <v>3</v>
          </cell>
          <cell r="O9">
            <v>1201</v>
          </cell>
          <cell r="P9">
            <v>120</v>
          </cell>
          <cell r="Q9" t="str">
            <v>101,340|102,282|104,5796|103,0|106,0|108,0</v>
          </cell>
          <cell r="R9">
            <v>1682</v>
          </cell>
          <cell r="S9" t="str">
            <v>4</v>
          </cell>
          <cell r="T9" t="str">
            <v>8</v>
          </cell>
          <cell r="U9">
            <v>30060101</v>
          </cell>
          <cell r="V9">
            <v>1</v>
          </cell>
          <cell r="W9" t="str">
            <v>0.12,0.1,2.5</v>
          </cell>
          <cell r="X9" t="str">
            <v>0,9.1,0</v>
          </cell>
          <cell r="Y9">
            <v>340</v>
          </cell>
          <cell r="Z9">
            <v>282</v>
          </cell>
          <cell r="AA9">
            <v>5796</v>
          </cell>
        </row>
        <row r="10">
          <cell r="A10">
            <v>9</v>
          </cell>
          <cell r="B10" t="str">
            <v>安娜</v>
          </cell>
          <cell r="C10">
            <v>1</v>
          </cell>
          <cell r="D10" t="str">
            <v>守护者格拉克茜的学徒，擅长使用冰系魔法的安娜可以帮助你在战场上快速制敌，并且可以在被袭击的情况下后发制人。</v>
          </cell>
          <cell r="E10" t="str">
            <v>40050201,40050202,40050203</v>
          </cell>
          <cell r="H10" t="str">
            <v>1900|1901</v>
          </cell>
          <cell r="I10" t="str">
            <v>Bip001</v>
          </cell>
          <cell r="J10" t="str">
            <v>ActorBone/c_n_010_02</v>
          </cell>
          <cell r="K10">
            <v>9001</v>
          </cell>
          <cell r="L10">
            <v>10</v>
          </cell>
          <cell r="N10">
            <v>2</v>
          </cell>
          <cell r="O10">
            <v>1616</v>
          </cell>
          <cell r="P10">
            <v>161</v>
          </cell>
          <cell r="Q10" t="str">
            <v>101,564|102,345|104,7079|103,0|106,0|108,0</v>
          </cell>
          <cell r="R10">
            <v>3072</v>
          </cell>
          <cell r="S10" t="str">
            <v>4</v>
          </cell>
          <cell r="T10" t="str">
            <v>8</v>
          </cell>
          <cell r="U10">
            <v>40050101</v>
          </cell>
          <cell r="V10">
            <v>1</v>
          </cell>
          <cell r="W10" t="str">
            <v>0.147,0.334,2.36</v>
          </cell>
          <cell r="X10" t="str">
            <v>0,16.58,0</v>
          </cell>
          <cell r="Y10">
            <v>564</v>
          </cell>
          <cell r="Z10">
            <v>345</v>
          </cell>
          <cell r="AA10">
            <v>7079</v>
          </cell>
        </row>
        <row r="11">
          <cell r="A11">
            <v>10</v>
          </cell>
          <cell r="B11" t="str">
            <v>黑暗君王</v>
          </cell>
          <cell r="C11">
            <v>1</v>
          </cell>
          <cell r="D11" t="str">
            <v>曾经信仰圣光身份高贵的国王之子，却因迷失在仇恨之中而堕落。在得到了神器冰霜之剑后成为了统领千万亡灵的黑暗君王，他就像阿瓦格拉斯的化身，将恐惧、绝望与死亡撒播到这个世界的各个角落。</v>
          </cell>
          <cell r="E11" t="str">
            <v>50010201,50010202,50010203,50010204</v>
          </cell>
          <cell r="H11">
            <v>1902</v>
          </cell>
          <cell r="I11" t="str">
            <v>Bip001</v>
          </cell>
          <cell r="J11" t="str">
            <v>ActorBone/c_n_001_01</v>
          </cell>
          <cell r="K11">
            <v>9002</v>
          </cell>
          <cell r="L11">
            <v>10</v>
          </cell>
          <cell r="N11">
            <v>1</v>
          </cell>
          <cell r="O11">
            <v>2023</v>
          </cell>
          <cell r="P11">
            <v>202</v>
          </cell>
          <cell r="Q11" t="str">
            <v>101,534|102,488|104,10018|103,0|106,0|108,0</v>
          </cell>
          <cell r="R11">
            <v>4452</v>
          </cell>
          <cell r="S11" t="str">
            <v>4</v>
          </cell>
          <cell r="T11" t="str">
            <v>8</v>
          </cell>
          <cell r="U11">
            <v>50010101</v>
          </cell>
          <cell r="V11">
            <v>1</v>
          </cell>
          <cell r="W11" t="str">
            <v>0.05,0.026,3.7</v>
          </cell>
          <cell r="X11" t="str">
            <v>0,0,0</v>
          </cell>
          <cell r="Y11">
            <v>534</v>
          </cell>
          <cell r="Z11">
            <v>488</v>
          </cell>
          <cell r="AA11">
            <v>10018</v>
          </cell>
        </row>
        <row r="12">
          <cell r="A12">
            <v>11</v>
          </cell>
          <cell r="B12" t="str">
            <v>露莉亚</v>
          </cell>
          <cell r="C12">
            <v>1</v>
          </cell>
          <cell r="D12" t="str">
            <v>露莉亚是月神忠实的信徒，所以她总能获得月神的眷顾，在战场上出奇制胜。</v>
          </cell>
          <cell r="E12">
            <v>20050201</v>
          </cell>
          <cell r="H12">
            <v>1908</v>
          </cell>
          <cell r="I12" t="str">
            <v>Bip001</v>
          </cell>
          <cell r="J12" t="str">
            <v>ActorBone/c_n_007_01</v>
          </cell>
          <cell r="K12">
            <v>9005</v>
          </cell>
          <cell r="L12">
            <v>10</v>
          </cell>
          <cell r="N12">
            <v>3</v>
          </cell>
          <cell r="O12">
            <v>1029</v>
          </cell>
          <cell r="P12">
            <v>102</v>
          </cell>
          <cell r="Q12" t="str">
            <v>101,291|102,242|104,4968|103,0|106,0|108,0</v>
          </cell>
          <cell r="R12">
            <v>1235</v>
          </cell>
          <cell r="S12" t="str">
            <v>4</v>
          </cell>
          <cell r="T12" t="str">
            <v>8</v>
          </cell>
          <cell r="U12">
            <v>20050101</v>
          </cell>
          <cell r="V12">
            <v>1</v>
          </cell>
          <cell r="W12" t="str">
            <v>0,0.107,2.39</v>
          </cell>
          <cell r="X12" t="str">
            <v>0,13.89,0</v>
          </cell>
          <cell r="Y12">
            <v>291</v>
          </cell>
          <cell r="Z12">
            <v>242</v>
          </cell>
          <cell r="AA12">
            <v>4968</v>
          </cell>
        </row>
        <row r="13">
          <cell r="A13">
            <v>12</v>
          </cell>
          <cell r="B13" t="str">
            <v>格拉尔</v>
          </cell>
          <cell r="C13">
            <v>1</v>
          </cell>
          <cell r="D13" t="str">
            <v>格拉尔可以轻易驾驭大地和闪电的力量，释放各种威力强大的法术或是用图腾为友方治愈伤口。</v>
          </cell>
          <cell r="E13" t="str">
            <v>40080201,40080202,40080203</v>
          </cell>
          <cell r="H13">
            <v>1911</v>
          </cell>
          <cell r="I13" t="str">
            <v>Bip001</v>
          </cell>
          <cell r="J13" t="str">
            <v>ActorBone/c_n_009_01</v>
          </cell>
          <cell r="K13">
            <v>9006</v>
          </cell>
          <cell r="L13">
            <v>10</v>
          </cell>
          <cell r="N13">
            <v>3</v>
          </cell>
          <cell r="O13">
            <v>1630</v>
          </cell>
          <cell r="P13">
            <v>163</v>
          </cell>
          <cell r="Q13" t="str">
            <v>101,461|102,383|104,7866|103,0|106,0|108,0</v>
          </cell>
          <cell r="R13">
            <v>3098</v>
          </cell>
          <cell r="S13" t="str">
            <v>4</v>
          </cell>
          <cell r="T13" t="str">
            <v>8</v>
          </cell>
          <cell r="U13">
            <v>40080101</v>
          </cell>
          <cell r="V13">
            <v>1</v>
          </cell>
          <cell r="W13" t="str">
            <v>0.168,0.1,3.20</v>
          </cell>
          <cell r="X13" t="str">
            <v>0,3.81,0</v>
          </cell>
          <cell r="Y13">
            <v>461</v>
          </cell>
          <cell r="Z13">
            <v>383</v>
          </cell>
          <cell r="AA13">
            <v>7866</v>
          </cell>
        </row>
        <row r="14">
          <cell r="A14">
            <v>13</v>
          </cell>
          <cell r="B14" t="str">
            <v>希瓦娜</v>
          </cell>
          <cell r="C14">
            <v>1</v>
          </cell>
          <cell r="D14" t="str">
            <v>被转化为女妖的精灵游侠，在夺回自己的身体之后变得更加强大。在她张开充斥着暗影之力的长弓时任何敌人都会胆寒。</v>
          </cell>
          <cell r="E14" t="str">
            <v>50020201,50020202,50020203,50020204</v>
          </cell>
          <cell r="H14">
            <v>1906</v>
          </cell>
          <cell r="I14" t="str">
            <v>Bip001</v>
          </cell>
          <cell r="J14" t="str">
            <v>ActorBone/c_n_007_01</v>
          </cell>
          <cell r="K14">
            <v>9008</v>
          </cell>
          <cell r="L14">
            <v>10</v>
          </cell>
          <cell r="N14">
            <v>2</v>
          </cell>
          <cell r="O14">
            <v>1616</v>
          </cell>
          <cell r="P14">
            <v>161</v>
          </cell>
          <cell r="Q14" t="str">
            <v>101,564|102,345|104,7079|103,0|106,0|108,0</v>
          </cell>
          <cell r="R14">
            <v>3072</v>
          </cell>
          <cell r="S14" t="str">
            <v>4</v>
          </cell>
          <cell r="T14" t="str">
            <v>8</v>
          </cell>
          <cell r="U14">
            <v>50020101</v>
          </cell>
          <cell r="V14">
            <v>1</v>
          </cell>
          <cell r="W14" t="str">
            <v>0.009,0.152,2.4</v>
          </cell>
          <cell r="X14" t="str">
            <v>0,9.499999,0</v>
          </cell>
          <cell r="Y14">
            <v>564</v>
          </cell>
          <cell r="Z14">
            <v>345</v>
          </cell>
          <cell r="AA14">
            <v>7079</v>
          </cell>
        </row>
        <row r="15">
          <cell r="A15">
            <v>14</v>
          </cell>
          <cell r="B15" t="str">
            <v>伊姆拉崔</v>
          </cell>
          <cell r="C15">
            <v>1</v>
          </cell>
          <cell r="D15" t="str">
            <v>在背叛了自己的信仰之后，伊姆拉崔毫不犹豫的投入了死亡的怀抱。成为死亡骑士之后的伊姆拉崔将会令敌人陷入无尽的痛苦。</v>
          </cell>
          <cell r="E15" t="str">
            <v>966,967,968,969</v>
          </cell>
          <cell r="H15">
            <v>1915</v>
          </cell>
          <cell r="I15" t="str">
            <v>Bip001</v>
          </cell>
          <cell r="K15">
            <v>9023</v>
          </cell>
          <cell r="L15">
            <v>10</v>
          </cell>
          <cell r="N15">
            <v>2</v>
          </cell>
          <cell r="O15">
            <v>765</v>
          </cell>
          <cell r="P15">
            <v>76</v>
          </cell>
          <cell r="Q15" t="str">
            <v>101,267|102,163|104,3353|103,0|106,0|108,0</v>
          </cell>
          <cell r="R15">
            <v>688</v>
          </cell>
          <cell r="S15" t="str">
            <v>4</v>
          </cell>
          <cell r="T15" t="str">
            <v>8</v>
          </cell>
          <cell r="U15" t="str">
            <v>19</v>
          </cell>
          <cell r="V15">
            <v>1</v>
          </cell>
          <cell r="W15" t="str">
            <v>0.1,0.35,2.52</v>
          </cell>
          <cell r="X15" t="str">
            <v>0,0,0</v>
          </cell>
          <cell r="Y15">
            <v>267</v>
          </cell>
          <cell r="Z15">
            <v>163</v>
          </cell>
          <cell r="AA15">
            <v>3353</v>
          </cell>
        </row>
        <row r="16">
          <cell r="A16">
            <v>15</v>
          </cell>
          <cell r="B16" t="str">
            <v>沃尔格斯</v>
          </cell>
          <cell r="C16">
            <v>1</v>
          </cell>
          <cell r="D16" t="str">
            <v>烈阳军团的首领，也是技艺高超的传奇战士。他的双臂会为友军带来庇护，而他的双刃亦会令敌人颤栗。</v>
          </cell>
          <cell r="E16" t="str">
            <v>40010201,40010202,40010203</v>
          </cell>
          <cell r="H16">
            <v>1905</v>
          </cell>
          <cell r="I16" t="str">
            <v>Bip001</v>
          </cell>
          <cell r="J16" t="str">
            <v>ActorBone/c_n_003_01</v>
          </cell>
          <cell r="K16">
            <v>9004</v>
          </cell>
          <cell r="L16">
            <v>10</v>
          </cell>
          <cell r="N16">
            <v>1</v>
          </cell>
          <cell r="O16">
            <v>1748</v>
          </cell>
          <cell r="P16">
            <v>174</v>
          </cell>
          <cell r="Q16" t="str">
            <v>101,461|102,422|104,8652|103,0|106,0|108,0</v>
          </cell>
          <cell r="R16">
            <v>3321</v>
          </cell>
          <cell r="S16" t="str">
            <v>4</v>
          </cell>
          <cell r="T16" t="str">
            <v>8</v>
          </cell>
          <cell r="U16">
            <v>40010101</v>
          </cell>
          <cell r="V16">
            <v>1</v>
          </cell>
          <cell r="W16" t="str">
            <v>0,0.251,2.61</v>
          </cell>
          <cell r="X16" t="str">
            <v>0,19,0</v>
          </cell>
          <cell r="Y16">
            <v>461</v>
          </cell>
          <cell r="Z16">
            <v>422</v>
          </cell>
          <cell r="AA16">
            <v>8652</v>
          </cell>
        </row>
        <row r="17">
          <cell r="A17">
            <v>16</v>
          </cell>
          <cell r="B17" t="str">
            <v>范克利刃</v>
          </cell>
          <cell r="C17">
            <v>1</v>
          </cell>
          <cell r="D17" t="str">
            <v>对王国心怀仇恨的盗贼之首，为了复仇不惜与诅咒教合伙入侵松木林地。擅长袭击，等敌人力竭之时在给予致命一击。</v>
          </cell>
          <cell r="E17" t="str">
            <v>40020201,40020202,40020203</v>
          </cell>
          <cell r="H17">
            <v>1001</v>
          </cell>
          <cell r="I17" t="str">
            <v>Bip001</v>
          </cell>
          <cell r="J17" t="str">
            <v>ActorBone/c_n_003_01</v>
          </cell>
          <cell r="K17">
            <v>9024</v>
          </cell>
          <cell r="L17">
            <v>10</v>
          </cell>
          <cell r="N17">
            <v>1</v>
          </cell>
          <cell r="O17">
            <v>1748</v>
          </cell>
          <cell r="P17">
            <v>174</v>
          </cell>
          <cell r="Q17" t="str">
            <v>101,461|102,422|104,8652|103,0|106,0|108,0</v>
          </cell>
          <cell r="R17">
            <v>3321</v>
          </cell>
          <cell r="S17" t="str">
            <v>4</v>
          </cell>
          <cell r="T17" t="str">
            <v>8</v>
          </cell>
          <cell r="U17">
            <v>40020101</v>
          </cell>
          <cell r="V17">
            <v>1</v>
          </cell>
          <cell r="W17" t="str">
            <v>0.04,0.046,2.57</v>
          </cell>
          <cell r="X17" t="str">
            <v>0,19.16,0</v>
          </cell>
          <cell r="Y17">
            <v>461</v>
          </cell>
          <cell r="Z17">
            <v>422</v>
          </cell>
          <cell r="AA17">
            <v>8652</v>
          </cell>
        </row>
        <row r="18">
          <cell r="A18">
            <v>17</v>
          </cell>
          <cell r="B18" t="str">
            <v>瓦伦</v>
          </cell>
          <cell r="C18">
            <v>1</v>
          </cell>
          <cell r="D18" t="str">
            <v>为王国奉献一生的大伯爵，在王国的上层社会中极具名望。身经百战的他是你坚强可靠的护盾，如壁垒一般阻挡着敌人。</v>
          </cell>
          <cell r="E18" t="str">
            <v>40090201,40090202,40090203</v>
          </cell>
          <cell r="H18">
            <v>1914</v>
          </cell>
          <cell r="I18" t="str">
            <v>Bip001</v>
          </cell>
          <cell r="J18" t="str">
            <v>ActorBone/c_n_011_01</v>
          </cell>
          <cell r="K18">
            <v>9014</v>
          </cell>
          <cell r="L18">
            <v>10</v>
          </cell>
          <cell r="N18">
            <v>3</v>
          </cell>
          <cell r="O18">
            <v>1630</v>
          </cell>
          <cell r="P18">
            <v>163</v>
          </cell>
          <cell r="Q18" t="str">
            <v>101,461|102,383|104,7866|103,0|106,0|108,0</v>
          </cell>
          <cell r="R18">
            <v>3098</v>
          </cell>
          <cell r="S18" t="str">
            <v>4</v>
          </cell>
          <cell r="T18" t="str">
            <v>8</v>
          </cell>
          <cell r="U18">
            <v>40090101</v>
          </cell>
          <cell r="V18">
            <v>1</v>
          </cell>
          <cell r="W18" t="str">
            <v>0,0.289,2.55</v>
          </cell>
          <cell r="X18" t="str">
            <v>0,9.050001,0</v>
          </cell>
          <cell r="Y18">
            <v>461</v>
          </cell>
          <cell r="Z18">
            <v>383</v>
          </cell>
          <cell r="AA18">
            <v>7866</v>
          </cell>
        </row>
        <row r="19">
          <cell r="A19">
            <v>18</v>
          </cell>
          <cell r="B19" t="str">
            <v>乌德尔</v>
          </cell>
          <cell r="C19">
            <v>1</v>
          </cell>
          <cell r="D19" t="str">
            <v>白银骑士的领袖，人们心中的圣光使者。他自己就是圣光的化身，他手中的圣光能令友军立于不败，也能令威慑敌人使之无心作战。</v>
          </cell>
          <cell r="E19" t="str">
            <v>40100201,40100202,40100203</v>
          </cell>
          <cell r="H19">
            <v>1904</v>
          </cell>
          <cell r="I19" t="str">
            <v>Bip001</v>
          </cell>
          <cell r="J19" t="str">
            <v>ActorBone/c_n_002_01</v>
          </cell>
          <cell r="K19">
            <v>9007</v>
          </cell>
          <cell r="L19">
            <v>10</v>
          </cell>
          <cell r="N19">
            <v>3</v>
          </cell>
          <cell r="O19">
            <v>1630</v>
          </cell>
          <cell r="P19">
            <v>163</v>
          </cell>
          <cell r="Q19" t="str">
            <v>101,461|102,383|104,7866|103,0|106,0|108,0</v>
          </cell>
          <cell r="R19">
            <v>3098</v>
          </cell>
          <cell r="S19" t="str">
            <v>4</v>
          </cell>
          <cell r="T19" t="str">
            <v>8</v>
          </cell>
          <cell r="U19">
            <v>40100101</v>
          </cell>
          <cell r="V19">
            <v>1</v>
          </cell>
          <cell r="W19" t="str">
            <v>0.188,0,2.60</v>
          </cell>
          <cell r="X19" t="str">
            <v>0,13.8,0</v>
          </cell>
          <cell r="Y19">
            <v>461</v>
          </cell>
          <cell r="Z19">
            <v>383</v>
          </cell>
          <cell r="AA19">
            <v>7866</v>
          </cell>
        </row>
        <row r="20">
          <cell r="A20">
            <v>19</v>
          </cell>
          <cell r="B20" t="str">
            <v>艾尔莉亚</v>
          </cell>
          <cell r="C20">
            <v>1</v>
          </cell>
          <cell r="D20" t="str">
            <v>她的心如利箭，在风中笔直地飞翔，她是游侠中最聪慧的勇士，也是精灵中最受敬爱的游侠领袖。</v>
          </cell>
          <cell r="E20" t="str">
            <v>996,997,998,999</v>
          </cell>
          <cell r="H20">
            <v>1907</v>
          </cell>
          <cell r="I20" t="str">
            <v>Bip001</v>
          </cell>
          <cell r="K20">
            <v>9009</v>
          </cell>
          <cell r="L20">
            <v>10</v>
          </cell>
          <cell r="N20">
            <v>2</v>
          </cell>
          <cell r="O20">
            <v>765</v>
          </cell>
          <cell r="P20">
            <v>76</v>
          </cell>
          <cell r="Q20" t="str">
            <v>101,267|102,163|104,3353|103,0|106,0|108,0</v>
          </cell>
          <cell r="R20">
            <v>688</v>
          </cell>
          <cell r="S20" t="str">
            <v>4</v>
          </cell>
          <cell r="T20" t="str">
            <v>8</v>
          </cell>
          <cell r="U20" t="str">
            <v>19</v>
          </cell>
          <cell r="V20">
            <v>1</v>
          </cell>
          <cell r="W20" t="str">
            <v>-0.06,0.43,2.38</v>
          </cell>
          <cell r="X20" t="str">
            <v>0,0,0</v>
          </cell>
          <cell r="Y20">
            <v>267</v>
          </cell>
          <cell r="Z20">
            <v>163</v>
          </cell>
          <cell r="AA20">
            <v>3353</v>
          </cell>
        </row>
        <row r="21">
          <cell r="A21">
            <v>20</v>
          </cell>
          <cell r="B21" t="str">
            <v>月影莎娜</v>
          </cell>
          <cell r="C21">
            <v>1</v>
          </cell>
          <cell r="D21" t="str">
            <v>冰冷无情的典狱长，同时也是追捕背叛者的猎人。在她如圆月般的利刃之下任何人都将为自己的背叛付出代价。</v>
          </cell>
          <cell r="E21" t="str">
            <v>30040201,30040202</v>
          </cell>
          <cell r="H21">
            <v>1909</v>
          </cell>
          <cell r="I21" t="str">
            <v>Bip001</v>
          </cell>
          <cell r="J21" t="str">
            <v>ActorBone/c_n_008_01</v>
          </cell>
          <cell r="K21">
            <v>9010</v>
          </cell>
          <cell r="L21">
            <v>10</v>
          </cell>
          <cell r="N21">
            <v>2</v>
          </cell>
          <cell r="O21">
            <v>1190</v>
          </cell>
          <cell r="P21">
            <v>119</v>
          </cell>
          <cell r="Q21" t="str">
            <v>101,415|102,254|104,5216|103,0|106,0|108,0</v>
          </cell>
          <cell r="R21">
            <v>1666</v>
          </cell>
          <cell r="S21" t="str">
            <v>4</v>
          </cell>
          <cell r="T21" t="str">
            <v>8</v>
          </cell>
          <cell r="U21">
            <v>30040101</v>
          </cell>
          <cell r="V21">
            <v>1</v>
          </cell>
          <cell r="W21" t="str">
            <v>0.073,-0.16,3</v>
          </cell>
          <cell r="X21" t="str">
            <v>0,11.57,0</v>
          </cell>
          <cell r="Y21">
            <v>415</v>
          </cell>
          <cell r="Z21">
            <v>254</v>
          </cell>
          <cell r="AA21">
            <v>5216</v>
          </cell>
        </row>
        <row r="22">
          <cell r="A22">
            <v>21</v>
          </cell>
          <cell r="B22" t="str">
            <v>海德提斯</v>
          </cell>
          <cell r="C22">
            <v>1</v>
          </cell>
          <cell r="D22" t="str">
            <v>海德提斯是强大的潮汐战士，无论是身手多么灵巧的敌人在他的潮汐之力面前也都会变得迟缓。</v>
          </cell>
          <cell r="E22" t="str">
            <v>761,762,763,764</v>
          </cell>
          <cell r="I22" t="str">
            <v>Bip001</v>
          </cell>
          <cell r="K22">
            <v>9011</v>
          </cell>
          <cell r="L22">
            <v>10</v>
          </cell>
          <cell r="N22">
            <v>3</v>
          </cell>
          <cell r="O22">
            <v>771</v>
          </cell>
          <cell r="P22">
            <v>77</v>
          </cell>
          <cell r="Q22" t="str">
            <v>101,218|102,181|104,3726|103,0|106,0|108,0</v>
          </cell>
          <cell r="R22">
            <v>694</v>
          </cell>
          <cell r="S22" t="str">
            <v>4</v>
          </cell>
          <cell r="T22" t="str">
            <v>8</v>
          </cell>
          <cell r="U22" t="str">
            <v>19</v>
          </cell>
          <cell r="V22">
            <v>1</v>
          </cell>
          <cell r="W22" t="str">
            <v>0,0,0</v>
          </cell>
          <cell r="X22" t="str">
            <v>0,0,0</v>
          </cell>
          <cell r="Y22">
            <v>218</v>
          </cell>
          <cell r="Z22">
            <v>181</v>
          </cell>
          <cell r="AA22">
            <v>3726</v>
          </cell>
        </row>
        <row r="23">
          <cell r="A23">
            <v>22</v>
          </cell>
          <cell r="B23" t="str">
            <v>格拉克茜</v>
          </cell>
          <cell r="C23">
            <v>1</v>
          </cell>
          <cell r="D23" t="str">
            <v>力量深不可测的魔法守护者，最早使用魔法的精灵，也是目前大陆上最强大的法师。</v>
          </cell>
          <cell r="E23" t="str">
            <v>50040201,50040202,50040203,50040204</v>
          </cell>
          <cell r="H23">
            <v>1912</v>
          </cell>
          <cell r="I23" t="str">
            <v>Bip001</v>
          </cell>
          <cell r="J23" t="str">
            <v>ActorBone/c_n_010_02</v>
          </cell>
          <cell r="K23">
            <v>9012</v>
          </cell>
          <cell r="L23">
            <v>10</v>
          </cell>
          <cell r="N23">
            <v>3</v>
          </cell>
          <cell r="O23">
            <v>1888</v>
          </cell>
          <cell r="P23">
            <v>188</v>
          </cell>
          <cell r="Q23" t="str">
            <v>101,534|102,444|104,9108|103,0|106,0|108,0</v>
          </cell>
          <cell r="R23">
            <v>4155</v>
          </cell>
          <cell r="S23" t="str">
            <v>4</v>
          </cell>
          <cell r="T23" t="str">
            <v>8</v>
          </cell>
          <cell r="U23">
            <v>50040101</v>
          </cell>
          <cell r="V23">
            <v>1</v>
          </cell>
          <cell r="W23" t="str">
            <v>0.05,0.111,2.5</v>
          </cell>
          <cell r="X23" t="str">
            <v>0,6.900001,0</v>
          </cell>
          <cell r="Y23">
            <v>534</v>
          </cell>
          <cell r="Z23">
            <v>444</v>
          </cell>
          <cell r="AA23">
            <v>9108</v>
          </cell>
        </row>
        <row r="24">
          <cell r="A24">
            <v>23</v>
          </cell>
          <cell r="B24" t="str">
            <v>戈隆塔</v>
          </cell>
          <cell r="C24">
            <v>1</v>
          </cell>
          <cell r="D24" t="str">
            <v>第一个成为死亡骑士的人，掌控着强大的暗影之力。享受他人的苦难是他最大的乐趣，为此他会将最大的痛苦带给他的目标。</v>
          </cell>
          <cell r="E24" t="str">
            <v>716,717,718,719</v>
          </cell>
          <cell r="H24">
            <v>1916</v>
          </cell>
          <cell r="I24" t="str">
            <v>Bip001</v>
          </cell>
          <cell r="K24">
            <v>9026</v>
          </cell>
          <cell r="L24">
            <v>10</v>
          </cell>
          <cell r="N24">
            <v>1</v>
          </cell>
          <cell r="O24">
            <v>826</v>
          </cell>
          <cell r="P24">
            <v>82</v>
          </cell>
          <cell r="Q24" t="str">
            <v>101,218|102,199|104,4098|103,0|106,0|108,0</v>
          </cell>
          <cell r="R24">
            <v>744</v>
          </cell>
          <cell r="S24" t="str">
            <v>4</v>
          </cell>
          <cell r="T24" t="str">
            <v>8</v>
          </cell>
          <cell r="U24" t="str">
            <v>19</v>
          </cell>
          <cell r="V24">
            <v>1</v>
          </cell>
          <cell r="W24" t="str">
            <v>0,0.46,2.07</v>
          </cell>
          <cell r="X24" t="str">
            <v>0,10,0</v>
          </cell>
          <cell r="Y24">
            <v>218</v>
          </cell>
          <cell r="Z24">
            <v>199</v>
          </cell>
          <cell r="AA24">
            <v>4098</v>
          </cell>
        </row>
        <row r="25">
          <cell r="A25">
            <v>24</v>
          </cell>
          <cell r="B25" t="str">
            <v>艾伦米尔</v>
          </cell>
          <cell r="C25">
            <v>1</v>
          </cell>
          <cell r="D25" t="str">
            <v>破晓军团的首领，也是一位高贵圣洁的骑士。他会使用圣光庇护和治愈友军，而他手中重锤也会将敌人碾碎。</v>
          </cell>
          <cell r="E25" t="str">
            <v>40030201,40030202,40030203</v>
          </cell>
          <cell r="H25">
            <v>1903</v>
          </cell>
          <cell r="I25" t="str">
            <v>Bip001</v>
          </cell>
          <cell r="J25" t="str">
            <v>ActorBone/c_n_002_01</v>
          </cell>
          <cell r="K25">
            <v>9003</v>
          </cell>
          <cell r="L25">
            <v>10</v>
          </cell>
          <cell r="N25">
            <v>1</v>
          </cell>
          <cell r="O25">
            <v>1748</v>
          </cell>
          <cell r="P25">
            <v>174</v>
          </cell>
          <cell r="Q25" t="str">
            <v>101,461|102,422|104,8652|103,0|106,0|108,0</v>
          </cell>
          <cell r="R25">
            <v>3321</v>
          </cell>
          <cell r="S25" t="str">
            <v>4</v>
          </cell>
          <cell r="T25" t="str">
            <v>8</v>
          </cell>
          <cell r="U25">
            <v>40030101</v>
          </cell>
          <cell r="V25">
            <v>1</v>
          </cell>
          <cell r="W25" t="str">
            <v>0.153,0.085,2.4</v>
          </cell>
          <cell r="X25" t="str">
            <v>0,6.400001,0</v>
          </cell>
          <cell r="Y25">
            <v>461</v>
          </cell>
          <cell r="Z25">
            <v>422</v>
          </cell>
          <cell r="AA25">
            <v>8652</v>
          </cell>
        </row>
        <row r="26">
          <cell r="A26">
            <v>25</v>
          </cell>
          <cell r="B26" t="str">
            <v>琳娜</v>
          </cell>
          <cell r="C26">
            <v>1</v>
          </cell>
          <cell r="D26" t="str">
            <v>琳娜是一位非常强大的法师，擅长投掷火球打击对手的她还掌握着极具毁灭力的高级火焰魔法。</v>
          </cell>
          <cell r="E26" t="str">
            <v>40060201,40060202,40060203</v>
          </cell>
          <cell r="H26">
            <v>1913</v>
          </cell>
          <cell r="I26" t="str">
            <v>Bip001</v>
          </cell>
          <cell r="J26" t="str">
            <v>ActorBone/c_n_010_02</v>
          </cell>
          <cell r="K26">
            <v>9013</v>
          </cell>
          <cell r="L26">
            <v>10</v>
          </cell>
          <cell r="N26">
            <v>2</v>
          </cell>
          <cell r="O26">
            <v>1616</v>
          </cell>
          <cell r="P26">
            <v>161</v>
          </cell>
          <cell r="Q26" t="str">
            <v>101,564|102,345|104,7079|103,0|106,0|108,0</v>
          </cell>
          <cell r="R26">
            <v>3072</v>
          </cell>
          <cell r="S26" t="str">
            <v>4</v>
          </cell>
          <cell r="T26" t="str">
            <v>8</v>
          </cell>
          <cell r="U26">
            <v>40060101</v>
          </cell>
          <cell r="V26">
            <v>1</v>
          </cell>
          <cell r="W26" t="str">
            <v>0.05,0.139,2.36</v>
          </cell>
          <cell r="X26" t="str">
            <v>0,9.36,0</v>
          </cell>
          <cell r="Y26">
            <v>564</v>
          </cell>
          <cell r="Z26">
            <v>345</v>
          </cell>
          <cell r="AA26">
            <v>7079</v>
          </cell>
        </row>
        <row r="27">
          <cell r="A27">
            <v>26</v>
          </cell>
          <cell r="B27" t="str">
            <v>穆拉尼尔</v>
          </cell>
          <cell r="C27">
            <v>1</v>
          </cell>
          <cell r="D27" t="str">
            <v>穆拉尼尔曾是圣光大教堂的继承者，但被欲望蒙蔽的他如今已经变成了血色十字的领导人，任何对他有异议的人都会被他残忍碾碎。</v>
          </cell>
          <cell r="E27" t="str">
            <v>40040201,40040202,40040203</v>
          </cell>
          <cell r="H27">
            <v>1923</v>
          </cell>
          <cell r="I27" t="str">
            <v>Bip001</v>
          </cell>
          <cell r="J27" t="str">
            <v>ActorBone/c_n_002_01</v>
          </cell>
          <cell r="K27">
            <v>9027</v>
          </cell>
          <cell r="L27">
            <v>10</v>
          </cell>
          <cell r="N27">
            <v>1</v>
          </cell>
          <cell r="O27">
            <v>1748</v>
          </cell>
          <cell r="P27">
            <v>174</v>
          </cell>
          <cell r="Q27" t="str">
            <v>101,461|102,422|104,8652|103,0|106,0|108,0</v>
          </cell>
          <cell r="R27">
            <v>3321</v>
          </cell>
          <cell r="S27" t="str">
            <v>4</v>
          </cell>
          <cell r="T27" t="str">
            <v>8</v>
          </cell>
          <cell r="U27">
            <v>40040101</v>
          </cell>
          <cell r="V27">
            <v>1</v>
          </cell>
          <cell r="W27" t="str">
            <v>0.181,0.262,2.60</v>
          </cell>
          <cell r="X27" t="str">
            <v>0,0,0</v>
          </cell>
          <cell r="Y27">
            <v>461</v>
          </cell>
          <cell r="Z27">
            <v>422</v>
          </cell>
          <cell r="AA27">
            <v>8652</v>
          </cell>
        </row>
        <row r="28">
          <cell r="A28">
            <v>27</v>
          </cell>
          <cell r="B28" t="str">
            <v>狄亚娜</v>
          </cell>
          <cell r="C28">
            <v>1</v>
          </cell>
          <cell r="D28" t="str">
            <v>血色十字的大检察官，负责审判异端以及亡灵。信阳圣光的她精通各类神圣魔法，但对于异端她也决不留情。</v>
          </cell>
          <cell r="E28" t="str">
            <v>731,732,733,734</v>
          </cell>
          <cell r="H28">
            <v>1924</v>
          </cell>
          <cell r="I28" t="str">
            <v>Bip001</v>
          </cell>
          <cell r="K28">
            <v>9028</v>
          </cell>
          <cell r="L28">
            <v>10</v>
          </cell>
          <cell r="N28">
            <v>3</v>
          </cell>
          <cell r="O28">
            <v>1630</v>
          </cell>
          <cell r="P28">
            <v>163</v>
          </cell>
          <cell r="Q28" t="str">
            <v>101,461|102,383|104,7866|103,0|106,0|108,0</v>
          </cell>
          <cell r="R28">
            <v>3098</v>
          </cell>
          <cell r="S28" t="str">
            <v>4</v>
          </cell>
          <cell r="T28" t="str">
            <v>8</v>
          </cell>
          <cell r="U28" t="str">
            <v>19</v>
          </cell>
          <cell r="V28">
            <v>1</v>
          </cell>
          <cell r="W28" t="str">
            <v>0.05,0.38,2.44</v>
          </cell>
          <cell r="X28" t="str">
            <v>0,0,0</v>
          </cell>
          <cell r="Y28">
            <v>461</v>
          </cell>
          <cell r="Z28">
            <v>383</v>
          </cell>
          <cell r="AA28">
            <v>7866</v>
          </cell>
        </row>
        <row r="29">
          <cell r="A29">
            <v>28</v>
          </cell>
          <cell r="B29" t="str">
            <v>暴风尤格</v>
          </cell>
          <cell r="C29">
            <v>1</v>
          </cell>
          <cell r="D29" t="str">
            <v>长居北地的坚冰矮人氏族都是天生的战士，他们英勇善战，而尤格更是其中的佼佼者。这位矮人之王会用他的重锤横扫所有阻挠你的敌人。</v>
          </cell>
          <cell r="E29">
            <v>20010201</v>
          </cell>
          <cell r="H29" t="str">
            <v>952|970</v>
          </cell>
          <cell r="I29" t="str">
            <v>Bip001</v>
          </cell>
          <cell r="J29" t="str">
            <v>ActorBone/c_m_007</v>
          </cell>
          <cell r="K29">
            <v>9029</v>
          </cell>
          <cell r="L29">
            <v>10</v>
          </cell>
          <cell r="N29">
            <v>1</v>
          </cell>
          <cell r="O29">
            <v>1011</v>
          </cell>
          <cell r="P29">
            <v>101</v>
          </cell>
          <cell r="Q29" t="str">
            <v>101,267|102,244|104,5009|103,0|106,0|108,0</v>
          </cell>
          <cell r="R29">
            <v>1113</v>
          </cell>
          <cell r="S29" t="str">
            <v>4</v>
          </cell>
          <cell r="T29" t="str">
            <v>8</v>
          </cell>
          <cell r="U29">
            <v>20010101</v>
          </cell>
          <cell r="V29">
            <v>1</v>
          </cell>
          <cell r="W29" t="str">
            <v>0.05,0.131,2.65</v>
          </cell>
          <cell r="X29" t="str">
            <v>0,-29.47,0</v>
          </cell>
          <cell r="Y29">
            <v>267</v>
          </cell>
          <cell r="Z29">
            <v>244</v>
          </cell>
          <cell r="AA29">
            <v>5009</v>
          </cell>
        </row>
        <row r="30">
          <cell r="A30">
            <v>29</v>
          </cell>
          <cell r="B30" t="str">
            <v>维克斯</v>
          </cell>
          <cell r="C30">
            <v>1</v>
          </cell>
          <cell r="D30" t="str">
            <v>传说中的盗宝大王，地精的至高领袖。这个世界上没有维克斯得不到的东西，也因此有了得到维克斯就能得到整个世界的传说。</v>
          </cell>
          <cell r="E30" t="str">
            <v>40070201,40070202,40070203</v>
          </cell>
          <cell r="H30">
            <v>971</v>
          </cell>
          <cell r="I30" t="str">
            <v>Bip001</v>
          </cell>
          <cell r="J30" t="str">
            <v>ActorBone/c_m_004_b02</v>
          </cell>
          <cell r="K30">
            <v>9030</v>
          </cell>
          <cell r="L30">
            <v>10</v>
          </cell>
          <cell r="N30">
            <v>2</v>
          </cell>
          <cell r="O30">
            <v>1616</v>
          </cell>
          <cell r="P30">
            <v>161</v>
          </cell>
          <cell r="Q30" t="str">
            <v>101,564|102,345|104,7079|103,0|106,0|108,0</v>
          </cell>
          <cell r="R30">
            <v>3072</v>
          </cell>
          <cell r="S30" t="str">
            <v>4</v>
          </cell>
          <cell r="T30" t="str">
            <v>8</v>
          </cell>
          <cell r="U30">
            <v>40070101</v>
          </cell>
          <cell r="V30">
            <v>1</v>
          </cell>
          <cell r="W30" t="str">
            <v>0.077,0.141,2.5</v>
          </cell>
          <cell r="X30" t="str">
            <v>0,16.41,0</v>
          </cell>
          <cell r="Y30">
            <v>564</v>
          </cell>
          <cell r="Z30">
            <v>345</v>
          </cell>
          <cell r="AA30">
            <v>7079</v>
          </cell>
        </row>
        <row r="31">
          <cell r="A31">
            <v>30</v>
          </cell>
          <cell r="B31" t="str">
            <v>诺萨尼尔</v>
          </cell>
          <cell r="C31">
            <v>1</v>
          </cell>
          <cell r="D31" t="str">
            <v>强大的恶魔守卫之王，他的拳头能够粉碎任何企图阻止他的敌人。</v>
          </cell>
          <cell r="E31">
            <v>20030201</v>
          </cell>
          <cell r="H31">
            <v>1004</v>
          </cell>
          <cell r="I31" t="str">
            <v>Bip001</v>
          </cell>
          <cell r="J31" t="str">
            <v>ActorBone/c_m_013_b01</v>
          </cell>
          <cell r="K31">
            <v>9031</v>
          </cell>
          <cell r="L31">
            <v>10</v>
          </cell>
          <cell r="N31">
            <v>2</v>
          </cell>
          <cell r="O31">
            <v>934</v>
          </cell>
          <cell r="P31">
            <v>93</v>
          </cell>
          <cell r="Q31" t="str">
            <v>101,326|102,199|104,4098|103,0|106,0|108,0</v>
          </cell>
          <cell r="R31">
            <v>1028</v>
          </cell>
          <cell r="S31" t="str">
            <v>4</v>
          </cell>
          <cell r="T31" t="str">
            <v>8</v>
          </cell>
          <cell r="U31">
            <v>20030101</v>
          </cell>
          <cell r="V31">
            <v>1</v>
          </cell>
          <cell r="W31" t="str">
            <v>0.05,-0.043,3.40</v>
          </cell>
          <cell r="X31" t="str">
            <v>0,0,0</v>
          </cell>
          <cell r="Y31">
            <v>326</v>
          </cell>
          <cell r="Z31">
            <v>199</v>
          </cell>
          <cell r="AA31">
            <v>4098</v>
          </cell>
        </row>
        <row r="32">
          <cell r="A32">
            <v>31</v>
          </cell>
          <cell r="B32" t="str">
            <v>扎克</v>
          </cell>
          <cell r="C32">
            <v>1</v>
          </cell>
          <cell r="D32" t="str">
            <v>恶魔大领主扎克曾令无数个世界在他的力量下沦陷，他的法术能令任何敌人化为灰烬。</v>
          </cell>
          <cell r="E32" t="str">
            <v>40110201,40110202,40110203</v>
          </cell>
          <cell r="H32">
            <v>1006</v>
          </cell>
          <cell r="I32" t="str">
            <v>Bip001</v>
          </cell>
          <cell r="J32" t="str">
            <v>ActorBone/c_m_014_b01</v>
          </cell>
          <cell r="K32">
            <v>9032</v>
          </cell>
          <cell r="L32">
            <v>10</v>
          </cell>
          <cell r="N32">
            <v>3</v>
          </cell>
          <cell r="O32">
            <v>1630</v>
          </cell>
          <cell r="P32">
            <v>163</v>
          </cell>
          <cell r="Q32" t="str">
            <v>101,461|102,383|104,7866|103,0|106,0|108,0</v>
          </cell>
          <cell r="R32">
            <v>3098</v>
          </cell>
          <cell r="S32" t="str">
            <v>4</v>
          </cell>
          <cell r="T32" t="str">
            <v>8</v>
          </cell>
          <cell r="U32">
            <v>40110101</v>
          </cell>
          <cell r="V32">
            <v>1</v>
          </cell>
          <cell r="W32" t="str">
            <v>0.042,0.34,3.02</v>
          </cell>
          <cell r="X32" t="str">
            <v>0,7.630002,0</v>
          </cell>
          <cell r="Y32">
            <v>461</v>
          </cell>
          <cell r="Z32">
            <v>383</v>
          </cell>
          <cell r="AA32">
            <v>7866</v>
          </cell>
        </row>
        <row r="33">
          <cell r="A33">
            <v>32</v>
          </cell>
          <cell r="B33" t="str">
            <v>尤狄恩</v>
          </cell>
          <cell r="C33">
            <v>1</v>
          </cell>
          <cell r="D33" t="str">
            <v>尤狄恩丹曾是一个高贵的精灵，为了应对源源不断的恶魔他牺牲了一切，但同时也获得了无上的力量。</v>
          </cell>
          <cell r="E33" t="str">
            <v>50030201,50030202,50030203,50030204</v>
          </cell>
          <cell r="H33" t="str">
            <v>1008</v>
          </cell>
          <cell r="I33" t="str">
            <v>Bip001</v>
          </cell>
          <cell r="J33" t="str">
            <v>ActorBone/c_b_016_01</v>
          </cell>
          <cell r="K33">
            <v>9033</v>
          </cell>
          <cell r="L33">
            <v>10</v>
          </cell>
          <cell r="N33">
            <v>2</v>
          </cell>
          <cell r="O33">
            <v>1871</v>
          </cell>
          <cell r="P33">
            <v>187</v>
          </cell>
          <cell r="Q33" t="str">
            <v>101,653|102,399|104,8197|103,0|106,0|108,0</v>
          </cell>
          <cell r="R33">
            <v>4117</v>
          </cell>
          <cell r="S33" t="str">
            <v>4</v>
          </cell>
          <cell r="T33" t="str">
            <v>8</v>
          </cell>
          <cell r="U33">
            <v>50030101</v>
          </cell>
          <cell r="V33">
            <v>1</v>
          </cell>
          <cell r="W33" t="str">
            <v>-0.229,-0.112,4</v>
          </cell>
          <cell r="X33" t="str">
            <v>0,0,0</v>
          </cell>
          <cell r="Y33">
            <v>653</v>
          </cell>
          <cell r="Z33">
            <v>399</v>
          </cell>
          <cell r="AA33">
            <v>8197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">
          <cell r="A1" t="str">
            <v>id</v>
          </cell>
          <cell r="B1" t="str">
            <v>friendlyName</v>
          </cell>
          <cell r="C1" t="str">
            <v>entourageId</v>
          </cell>
          <cell r="D1" t="str">
            <v>targetEntourageId</v>
          </cell>
          <cell r="E1" t="str">
            <v>maxLevel</v>
          </cell>
        </row>
        <row r="2">
          <cell r="A2">
            <v>1</v>
          </cell>
          <cell r="B2" t="str">
            <v>森林鬼影</v>
          </cell>
          <cell r="C2">
            <v>1</v>
          </cell>
          <cell r="D2">
            <v>2</v>
          </cell>
          <cell r="E2">
            <v>10</v>
          </cell>
        </row>
        <row r="3">
          <cell r="A3">
            <v>2</v>
          </cell>
          <cell r="B3" t="str">
            <v>亡者命运</v>
          </cell>
          <cell r="C3">
            <v>2</v>
          </cell>
          <cell r="D3">
            <v>3</v>
          </cell>
          <cell r="E3">
            <v>10</v>
          </cell>
        </row>
        <row r="4">
          <cell r="A4">
            <v>3</v>
          </cell>
          <cell r="B4" t="str">
            <v>怀念过往</v>
          </cell>
          <cell r="C4">
            <v>3</v>
          </cell>
          <cell r="D4">
            <v>1</v>
          </cell>
          <cell r="E4">
            <v>10</v>
          </cell>
        </row>
        <row r="5">
          <cell r="A5">
            <v>4</v>
          </cell>
          <cell r="B5" t="str">
            <v>火焰链接</v>
          </cell>
          <cell r="C5">
            <v>4</v>
          </cell>
          <cell r="D5">
            <v>5</v>
          </cell>
          <cell r="E5">
            <v>10</v>
          </cell>
        </row>
        <row r="6">
          <cell r="A6">
            <v>5</v>
          </cell>
          <cell r="B6" t="str">
            <v>狂风链接</v>
          </cell>
          <cell r="C6">
            <v>4</v>
          </cell>
          <cell r="D6">
            <v>6</v>
          </cell>
          <cell r="E6">
            <v>10</v>
          </cell>
        </row>
        <row r="7">
          <cell r="A7">
            <v>6</v>
          </cell>
          <cell r="B7" t="str">
            <v>大地链接</v>
          </cell>
          <cell r="C7">
            <v>5</v>
          </cell>
          <cell r="D7">
            <v>4</v>
          </cell>
          <cell r="E7">
            <v>10</v>
          </cell>
        </row>
        <row r="8">
          <cell r="A8">
            <v>7</v>
          </cell>
          <cell r="B8" t="str">
            <v>狂风链接</v>
          </cell>
          <cell r="C8">
            <v>5</v>
          </cell>
          <cell r="D8">
            <v>6</v>
          </cell>
          <cell r="E8">
            <v>10</v>
          </cell>
        </row>
        <row r="9">
          <cell r="A9">
            <v>8</v>
          </cell>
          <cell r="B9" t="str">
            <v>大地链接</v>
          </cell>
          <cell r="C9">
            <v>6</v>
          </cell>
          <cell r="D9">
            <v>4</v>
          </cell>
          <cell r="E9">
            <v>10</v>
          </cell>
        </row>
        <row r="10">
          <cell r="A10">
            <v>9</v>
          </cell>
          <cell r="B10" t="str">
            <v>火焰链接</v>
          </cell>
          <cell r="C10">
            <v>6</v>
          </cell>
          <cell r="D10">
            <v>5</v>
          </cell>
          <cell r="E10">
            <v>10</v>
          </cell>
        </row>
        <row r="11">
          <cell r="A11">
            <v>10</v>
          </cell>
          <cell r="B11" t="str">
            <v>诅咒豺狼</v>
          </cell>
          <cell r="C11">
            <v>7</v>
          </cell>
          <cell r="D11">
            <v>8</v>
          </cell>
          <cell r="E11">
            <v>10</v>
          </cell>
        </row>
        <row r="12">
          <cell r="A12">
            <v>11</v>
          </cell>
          <cell r="B12" t="str">
            <v>肮脏交易</v>
          </cell>
          <cell r="C12">
            <v>7</v>
          </cell>
          <cell r="D12">
            <v>16</v>
          </cell>
          <cell r="E12">
            <v>10</v>
          </cell>
        </row>
        <row r="13">
          <cell r="A13">
            <v>12</v>
          </cell>
          <cell r="B13" t="str">
            <v>诱导堕落</v>
          </cell>
          <cell r="C13">
            <v>8</v>
          </cell>
          <cell r="D13">
            <v>3</v>
          </cell>
          <cell r="E13">
            <v>10</v>
          </cell>
        </row>
        <row r="14">
          <cell r="A14">
            <v>13</v>
          </cell>
          <cell r="B14" t="str">
            <v>奴役火焰</v>
          </cell>
          <cell r="C14">
            <v>8</v>
          </cell>
          <cell r="D14">
            <v>5</v>
          </cell>
          <cell r="E14">
            <v>10</v>
          </cell>
        </row>
        <row r="15">
          <cell r="A15">
            <v>14</v>
          </cell>
          <cell r="B15" t="str">
            <v>圣战联军</v>
          </cell>
          <cell r="C15">
            <v>9</v>
          </cell>
          <cell r="D15">
            <v>11</v>
          </cell>
          <cell r="E15">
            <v>10</v>
          </cell>
        </row>
        <row r="16">
          <cell r="A16">
            <v>15</v>
          </cell>
          <cell r="B16" t="str">
            <v>和平协议</v>
          </cell>
          <cell r="C16">
            <v>9</v>
          </cell>
          <cell r="D16">
            <v>12</v>
          </cell>
          <cell r="E16">
            <v>10</v>
          </cell>
        </row>
        <row r="17">
          <cell r="A17">
            <v>16</v>
          </cell>
          <cell r="B17" t="str">
            <v>敬仰导师</v>
          </cell>
          <cell r="C17">
            <v>9</v>
          </cell>
          <cell r="D17">
            <v>18</v>
          </cell>
          <cell r="E17">
            <v>10</v>
          </cell>
        </row>
        <row r="18">
          <cell r="A18">
            <v>17</v>
          </cell>
          <cell r="B18" t="str">
            <v>守护者的眷顾</v>
          </cell>
          <cell r="C18">
            <v>9</v>
          </cell>
          <cell r="D18">
            <v>22</v>
          </cell>
          <cell r="E18">
            <v>10</v>
          </cell>
        </row>
        <row r="19">
          <cell r="A19">
            <v>18</v>
          </cell>
          <cell r="B19" t="str">
            <v>天灾爪牙</v>
          </cell>
          <cell r="C19">
            <v>10</v>
          </cell>
          <cell r="D19">
            <v>3</v>
          </cell>
          <cell r="E19">
            <v>10</v>
          </cell>
        </row>
        <row r="20">
          <cell r="A20">
            <v>21</v>
          </cell>
          <cell r="B20" t="str">
            <v>君王之泪</v>
          </cell>
          <cell r="C20">
            <v>10</v>
          </cell>
          <cell r="D20">
            <v>9</v>
          </cell>
          <cell r="E20">
            <v>10</v>
          </cell>
        </row>
        <row r="21">
          <cell r="A21">
            <v>22</v>
          </cell>
          <cell r="B21" t="str">
            <v>痛苦盛宴</v>
          </cell>
          <cell r="C21">
            <v>10</v>
          </cell>
          <cell r="D21">
            <v>13</v>
          </cell>
          <cell r="E21">
            <v>10</v>
          </cell>
        </row>
        <row r="22">
          <cell r="A22">
            <v>23</v>
          </cell>
          <cell r="B22" t="str">
            <v>守护者的噩梦</v>
          </cell>
          <cell r="C22">
            <v>10</v>
          </cell>
          <cell r="D22">
            <v>22</v>
          </cell>
          <cell r="E22">
            <v>10</v>
          </cell>
        </row>
        <row r="23">
          <cell r="A23">
            <v>24</v>
          </cell>
          <cell r="B23" t="str">
            <v>圣战联军1</v>
          </cell>
          <cell r="C23">
            <v>11</v>
          </cell>
          <cell r="D23">
            <v>9</v>
          </cell>
          <cell r="E23">
            <v>10</v>
          </cell>
        </row>
        <row r="24">
          <cell r="A24">
            <v>25</v>
          </cell>
          <cell r="B24" t="str">
            <v>圣战联军2</v>
          </cell>
          <cell r="C24">
            <v>11</v>
          </cell>
          <cell r="D24">
            <v>12</v>
          </cell>
          <cell r="E24">
            <v>10</v>
          </cell>
        </row>
        <row r="25">
          <cell r="A25">
            <v>26</v>
          </cell>
          <cell r="B25" t="str">
            <v>内部矛盾</v>
          </cell>
          <cell r="C25">
            <v>11</v>
          </cell>
          <cell r="D25">
            <v>20</v>
          </cell>
          <cell r="E25">
            <v>10</v>
          </cell>
        </row>
        <row r="26">
          <cell r="A26">
            <v>27</v>
          </cell>
          <cell r="B26" t="str">
            <v>大地之环</v>
          </cell>
          <cell r="C26">
            <v>12</v>
          </cell>
          <cell r="D26">
            <v>4</v>
          </cell>
          <cell r="E26">
            <v>10</v>
          </cell>
        </row>
        <row r="27">
          <cell r="A27">
            <v>28</v>
          </cell>
          <cell r="B27" t="str">
            <v>和平协议</v>
          </cell>
          <cell r="C27">
            <v>12</v>
          </cell>
          <cell r="D27">
            <v>9</v>
          </cell>
          <cell r="E27">
            <v>10</v>
          </cell>
        </row>
        <row r="28">
          <cell r="A28">
            <v>29</v>
          </cell>
          <cell r="B28" t="str">
            <v>圣战联军</v>
          </cell>
          <cell r="C28">
            <v>12</v>
          </cell>
          <cell r="D28">
            <v>11</v>
          </cell>
          <cell r="E28">
            <v>10</v>
          </cell>
        </row>
        <row r="29">
          <cell r="A29">
            <v>30</v>
          </cell>
          <cell r="B29" t="str">
            <v>贴身护卫</v>
          </cell>
          <cell r="C29">
            <v>13</v>
          </cell>
          <cell r="D29">
            <v>1</v>
          </cell>
          <cell r="E29">
            <v>10</v>
          </cell>
        </row>
        <row r="30">
          <cell r="A30">
            <v>31</v>
          </cell>
          <cell r="B30" t="str">
            <v>痛苦奴仆</v>
          </cell>
          <cell r="C30">
            <v>13</v>
          </cell>
          <cell r="D30">
            <v>2</v>
          </cell>
          <cell r="E30">
            <v>10</v>
          </cell>
        </row>
        <row r="31">
          <cell r="A31">
            <v>32</v>
          </cell>
          <cell r="B31" t="str">
            <v>游侠姐妹</v>
          </cell>
          <cell r="C31">
            <v>13</v>
          </cell>
          <cell r="D31">
            <v>19</v>
          </cell>
          <cell r="E31">
            <v>10</v>
          </cell>
        </row>
        <row r="32">
          <cell r="A32">
            <v>33</v>
          </cell>
          <cell r="B32" t="str">
            <v>新老酋长</v>
          </cell>
          <cell r="C32">
            <v>13</v>
          </cell>
          <cell r="D32">
            <v>12</v>
          </cell>
          <cell r="E32">
            <v>10</v>
          </cell>
        </row>
        <row r="33">
          <cell r="A33">
            <v>36</v>
          </cell>
          <cell r="B33" t="str">
            <v>烈阳之军</v>
          </cell>
          <cell r="C33">
            <v>15</v>
          </cell>
          <cell r="D33">
            <v>1</v>
          </cell>
          <cell r="E33">
            <v>10</v>
          </cell>
        </row>
        <row r="34">
          <cell r="A34">
            <v>37</v>
          </cell>
          <cell r="B34" t="str">
            <v>御用传送师</v>
          </cell>
          <cell r="C34">
            <v>15</v>
          </cell>
          <cell r="D34">
            <v>9</v>
          </cell>
          <cell r="E34">
            <v>10</v>
          </cell>
        </row>
        <row r="35">
          <cell r="A35">
            <v>38</v>
          </cell>
          <cell r="B35" t="str">
            <v>辅佐之臣</v>
          </cell>
          <cell r="C35">
            <v>15</v>
          </cell>
          <cell r="D35">
            <v>17</v>
          </cell>
          <cell r="E35">
            <v>10</v>
          </cell>
        </row>
        <row r="36">
          <cell r="A36">
            <v>39</v>
          </cell>
          <cell r="B36" t="str">
            <v>黑暗兄弟会</v>
          </cell>
          <cell r="C36">
            <v>16</v>
          </cell>
          <cell r="D36">
            <v>1</v>
          </cell>
          <cell r="E36">
            <v>10</v>
          </cell>
        </row>
        <row r="37">
          <cell r="A37">
            <v>40</v>
          </cell>
          <cell r="B37" t="str">
            <v>忠诚之心</v>
          </cell>
          <cell r="C37">
            <v>16</v>
          </cell>
          <cell r="D37">
            <v>7</v>
          </cell>
          <cell r="E37">
            <v>10</v>
          </cell>
        </row>
        <row r="38">
          <cell r="A38">
            <v>41</v>
          </cell>
          <cell r="B38" t="str">
            <v>贴身护卫</v>
          </cell>
          <cell r="C38">
            <v>17</v>
          </cell>
          <cell r="D38">
            <v>1</v>
          </cell>
          <cell r="E38">
            <v>10</v>
          </cell>
        </row>
        <row r="39">
          <cell r="A39">
            <v>42</v>
          </cell>
          <cell r="B39" t="str">
            <v>通缉豺狼怪</v>
          </cell>
          <cell r="C39">
            <v>17</v>
          </cell>
          <cell r="D39">
            <v>15</v>
          </cell>
          <cell r="E39">
            <v>10</v>
          </cell>
        </row>
        <row r="40">
          <cell r="A40">
            <v>43</v>
          </cell>
          <cell r="B40" t="str">
            <v>除暴安良</v>
          </cell>
          <cell r="C40">
            <v>17</v>
          </cell>
          <cell r="D40">
            <v>16</v>
          </cell>
          <cell r="E40">
            <v>10</v>
          </cell>
        </row>
        <row r="41">
          <cell r="A41">
            <v>44</v>
          </cell>
          <cell r="B41" t="str">
            <v>白银骑士团</v>
          </cell>
          <cell r="C41">
            <v>18</v>
          </cell>
          <cell r="D41">
            <v>1</v>
          </cell>
          <cell r="E41">
            <v>10</v>
          </cell>
        </row>
        <row r="42">
          <cell r="A42">
            <v>45</v>
          </cell>
          <cell r="B42" t="str">
            <v>虔诚伙伴</v>
          </cell>
          <cell r="C42">
            <v>18</v>
          </cell>
          <cell r="D42">
            <v>9</v>
          </cell>
          <cell r="E42">
            <v>10</v>
          </cell>
        </row>
        <row r="43">
          <cell r="A43">
            <v>46</v>
          </cell>
          <cell r="B43" t="str">
            <v>热诚之心</v>
          </cell>
          <cell r="C43">
            <v>18</v>
          </cell>
          <cell r="D43">
            <v>24</v>
          </cell>
          <cell r="E43">
            <v>10</v>
          </cell>
        </row>
        <row r="44">
          <cell r="A44">
            <v>49</v>
          </cell>
          <cell r="B44" t="str">
            <v>守望者</v>
          </cell>
          <cell r="C44">
            <v>20</v>
          </cell>
          <cell r="D44">
            <v>13</v>
          </cell>
          <cell r="E44">
            <v>10</v>
          </cell>
        </row>
        <row r="45">
          <cell r="A45">
            <v>50</v>
          </cell>
          <cell r="B45" t="str">
            <v>内部矛盾</v>
          </cell>
          <cell r="C45">
            <v>20</v>
          </cell>
          <cell r="D45">
            <v>11</v>
          </cell>
          <cell r="E45">
            <v>10</v>
          </cell>
        </row>
        <row r="46">
          <cell r="A46">
            <v>51</v>
          </cell>
          <cell r="B46" t="str">
            <v>复仇之魂</v>
          </cell>
          <cell r="C46">
            <v>20</v>
          </cell>
          <cell r="D46">
            <v>2</v>
          </cell>
          <cell r="E46">
            <v>10</v>
          </cell>
        </row>
        <row r="47">
          <cell r="A47">
            <v>54</v>
          </cell>
          <cell r="B47" t="str">
            <v>贴身护卫</v>
          </cell>
          <cell r="C47">
            <v>22</v>
          </cell>
          <cell r="D47">
            <v>1</v>
          </cell>
          <cell r="E47">
            <v>10</v>
          </cell>
        </row>
        <row r="48">
          <cell r="A48">
            <v>55</v>
          </cell>
          <cell r="B48" t="str">
            <v>天才学徒</v>
          </cell>
          <cell r="C48">
            <v>22</v>
          </cell>
          <cell r="D48">
            <v>9</v>
          </cell>
          <cell r="E48">
            <v>10</v>
          </cell>
        </row>
        <row r="49">
          <cell r="A49">
            <v>56</v>
          </cell>
          <cell r="B49" t="str">
            <v>不惧阴影</v>
          </cell>
          <cell r="C49">
            <v>22</v>
          </cell>
          <cell r="D49">
            <v>10</v>
          </cell>
          <cell r="E49">
            <v>10</v>
          </cell>
        </row>
        <row r="50">
          <cell r="A50">
            <v>57</v>
          </cell>
          <cell r="B50" t="str">
            <v>耀眼烈阳</v>
          </cell>
          <cell r="C50">
            <v>22</v>
          </cell>
          <cell r="D50">
            <v>15</v>
          </cell>
          <cell r="E50">
            <v>10</v>
          </cell>
        </row>
        <row r="51">
          <cell r="A51">
            <v>58</v>
          </cell>
          <cell r="B51" t="str">
            <v>破晓之光</v>
          </cell>
          <cell r="C51">
            <v>22</v>
          </cell>
          <cell r="D51">
            <v>24</v>
          </cell>
          <cell r="E51">
            <v>10</v>
          </cell>
        </row>
        <row r="52">
          <cell r="A52">
            <v>62</v>
          </cell>
          <cell r="B52" t="str">
            <v>破晓之军</v>
          </cell>
          <cell r="C52">
            <v>24</v>
          </cell>
          <cell r="D52">
            <v>1</v>
          </cell>
          <cell r="E52">
            <v>10</v>
          </cell>
        </row>
        <row r="53">
          <cell r="A53">
            <v>63</v>
          </cell>
          <cell r="B53" t="str">
            <v>真挚之心</v>
          </cell>
          <cell r="C53">
            <v>24</v>
          </cell>
          <cell r="D53">
            <v>9</v>
          </cell>
          <cell r="E53">
            <v>10</v>
          </cell>
        </row>
        <row r="54">
          <cell r="A54">
            <v>64</v>
          </cell>
          <cell r="B54" t="str">
            <v>圣光导师</v>
          </cell>
          <cell r="C54">
            <v>24</v>
          </cell>
          <cell r="D54">
            <v>18</v>
          </cell>
          <cell r="E54">
            <v>10</v>
          </cell>
        </row>
        <row r="55">
          <cell r="A55">
            <v>65</v>
          </cell>
          <cell r="B55" t="str">
            <v>贴身护卫</v>
          </cell>
          <cell r="C55">
            <v>25</v>
          </cell>
          <cell r="D55">
            <v>1</v>
          </cell>
          <cell r="E55">
            <v>10</v>
          </cell>
        </row>
        <row r="56">
          <cell r="A56">
            <v>66</v>
          </cell>
          <cell r="B56" t="str">
            <v>掌握火焰</v>
          </cell>
          <cell r="C56">
            <v>25</v>
          </cell>
          <cell r="D56">
            <v>5</v>
          </cell>
          <cell r="E56">
            <v>10</v>
          </cell>
        </row>
        <row r="57">
          <cell r="A57">
            <v>67</v>
          </cell>
          <cell r="B57" t="str">
            <v>天才对决</v>
          </cell>
          <cell r="C57">
            <v>25</v>
          </cell>
          <cell r="D57">
            <v>9</v>
          </cell>
          <cell r="E57">
            <v>10</v>
          </cell>
        </row>
        <row r="58">
          <cell r="A58">
            <v>68</v>
          </cell>
          <cell r="B58" t="str">
            <v>血色军团</v>
          </cell>
          <cell r="C58">
            <v>26</v>
          </cell>
          <cell r="D58">
            <v>1</v>
          </cell>
          <cell r="E58">
            <v>10</v>
          </cell>
        </row>
        <row r="59">
          <cell r="A59">
            <v>75</v>
          </cell>
          <cell r="B59" t="str">
            <v>永恒思念</v>
          </cell>
          <cell r="C59">
            <v>32</v>
          </cell>
          <cell r="D59">
            <v>11</v>
          </cell>
          <cell r="E59">
            <v>10</v>
          </cell>
        </row>
        <row r="60">
          <cell r="A60">
            <v>76</v>
          </cell>
          <cell r="B60" t="str">
            <v>冰火碰撞</v>
          </cell>
          <cell r="C60">
            <v>32</v>
          </cell>
          <cell r="D60">
            <v>10</v>
          </cell>
          <cell r="E60">
            <v>10</v>
          </cell>
        </row>
        <row r="61">
          <cell r="A61">
            <v>77</v>
          </cell>
          <cell r="B61" t="str">
            <v>无尽追猎</v>
          </cell>
          <cell r="C61">
            <v>32</v>
          </cell>
          <cell r="D61">
            <v>20</v>
          </cell>
          <cell r="E61">
            <v>10</v>
          </cell>
        </row>
        <row r="62">
          <cell r="A62">
            <v>78</v>
          </cell>
          <cell r="B62" t="str">
            <v>恶魔仆从</v>
          </cell>
          <cell r="C62">
            <v>32</v>
          </cell>
          <cell r="D62">
            <v>30</v>
          </cell>
          <cell r="E62">
            <v>10</v>
          </cell>
        </row>
        <row r="63">
          <cell r="A63">
            <v>79</v>
          </cell>
          <cell r="B63" t="str">
            <v>燃烧裂变</v>
          </cell>
          <cell r="C63">
            <v>32</v>
          </cell>
          <cell r="D63">
            <v>31</v>
          </cell>
          <cell r="E63">
            <v>10</v>
          </cell>
        </row>
        <row r="64">
          <cell r="A64">
            <v>80</v>
          </cell>
          <cell r="B64" t="str">
            <v>恶魔军团</v>
          </cell>
          <cell r="C64">
            <v>31</v>
          </cell>
          <cell r="D64">
            <v>30</v>
          </cell>
          <cell r="E64">
            <v>10</v>
          </cell>
        </row>
        <row r="65">
          <cell r="A65">
            <v>81</v>
          </cell>
          <cell r="B65" t="str">
            <v>邪恶诱导</v>
          </cell>
          <cell r="C65">
            <v>31</v>
          </cell>
          <cell r="D65">
            <v>10</v>
          </cell>
          <cell r="E65">
            <v>10</v>
          </cell>
        </row>
        <row r="66">
          <cell r="A66">
            <v>82</v>
          </cell>
          <cell r="B66" t="str">
            <v>瓦解防线</v>
          </cell>
          <cell r="C66">
            <v>31</v>
          </cell>
          <cell r="D66">
            <v>1</v>
          </cell>
          <cell r="E66">
            <v>10</v>
          </cell>
        </row>
        <row r="67">
          <cell r="A67">
            <v>83</v>
          </cell>
          <cell r="B67" t="str">
            <v>瓦解大地</v>
          </cell>
          <cell r="C67">
            <v>31</v>
          </cell>
          <cell r="D67">
            <v>9</v>
          </cell>
          <cell r="E67">
            <v>10</v>
          </cell>
        </row>
        <row r="68">
          <cell r="A68">
            <v>84</v>
          </cell>
          <cell r="B68" t="str">
            <v>末日之战</v>
          </cell>
          <cell r="C68">
            <v>31</v>
          </cell>
          <cell r="D68">
            <v>11</v>
          </cell>
          <cell r="E68">
            <v>10</v>
          </cell>
        </row>
        <row r="69">
          <cell r="A69">
            <v>85</v>
          </cell>
          <cell r="B69" t="str">
            <v>恶魔军团</v>
          </cell>
          <cell r="C69">
            <v>30</v>
          </cell>
          <cell r="D69">
            <v>31</v>
          </cell>
          <cell r="E69">
            <v>10</v>
          </cell>
        </row>
        <row r="70">
          <cell r="A70">
            <v>86</v>
          </cell>
          <cell r="B70" t="str">
            <v>奴役死灵</v>
          </cell>
          <cell r="C70">
            <v>30</v>
          </cell>
          <cell r="D70">
            <v>2</v>
          </cell>
          <cell r="E70">
            <v>10</v>
          </cell>
        </row>
        <row r="71">
          <cell r="A71">
            <v>87</v>
          </cell>
          <cell r="B71" t="str">
            <v>奴役亡灵</v>
          </cell>
          <cell r="C71">
            <v>30</v>
          </cell>
          <cell r="D71">
            <v>3</v>
          </cell>
          <cell r="E71">
            <v>10</v>
          </cell>
        </row>
        <row r="72">
          <cell r="A72">
            <v>88</v>
          </cell>
          <cell r="B72" t="str">
            <v>黑暗之主</v>
          </cell>
          <cell r="C72">
            <v>30</v>
          </cell>
          <cell r="D72">
            <v>10</v>
          </cell>
          <cell r="E72">
            <v>10</v>
          </cell>
        </row>
        <row r="73">
          <cell r="A73">
            <v>89</v>
          </cell>
          <cell r="B73" t="str">
            <v>往日记忆</v>
          </cell>
          <cell r="C73">
            <v>28</v>
          </cell>
          <cell r="D73">
            <v>10</v>
          </cell>
          <cell r="E73">
            <v>10</v>
          </cell>
        </row>
        <row r="74">
          <cell r="A74">
            <v>90</v>
          </cell>
          <cell r="B74" t="str">
            <v>冰霜卫士</v>
          </cell>
          <cell r="C74">
            <v>28</v>
          </cell>
          <cell r="D74">
            <v>1</v>
          </cell>
          <cell r="E74">
            <v>10</v>
          </cell>
        </row>
        <row r="75">
          <cell r="A75">
            <v>91</v>
          </cell>
          <cell r="B75" t="str">
            <v>大地之灵</v>
          </cell>
          <cell r="C75">
            <v>28</v>
          </cell>
          <cell r="D75">
            <v>4</v>
          </cell>
          <cell r="E75">
            <v>10</v>
          </cell>
        </row>
        <row r="76">
          <cell r="A76">
            <v>92</v>
          </cell>
          <cell r="B76" t="str">
            <v>钢铁同盟</v>
          </cell>
          <cell r="C76">
            <v>28</v>
          </cell>
          <cell r="D76">
            <v>17</v>
          </cell>
          <cell r="E76">
            <v>10</v>
          </cell>
        </row>
        <row r="77">
          <cell r="A77">
            <v>93</v>
          </cell>
          <cell r="B77" t="str">
            <v>死灵贸易</v>
          </cell>
          <cell r="C77">
            <v>29</v>
          </cell>
          <cell r="D77">
            <v>13</v>
          </cell>
          <cell r="E77">
            <v>10</v>
          </cell>
        </row>
        <row r="78">
          <cell r="A78">
            <v>94</v>
          </cell>
          <cell r="B78" t="str">
            <v>兽人贸易</v>
          </cell>
          <cell r="C78">
            <v>29</v>
          </cell>
          <cell r="D78">
            <v>12</v>
          </cell>
          <cell r="E78">
            <v>10</v>
          </cell>
        </row>
        <row r="79">
          <cell r="A79">
            <v>95</v>
          </cell>
          <cell r="B79" t="str">
            <v>人族贸易</v>
          </cell>
          <cell r="C79">
            <v>29</v>
          </cell>
          <cell r="D79">
            <v>9</v>
          </cell>
          <cell r="E79">
            <v>10</v>
          </cell>
        </row>
        <row r="80">
          <cell r="A80">
            <v>96</v>
          </cell>
          <cell r="B80" t="str">
            <v>精灵贸易</v>
          </cell>
          <cell r="C80">
            <v>29</v>
          </cell>
          <cell r="D80">
            <v>11</v>
          </cell>
          <cell r="E80">
            <v>10</v>
          </cell>
        </row>
        <row r="81">
          <cell r="A81">
            <v>97</v>
          </cell>
          <cell r="B81" t="str">
            <v>破晓贸易</v>
          </cell>
          <cell r="C81">
            <v>29</v>
          </cell>
          <cell r="D81">
            <v>24</v>
          </cell>
          <cell r="E81">
            <v>10</v>
          </cell>
        </row>
        <row r="82">
          <cell r="A82">
            <v>98</v>
          </cell>
          <cell r="B82" t="str">
            <v>烈阳贸易</v>
          </cell>
          <cell r="C82">
            <v>29</v>
          </cell>
          <cell r="D82">
            <v>15</v>
          </cell>
          <cell r="E82">
            <v>10</v>
          </cell>
        </row>
        <row r="83">
          <cell r="A83">
            <v>99</v>
          </cell>
          <cell r="B83" t="str">
            <v>地下黑市</v>
          </cell>
          <cell r="C83">
            <v>29</v>
          </cell>
          <cell r="D83">
            <v>16</v>
          </cell>
          <cell r="E83">
            <v>10</v>
          </cell>
        </row>
        <row r="84">
          <cell r="A84">
            <v>100</v>
          </cell>
          <cell r="B84" t="str">
            <v>黑暗贸易</v>
          </cell>
          <cell r="C84">
            <v>29</v>
          </cell>
          <cell r="D84">
            <v>10</v>
          </cell>
          <cell r="E84">
            <v>10</v>
          </cell>
        </row>
        <row r="85">
          <cell r="A85">
            <v>101</v>
          </cell>
          <cell r="B85" t="str">
            <v>恶魔贸易</v>
          </cell>
          <cell r="C85">
            <v>29</v>
          </cell>
          <cell r="D85">
            <v>31</v>
          </cell>
          <cell r="E85">
            <v>10</v>
          </cell>
        </row>
        <row r="86">
          <cell r="A86">
            <v>102</v>
          </cell>
          <cell r="B86" t="str">
            <v>贸易合作</v>
          </cell>
          <cell r="C86">
            <v>13</v>
          </cell>
          <cell r="D86">
            <v>29</v>
          </cell>
          <cell r="E86">
            <v>10</v>
          </cell>
        </row>
        <row r="87">
          <cell r="A87">
            <v>103</v>
          </cell>
          <cell r="B87" t="str">
            <v>贸易合作</v>
          </cell>
          <cell r="C87">
            <v>12</v>
          </cell>
          <cell r="D87">
            <v>29</v>
          </cell>
          <cell r="E87">
            <v>10</v>
          </cell>
        </row>
        <row r="88">
          <cell r="A88">
            <v>104</v>
          </cell>
          <cell r="B88" t="str">
            <v>贸易合作</v>
          </cell>
          <cell r="C88">
            <v>9</v>
          </cell>
          <cell r="D88">
            <v>29</v>
          </cell>
          <cell r="E88">
            <v>10</v>
          </cell>
        </row>
        <row r="89">
          <cell r="A89">
            <v>105</v>
          </cell>
          <cell r="B89" t="str">
            <v>贸易合作</v>
          </cell>
          <cell r="C89">
            <v>11</v>
          </cell>
          <cell r="D89">
            <v>29</v>
          </cell>
          <cell r="E89">
            <v>10</v>
          </cell>
        </row>
        <row r="90">
          <cell r="A90">
            <v>106</v>
          </cell>
          <cell r="B90" t="str">
            <v>贸易合作</v>
          </cell>
          <cell r="C90">
            <v>24</v>
          </cell>
          <cell r="D90">
            <v>29</v>
          </cell>
          <cell r="E90">
            <v>10</v>
          </cell>
        </row>
        <row r="91">
          <cell r="A91">
            <v>107</v>
          </cell>
          <cell r="B91" t="str">
            <v>贸易合作</v>
          </cell>
          <cell r="C91">
            <v>15</v>
          </cell>
          <cell r="D91">
            <v>29</v>
          </cell>
          <cell r="E91">
            <v>10</v>
          </cell>
        </row>
        <row r="92">
          <cell r="A92">
            <v>108</v>
          </cell>
          <cell r="B92" t="str">
            <v>贸易合作</v>
          </cell>
          <cell r="C92">
            <v>16</v>
          </cell>
          <cell r="D92">
            <v>29</v>
          </cell>
          <cell r="E92">
            <v>10</v>
          </cell>
        </row>
        <row r="93">
          <cell r="A93">
            <v>109</v>
          </cell>
          <cell r="B93" t="str">
            <v>贸易合作</v>
          </cell>
          <cell r="C93">
            <v>10</v>
          </cell>
          <cell r="D93">
            <v>29</v>
          </cell>
          <cell r="E93">
            <v>10</v>
          </cell>
        </row>
        <row r="94">
          <cell r="A94">
            <v>110</v>
          </cell>
          <cell r="B94" t="str">
            <v>贸易合作</v>
          </cell>
          <cell r="C94">
            <v>31</v>
          </cell>
          <cell r="D94">
            <v>29</v>
          </cell>
          <cell r="E94">
            <v>10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ItemConfig"/>
      <sheetName val="suitConfig"/>
      <sheetName val="dressConfig"/>
      <sheetName val="useLimitGroup"/>
      <sheetName val="sourceConfig"/>
      <sheetName val="resolveConfig"/>
      <sheetName val="字段说明"/>
      <sheetName val="物品类型相关说明"/>
      <sheetName val="说明"/>
      <sheetName val="预览"/>
      <sheetName val="外观"/>
      <sheetName val="可使用物品总览"/>
    </sheetNames>
    <sheetDataSet>
      <sheetData sheetId="0" refreshError="1">
        <row r="1">
          <cell r="A1" t="str">
            <v>ID</v>
          </cell>
          <cell r="BB1" t="str">
            <v>外形配置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901</v>
          </cell>
          <cell r="BB27" t="str">
            <v>1</v>
          </cell>
        </row>
        <row r="28">
          <cell r="A28">
            <v>902</v>
          </cell>
          <cell r="BB28" t="str">
            <v>1</v>
          </cell>
        </row>
        <row r="29">
          <cell r="A29">
            <v>903</v>
          </cell>
          <cell r="BB29" t="str">
            <v>1</v>
          </cell>
        </row>
        <row r="30">
          <cell r="A30">
            <v>904</v>
          </cell>
          <cell r="BB30" t="str">
            <v>1</v>
          </cell>
        </row>
        <row r="31">
          <cell r="A31">
            <v>905</v>
          </cell>
          <cell r="BB31" t="str">
            <v>1</v>
          </cell>
        </row>
        <row r="32">
          <cell r="A32">
            <v>906</v>
          </cell>
          <cell r="BB32" t="str">
            <v>1</v>
          </cell>
        </row>
        <row r="33">
          <cell r="A33">
            <v>907</v>
          </cell>
          <cell r="BB33" t="str">
            <v>1</v>
          </cell>
        </row>
        <row r="34">
          <cell r="A34">
            <v>908</v>
          </cell>
          <cell r="BB34" t="str">
            <v>1</v>
          </cell>
        </row>
        <row r="35">
          <cell r="A35">
            <v>909</v>
          </cell>
          <cell r="BB35" t="str">
            <v>1</v>
          </cell>
        </row>
        <row r="36">
          <cell r="A36">
            <v>910</v>
          </cell>
          <cell r="BB36" t="str">
            <v>1</v>
          </cell>
        </row>
        <row r="37">
          <cell r="A37">
            <v>926</v>
          </cell>
          <cell r="BB37" t="str">
            <v>1</v>
          </cell>
        </row>
        <row r="38">
          <cell r="A38">
            <v>927</v>
          </cell>
          <cell r="BB38" t="str">
            <v>1</v>
          </cell>
        </row>
        <row r="39">
          <cell r="A39">
            <v>928</v>
          </cell>
          <cell r="BB39" t="str">
            <v>1</v>
          </cell>
        </row>
        <row r="40">
          <cell r="A40">
            <v>929</v>
          </cell>
          <cell r="BB40" t="str">
            <v>1</v>
          </cell>
        </row>
        <row r="41">
          <cell r="A41">
            <v>930</v>
          </cell>
          <cell r="BB41" t="str">
            <v>1</v>
          </cell>
        </row>
        <row r="42">
          <cell r="A42">
            <v>949</v>
          </cell>
          <cell r="BB42" t="str">
            <v>c_p_b_001a</v>
          </cell>
        </row>
        <row r="43">
          <cell r="A43">
            <v>950</v>
          </cell>
          <cell r="BB43" t="str">
            <v>c_m_006a</v>
          </cell>
        </row>
        <row r="44">
          <cell r="A44">
            <v>951</v>
          </cell>
          <cell r="BB44" t="str">
            <v>c_m_003_b01a</v>
          </cell>
        </row>
        <row r="45">
          <cell r="A45">
            <v>952</v>
          </cell>
          <cell r="BB45" t="str">
            <v>c_m_007a</v>
          </cell>
        </row>
        <row r="46">
          <cell r="A46">
            <v>953</v>
          </cell>
          <cell r="BB46" t="str">
            <v>c_m_009_b01a</v>
          </cell>
        </row>
        <row r="47">
          <cell r="A47">
            <v>954</v>
          </cell>
          <cell r="BB47" t="str">
            <v>c_m_009_b02a</v>
          </cell>
        </row>
        <row r="48">
          <cell r="A48">
            <v>955</v>
          </cell>
          <cell r="BB48" t="str">
            <v>c_m_010_b01a</v>
          </cell>
        </row>
        <row r="49">
          <cell r="A49">
            <v>956</v>
          </cell>
          <cell r="BB49" t="str">
            <v>c_m_001_b01a</v>
          </cell>
        </row>
        <row r="50">
          <cell r="A50">
            <v>957</v>
          </cell>
          <cell r="BB50" t="str">
            <v>c_m_001_b02a</v>
          </cell>
        </row>
        <row r="51">
          <cell r="A51">
            <v>958</v>
          </cell>
          <cell r="BB51" t="str">
            <v>c_m_002_b01a</v>
          </cell>
        </row>
        <row r="52">
          <cell r="A52">
            <v>959</v>
          </cell>
          <cell r="BB52" t="str">
            <v>c_m_002_b02a</v>
          </cell>
        </row>
        <row r="53">
          <cell r="A53">
            <v>960</v>
          </cell>
          <cell r="BB53" t="str">
            <v>c_m_002_b02a</v>
          </cell>
        </row>
        <row r="54">
          <cell r="A54">
            <v>961</v>
          </cell>
          <cell r="BB54" t="str">
            <v>c_m_008_b01a</v>
          </cell>
        </row>
        <row r="55">
          <cell r="A55">
            <v>962</v>
          </cell>
          <cell r="BB55" t="str">
            <v>c_m_008_b02a</v>
          </cell>
        </row>
        <row r="56">
          <cell r="A56">
            <v>963</v>
          </cell>
          <cell r="BB56" t="str">
            <v>c_m_008_b03a</v>
          </cell>
        </row>
        <row r="57">
          <cell r="A57">
            <v>964</v>
          </cell>
          <cell r="BB57" t="str">
            <v>c_m_008_b04a</v>
          </cell>
        </row>
        <row r="58">
          <cell r="A58">
            <v>965</v>
          </cell>
          <cell r="BB58" t="str">
            <v>c_m_011_b01a</v>
          </cell>
        </row>
        <row r="59">
          <cell r="A59">
            <v>966</v>
          </cell>
          <cell r="BB59" t="str">
            <v>c_m_012_b01a</v>
          </cell>
        </row>
        <row r="60">
          <cell r="A60">
            <v>967</v>
          </cell>
          <cell r="BB60" t="str">
            <v>c_m_012_b02a</v>
          </cell>
        </row>
        <row r="61">
          <cell r="A61">
            <v>968</v>
          </cell>
          <cell r="BB61" t="str">
            <v>c_m_013_b01a</v>
          </cell>
        </row>
        <row r="62">
          <cell r="A62">
            <v>969</v>
          </cell>
          <cell r="BB62" t="str">
            <v>c_m_014_b01a</v>
          </cell>
        </row>
        <row r="63">
          <cell r="A63">
            <v>970</v>
          </cell>
          <cell r="BB63" t="str">
            <v>c_m_007weapon</v>
          </cell>
        </row>
        <row r="64">
          <cell r="A64">
            <v>971</v>
          </cell>
          <cell r="BB64" t="str">
            <v>c_m_004_b01a</v>
          </cell>
        </row>
        <row r="65">
          <cell r="A65">
            <v>972</v>
          </cell>
          <cell r="BB65" t="str">
            <v>c_m_004_b02a</v>
          </cell>
        </row>
        <row r="66">
          <cell r="A66">
            <v>1001</v>
          </cell>
          <cell r="BB66" t="str">
            <v>c_n_003_01a</v>
          </cell>
        </row>
        <row r="67">
          <cell r="A67">
            <v>1002</v>
          </cell>
          <cell r="BB67" t="str">
            <v>c_m_013_b01a</v>
          </cell>
        </row>
        <row r="68">
          <cell r="A68">
            <v>1003</v>
          </cell>
          <cell r="BB68" t="str">
            <v>c_m_013_b01a</v>
          </cell>
        </row>
        <row r="69">
          <cell r="A69">
            <v>1004</v>
          </cell>
          <cell r="BB69" t="str">
            <v>c_m_013_b01a</v>
          </cell>
        </row>
        <row r="70">
          <cell r="A70">
            <v>1005</v>
          </cell>
          <cell r="BB70" t="str">
            <v>c_m_013_b01a</v>
          </cell>
        </row>
        <row r="71">
          <cell r="A71">
            <v>1006</v>
          </cell>
          <cell r="BB71" t="str">
            <v>c_m_013_b01a</v>
          </cell>
        </row>
        <row r="72">
          <cell r="A72">
            <v>1007</v>
          </cell>
          <cell r="BB72" t="str">
            <v>c_m_013_b01a</v>
          </cell>
        </row>
        <row r="73">
          <cell r="A73">
            <v>1008</v>
          </cell>
          <cell r="BB73" t="str">
            <v>c_m_013_b01a</v>
          </cell>
        </row>
        <row r="74">
          <cell r="A74">
            <v>1009</v>
          </cell>
          <cell r="BB74" t="str">
            <v>c_m_013_b01a</v>
          </cell>
        </row>
        <row r="75">
          <cell r="A75">
            <v>1010</v>
          </cell>
          <cell r="BB75" t="str">
            <v>c_m_013_b01a</v>
          </cell>
        </row>
        <row r="76">
          <cell r="A76">
            <v>1011</v>
          </cell>
          <cell r="BB76" t="str">
            <v>c_m_013_b01a</v>
          </cell>
        </row>
        <row r="77">
          <cell r="A77">
            <v>1012</v>
          </cell>
          <cell r="BB77" t="str">
            <v>c_m_013_b01a</v>
          </cell>
        </row>
        <row r="78">
          <cell r="A78">
            <v>1013</v>
          </cell>
          <cell r="BB78" t="str">
            <v>c_m_013_b01a</v>
          </cell>
        </row>
        <row r="79">
          <cell r="A79">
            <v>1014</v>
          </cell>
          <cell r="BB79" t="str">
            <v>c_m_013_b01a</v>
          </cell>
        </row>
        <row r="80">
          <cell r="A80">
            <v>1015</v>
          </cell>
          <cell r="BB80" t="str">
            <v>c_m_013_b01a</v>
          </cell>
        </row>
        <row r="81">
          <cell r="A81">
            <v>1016</v>
          </cell>
          <cell r="BB81" t="str">
            <v>c_m_013_b01a</v>
          </cell>
        </row>
        <row r="82">
          <cell r="A82">
            <v>1017</v>
          </cell>
          <cell r="BB82" t="str">
            <v>c_m_013_b01a</v>
          </cell>
        </row>
        <row r="83">
          <cell r="A83">
            <v>1018</v>
          </cell>
          <cell r="BB83" t="str">
            <v>c_m_013_b01a</v>
          </cell>
        </row>
        <row r="84">
          <cell r="A84">
            <v>1019</v>
          </cell>
          <cell r="BB84" t="str">
            <v>c_m_013_b01a</v>
          </cell>
        </row>
        <row r="85">
          <cell r="A85">
            <v>1020</v>
          </cell>
          <cell r="BB85" t="str">
            <v>c_m_013_b01a</v>
          </cell>
        </row>
        <row r="86">
          <cell r="A86">
            <v>1801</v>
          </cell>
          <cell r="BB86">
            <v>11</v>
          </cell>
        </row>
        <row r="87">
          <cell r="A87">
            <v>1802</v>
          </cell>
          <cell r="BB87">
            <v>11</v>
          </cell>
        </row>
        <row r="88">
          <cell r="A88">
            <v>1803</v>
          </cell>
          <cell r="BB88">
            <v>11</v>
          </cell>
        </row>
        <row r="89">
          <cell r="A89">
            <v>1804</v>
          </cell>
          <cell r="BB89">
            <v>11</v>
          </cell>
        </row>
        <row r="90">
          <cell r="A90">
            <v>1805</v>
          </cell>
          <cell r="BB90">
            <v>11</v>
          </cell>
        </row>
        <row r="91">
          <cell r="A91">
            <v>1806</v>
          </cell>
          <cell r="BB91">
            <v>11</v>
          </cell>
        </row>
        <row r="92">
          <cell r="A92">
            <v>1807</v>
          </cell>
          <cell r="BB92">
            <v>11</v>
          </cell>
        </row>
        <row r="93">
          <cell r="A93">
            <v>1808</v>
          </cell>
          <cell r="BB93">
            <v>11</v>
          </cell>
        </row>
        <row r="94">
          <cell r="A94">
            <v>1809</v>
          </cell>
          <cell r="BB94">
            <v>11</v>
          </cell>
        </row>
        <row r="95">
          <cell r="A95">
            <v>1810</v>
          </cell>
          <cell r="BB95">
            <v>11</v>
          </cell>
        </row>
        <row r="96">
          <cell r="A96">
            <v>1811</v>
          </cell>
          <cell r="BB96">
            <v>11</v>
          </cell>
        </row>
        <row r="97">
          <cell r="A97">
            <v>1812</v>
          </cell>
          <cell r="BB97">
            <v>11</v>
          </cell>
        </row>
        <row r="98">
          <cell r="A98">
            <v>1813</v>
          </cell>
          <cell r="BB98">
            <v>11</v>
          </cell>
        </row>
        <row r="99">
          <cell r="A99">
            <v>1814</v>
          </cell>
          <cell r="BB99">
            <v>11</v>
          </cell>
        </row>
        <row r="100">
          <cell r="A100">
            <v>1815</v>
          </cell>
          <cell r="BB100">
            <v>11</v>
          </cell>
        </row>
        <row r="101">
          <cell r="A101">
            <v>1816</v>
          </cell>
          <cell r="BB101">
            <v>11</v>
          </cell>
        </row>
        <row r="102">
          <cell r="A102">
            <v>1817</v>
          </cell>
          <cell r="BB102">
            <v>11</v>
          </cell>
        </row>
        <row r="103">
          <cell r="A103">
            <v>1818</v>
          </cell>
          <cell r="BB103">
            <v>11</v>
          </cell>
        </row>
        <row r="104">
          <cell r="A104">
            <v>1819</v>
          </cell>
          <cell r="BB104">
            <v>11</v>
          </cell>
        </row>
        <row r="105">
          <cell r="A105">
            <v>1820</v>
          </cell>
          <cell r="BB105">
            <v>11</v>
          </cell>
        </row>
        <row r="106">
          <cell r="A106">
            <v>1821</v>
          </cell>
          <cell r="BB106">
            <v>11</v>
          </cell>
        </row>
        <row r="107">
          <cell r="A107">
            <v>1822</v>
          </cell>
          <cell r="BB107">
            <v>11</v>
          </cell>
        </row>
        <row r="108">
          <cell r="A108">
            <v>1823</v>
          </cell>
          <cell r="BB108">
            <v>11</v>
          </cell>
        </row>
        <row r="109">
          <cell r="A109">
            <v>1824</v>
          </cell>
          <cell r="BB109">
            <v>11</v>
          </cell>
        </row>
        <row r="110">
          <cell r="A110">
            <v>1825</v>
          </cell>
          <cell r="BB110">
            <v>11</v>
          </cell>
        </row>
        <row r="111">
          <cell r="A111">
            <v>1826</v>
          </cell>
          <cell r="BB111">
            <v>11</v>
          </cell>
        </row>
        <row r="112">
          <cell r="A112">
            <v>1827</v>
          </cell>
          <cell r="BB112">
            <v>11</v>
          </cell>
        </row>
        <row r="113">
          <cell r="A113">
            <v>1828</v>
          </cell>
          <cell r="BB113">
            <v>11</v>
          </cell>
        </row>
        <row r="114">
          <cell r="A114">
            <v>1829</v>
          </cell>
          <cell r="BB114">
            <v>11</v>
          </cell>
        </row>
        <row r="115">
          <cell r="A115">
            <v>1830</v>
          </cell>
          <cell r="BB115">
            <v>11</v>
          </cell>
        </row>
        <row r="116">
          <cell r="A116">
            <v>1900</v>
          </cell>
          <cell r="BB116" t="str">
            <v>c_n_010_02a</v>
          </cell>
        </row>
        <row r="117">
          <cell r="A117">
            <v>1901</v>
          </cell>
          <cell r="BB117" t="str">
            <v>c_n_010_02b</v>
          </cell>
        </row>
        <row r="118">
          <cell r="A118">
            <v>1902</v>
          </cell>
          <cell r="BB118" t="str">
            <v>c_n_001_01a</v>
          </cell>
        </row>
        <row r="119">
          <cell r="A119">
            <v>1903</v>
          </cell>
          <cell r="BB119" t="str">
            <v>c_n_002_01a</v>
          </cell>
        </row>
        <row r="120">
          <cell r="A120">
            <v>1904</v>
          </cell>
          <cell r="BB120" t="str">
            <v>c_n_002_02a</v>
          </cell>
        </row>
        <row r="121">
          <cell r="A121">
            <v>1905</v>
          </cell>
          <cell r="BB121" t="str">
            <v>c_n_003_02a</v>
          </cell>
        </row>
        <row r="122">
          <cell r="A122">
            <v>1906</v>
          </cell>
          <cell r="BB122" t="str">
            <v>c_n_007_01a</v>
          </cell>
        </row>
        <row r="123">
          <cell r="A123">
            <v>1907</v>
          </cell>
          <cell r="BB123" t="str">
            <v>c_n_007_02a</v>
          </cell>
        </row>
        <row r="124">
          <cell r="A124">
            <v>1908</v>
          </cell>
          <cell r="BB124" t="str">
            <v>c_n_007_03a</v>
          </cell>
        </row>
        <row r="125">
          <cell r="A125">
            <v>1909</v>
          </cell>
          <cell r="BB125" t="str">
            <v>c_n_008_01a</v>
          </cell>
        </row>
        <row r="126">
          <cell r="A126">
            <v>1910</v>
          </cell>
          <cell r="BB126" t="str">
            <v>c_n_008_02a</v>
          </cell>
        </row>
        <row r="127">
          <cell r="A127">
            <v>1911</v>
          </cell>
          <cell r="BB127" t="str">
            <v>c_n_009_01a</v>
          </cell>
        </row>
        <row r="128">
          <cell r="A128">
            <v>1912</v>
          </cell>
          <cell r="BB128" t="str">
            <v>c_n_010_01a</v>
          </cell>
        </row>
        <row r="129">
          <cell r="A129">
            <v>1913</v>
          </cell>
          <cell r="BB129" t="str">
            <v>c_n_010_04a</v>
          </cell>
        </row>
        <row r="130">
          <cell r="A130">
            <v>1914</v>
          </cell>
          <cell r="BB130" t="str">
            <v>c_n_011_01a</v>
          </cell>
        </row>
        <row r="131">
          <cell r="A131">
            <v>1915</v>
          </cell>
          <cell r="BB131" t="str">
            <v>c_n_001_02a</v>
          </cell>
        </row>
        <row r="132">
          <cell r="A132">
            <v>1916</v>
          </cell>
          <cell r="BB132" t="str">
            <v>c_n_002_04a</v>
          </cell>
        </row>
        <row r="133">
          <cell r="A133">
            <v>1917</v>
          </cell>
          <cell r="BB133" t="str">
            <v>c_n_012_02a</v>
          </cell>
        </row>
        <row r="134">
          <cell r="A134">
            <v>1918</v>
          </cell>
          <cell r="BB134" t="str">
            <v>c_n_004_01a</v>
          </cell>
        </row>
        <row r="135">
          <cell r="A135">
            <v>1919</v>
          </cell>
          <cell r="BB135" t="str">
            <v>c_n_004_02a</v>
          </cell>
        </row>
        <row r="136">
          <cell r="A136">
            <v>1920</v>
          </cell>
          <cell r="BB136" t="str">
            <v>c_b_002_1</v>
          </cell>
        </row>
        <row r="137">
          <cell r="A137">
            <v>1921</v>
          </cell>
          <cell r="BB137" t="str">
            <v>c_b_002_2</v>
          </cell>
        </row>
        <row r="138">
          <cell r="A138">
            <v>1922</v>
          </cell>
          <cell r="BB138" t="str">
            <v>c_b_002_3</v>
          </cell>
        </row>
        <row r="139">
          <cell r="A139">
            <v>1923</v>
          </cell>
          <cell r="BB139" t="str">
            <v>c_n_004_01a</v>
          </cell>
        </row>
        <row r="140">
          <cell r="A140">
            <v>1924</v>
          </cell>
          <cell r="BB140" t="str">
            <v>c_n_004_02a</v>
          </cell>
        </row>
        <row r="141">
          <cell r="A141">
            <v>2000</v>
          </cell>
          <cell r="BB141">
            <v>2</v>
          </cell>
        </row>
        <row r="142">
          <cell r="A142">
            <v>2001</v>
          </cell>
          <cell r="BB142">
            <v>2</v>
          </cell>
        </row>
        <row r="143">
          <cell r="A143">
            <v>2002</v>
          </cell>
          <cell r="BB143">
            <v>2</v>
          </cell>
        </row>
        <row r="144">
          <cell r="A144">
            <v>2003</v>
          </cell>
          <cell r="BB144">
            <v>2</v>
          </cell>
        </row>
        <row r="145">
          <cell r="A145">
            <v>2004</v>
          </cell>
          <cell r="BB145">
            <v>2</v>
          </cell>
        </row>
        <row r="146">
          <cell r="A146">
            <v>2005</v>
          </cell>
          <cell r="BB146">
            <v>2</v>
          </cell>
        </row>
        <row r="147">
          <cell r="A147">
            <v>2006</v>
          </cell>
          <cell r="BB147">
            <v>2</v>
          </cell>
        </row>
        <row r="148">
          <cell r="A148">
            <v>2007</v>
          </cell>
          <cell r="BB148">
            <v>2</v>
          </cell>
        </row>
        <row r="149">
          <cell r="A149">
            <v>2008</v>
          </cell>
          <cell r="BB149">
            <v>2</v>
          </cell>
        </row>
        <row r="150">
          <cell r="A150">
            <v>2009</v>
          </cell>
          <cell r="BB150">
            <v>2</v>
          </cell>
        </row>
        <row r="151">
          <cell r="A151">
            <v>2010</v>
          </cell>
          <cell r="BB151">
            <v>2</v>
          </cell>
        </row>
        <row r="152">
          <cell r="A152">
            <v>2011</v>
          </cell>
          <cell r="BB152">
            <v>2</v>
          </cell>
        </row>
        <row r="153">
          <cell r="A153">
            <v>2012</v>
          </cell>
          <cell r="BB153">
            <v>2</v>
          </cell>
        </row>
        <row r="154">
          <cell r="A154">
            <v>2013</v>
          </cell>
          <cell r="BB154">
            <v>2</v>
          </cell>
        </row>
        <row r="155">
          <cell r="A155">
            <v>2014</v>
          </cell>
          <cell r="BB155">
            <v>2</v>
          </cell>
        </row>
        <row r="156">
          <cell r="A156">
            <v>2015</v>
          </cell>
        </row>
        <row r="157">
          <cell r="A157">
            <v>2016</v>
          </cell>
        </row>
        <row r="158">
          <cell r="A158">
            <v>2017</v>
          </cell>
        </row>
        <row r="159">
          <cell r="A159">
            <v>2018</v>
          </cell>
        </row>
        <row r="160">
          <cell r="A160">
            <v>2019</v>
          </cell>
        </row>
        <row r="161">
          <cell r="A161">
            <v>2020</v>
          </cell>
          <cell r="BB161">
            <v>2</v>
          </cell>
        </row>
        <row r="162">
          <cell r="A162">
            <v>2021</v>
          </cell>
          <cell r="BB162">
            <v>2</v>
          </cell>
        </row>
        <row r="163">
          <cell r="A163">
            <v>2022</v>
          </cell>
          <cell r="BB163">
            <v>2</v>
          </cell>
        </row>
        <row r="164">
          <cell r="A164">
            <v>2023</v>
          </cell>
          <cell r="BB164">
            <v>2</v>
          </cell>
        </row>
        <row r="165">
          <cell r="A165">
            <v>2024</v>
          </cell>
          <cell r="BB165">
            <v>3</v>
          </cell>
        </row>
        <row r="166">
          <cell r="A166">
            <v>2025</v>
          </cell>
          <cell r="BB166">
            <v>2</v>
          </cell>
        </row>
        <row r="167">
          <cell r="A167">
            <v>2026</v>
          </cell>
          <cell r="BB167">
            <v>2</v>
          </cell>
        </row>
        <row r="168">
          <cell r="A168">
            <v>2027</v>
          </cell>
          <cell r="BB168">
            <v>2</v>
          </cell>
        </row>
        <row r="169">
          <cell r="A169">
            <v>2028</v>
          </cell>
          <cell r="BB169">
            <v>2</v>
          </cell>
        </row>
        <row r="170">
          <cell r="A170">
            <v>2029</v>
          </cell>
          <cell r="BB170">
            <v>3</v>
          </cell>
        </row>
        <row r="171">
          <cell r="A171">
            <v>2030</v>
          </cell>
          <cell r="BB171">
            <v>2</v>
          </cell>
        </row>
        <row r="172">
          <cell r="A172">
            <v>2031</v>
          </cell>
          <cell r="BB172">
            <v>2</v>
          </cell>
        </row>
        <row r="173">
          <cell r="A173">
            <v>2032</v>
          </cell>
          <cell r="BB173">
            <v>2</v>
          </cell>
        </row>
        <row r="174">
          <cell r="A174">
            <v>2033</v>
          </cell>
          <cell r="BB174">
            <v>2</v>
          </cell>
        </row>
        <row r="175">
          <cell r="A175">
            <v>2034</v>
          </cell>
          <cell r="BB175">
            <v>3</v>
          </cell>
        </row>
        <row r="176">
          <cell r="A176">
            <v>2035</v>
          </cell>
          <cell r="BB176">
            <v>2</v>
          </cell>
        </row>
        <row r="177">
          <cell r="A177">
            <v>2036</v>
          </cell>
          <cell r="BB177">
            <v>2</v>
          </cell>
        </row>
        <row r="178">
          <cell r="A178">
            <v>2037</v>
          </cell>
          <cell r="BB178">
            <v>2</v>
          </cell>
        </row>
        <row r="179">
          <cell r="A179">
            <v>2038</v>
          </cell>
          <cell r="BB179">
            <v>2</v>
          </cell>
        </row>
        <row r="180">
          <cell r="A180">
            <v>2039</v>
          </cell>
          <cell r="BB180">
            <v>2</v>
          </cell>
        </row>
        <row r="181">
          <cell r="A181">
            <v>2040</v>
          </cell>
          <cell r="BB181">
            <v>2</v>
          </cell>
        </row>
        <row r="182">
          <cell r="A182">
            <v>2041</v>
          </cell>
          <cell r="BB182">
            <v>2</v>
          </cell>
        </row>
        <row r="183">
          <cell r="A183">
            <v>2042</v>
          </cell>
          <cell r="BB183">
            <v>2</v>
          </cell>
        </row>
        <row r="184">
          <cell r="A184">
            <v>2043</v>
          </cell>
          <cell r="BB184">
            <v>2</v>
          </cell>
        </row>
        <row r="185">
          <cell r="A185">
            <v>2044</v>
          </cell>
          <cell r="BB185">
            <v>2</v>
          </cell>
        </row>
        <row r="186">
          <cell r="A186">
            <v>2045</v>
          </cell>
          <cell r="BB186">
            <v>2</v>
          </cell>
        </row>
        <row r="187">
          <cell r="A187">
            <v>2046</v>
          </cell>
          <cell r="BB187">
            <v>2</v>
          </cell>
        </row>
        <row r="188">
          <cell r="A188">
            <v>2047</v>
          </cell>
          <cell r="BB188">
            <v>2</v>
          </cell>
        </row>
        <row r="189">
          <cell r="A189">
            <v>2048</v>
          </cell>
          <cell r="BB189">
            <v>2</v>
          </cell>
        </row>
        <row r="190">
          <cell r="A190">
            <v>2049</v>
          </cell>
          <cell r="BB190">
            <v>2</v>
          </cell>
        </row>
        <row r="191">
          <cell r="A191">
            <v>2050</v>
          </cell>
          <cell r="BB191">
            <v>3</v>
          </cell>
        </row>
        <row r="192">
          <cell r="A192">
            <v>2051</v>
          </cell>
          <cell r="BB192">
            <v>3</v>
          </cell>
        </row>
        <row r="193">
          <cell r="A193">
            <v>2052</v>
          </cell>
          <cell r="BB193">
            <v>3</v>
          </cell>
        </row>
        <row r="194">
          <cell r="A194">
            <v>2053</v>
          </cell>
          <cell r="BB194">
            <v>3</v>
          </cell>
        </row>
        <row r="195">
          <cell r="A195">
            <v>2054</v>
          </cell>
          <cell r="BB195">
            <v>3</v>
          </cell>
        </row>
        <row r="196">
          <cell r="A196">
            <v>2055</v>
          </cell>
          <cell r="BB196">
            <v>3</v>
          </cell>
        </row>
        <row r="197">
          <cell r="A197">
            <v>2056</v>
          </cell>
          <cell r="BB197">
            <v>3</v>
          </cell>
        </row>
        <row r="198">
          <cell r="A198">
            <v>2057</v>
          </cell>
          <cell r="BB198">
            <v>3</v>
          </cell>
        </row>
        <row r="199">
          <cell r="A199">
            <v>2058</v>
          </cell>
          <cell r="BB199">
            <v>3</v>
          </cell>
        </row>
        <row r="200">
          <cell r="A200">
            <v>2059</v>
          </cell>
          <cell r="BB200">
            <v>3</v>
          </cell>
        </row>
        <row r="201">
          <cell r="A201">
            <v>2060</v>
          </cell>
          <cell r="BB201">
            <v>3</v>
          </cell>
        </row>
        <row r="202">
          <cell r="A202">
            <v>2061</v>
          </cell>
          <cell r="BB202">
            <v>3</v>
          </cell>
        </row>
        <row r="203">
          <cell r="A203">
            <v>2062</v>
          </cell>
          <cell r="BB203">
            <v>3</v>
          </cell>
        </row>
        <row r="204">
          <cell r="A204">
            <v>2063</v>
          </cell>
          <cell r="BB204">
            <v>3</v>
          </cell>
        </row>
        <row r="205">
          <cell r="A205">
            <v>2064</v>
          </cell>
          <cell r="BB205">
            <v>3</v>
          </cell>
        </row>
        <row r="206">
          <cell r="A206">
            <v>2065</v>
          </cell>
          <cell r="BB206">
            <v>3</v>
          </cell>
        </row>
        <row r="207">
          <cell r="A207">
            <v>2066</v>
          </cell>
          <cell r="BB207">
            <v>3</v>
          </cell>
        </row>
        <row r="208">
          <cell r="A208">
            <v>2067</v>
          </cell>
          <cell r="BB208">
            <v>3</v>
          </cell>
        </row>
        <row r="209">
          <cell r="A209">
            <v>2068</v>
          </cell>
          <cell r="BB209">
            <v>3</v>
          </cell>
        </row>
        <row r="210">
          <cell r="A210">
            <v>2069</v>
          </cell>
          <cell r="BB210">
            <v>3</v>
          </cell>
        </row>
        <row r="211">
          <cell r="A211">
            <v>2070</v>
          </cell>
          <cell r="BB211">
            <v>3</v>
          </cell>
        </row>
        <row r="212">
          <cell r="A212">
            <v>2071</v>
          </cell>
          <cell r="BB212">
            <v>3</v>
          </cell>
        </row>
        <row r="213">
          <cell r="A213">
            <v>2072</v>
          </cell>
          <cell r="BB213">
            <v>3</v>
          </cell>
        </row>
        <row r="214">
          <cell r="A214">
            <v>2073</v>
          </cell>
          <cell r="BB214">
            <v>3</v>
          </cell>
        </row>
        <row r="215">
          <cell r="A215">
            <v>2074</v>
          </cell>
          <cell r="BB215">
            <v>3</v>
          </cell>
        </row>
        <row r="216">
          <cell r="A216">
            <v>2075</v>
          </cell>
          <cell r="BB216">
            <v>3</v>
          </cell>
        </row>
        <row r="217">
          <cell r="A217">
            <v>2076</v>
          </cell>
          <cell r="BB217">
            <v>3</v>
          </cell>
        </row>
        <row r="218">
          <cell r="A218">
            <v>2077</v>
          </cell>
          <cell r="BB218">
            <v>3</v>
          </cell>
        </row>
        <row r="219">
          <cell r="A219">
            <v>2078</v>
          </cell>
          <cell r="BB219">
            <v>3</v>
          </cell>
        </row>
        <row r="220">
          <cell r="A220">
            <v>2079</v>
          </cell>
          <cell r="BB220">
            <v>3</v>
          </cell>
        </row>
        <row r="221">
          <cell r="A221">
            <v>2080</v>
          </cell>
          <cell r="BB221">
            <v>4</v>
          </cell>
        </row>
        <row r="222">
          <cell r="A222">
            <v>2081</v>
          </cell>
          <cell r="BB222">
            <v>4</v>
          </cell>
        </row>
        <row r="223">
          <cell r="A223">
            <v>2082</v>
          </cell>
          <cell r="BB223">
            <v>4</v>
          </cell>
        </row>
        <row r="224">
          <cell r="A224">
            <v>2083</v>
          </cell>
          <cell r="BB224">
            <v>4</v>
          </cell>
        </row>
        <row r="225">
          <cell r="A225">
            <v>2084</v>
          </cell>
          <cell r="BB225">
            <v>4</v>
          </cell>
        </row>
        <row r="226">
          <cell r="A226">
            <v>2085</v>
          </cell>
          <cell r="BB226">
            <v>4</v>
          </cell>
        </row>
        <row r="227">
          <cell r="A227">
            <v>2086</v>
          </cell>
          <cell r="BB227">
            <v>4</v>
          </cell>
        </row>
        <row r="228">
          <cell r="A228">
            <v>2087</v>
          </cell>
          <cell r="BB228">
            <v>4</v>
          </cell>
        </row>
        <row r="229">
          <cell r="A229">
            <v>2088</v>
          </cell>
          <cell r="BB229">
            <v>4</v>
          </cell>
        </row>
        <row r="230">
          <cell r="A230">
            <v>2089</v>
          </cell>
          <cell r="BB230">
            <v>4</v>
          </cell>
        </row>
        <row r="231">
          <cell r="A231">
            <v>2090</v>
          </cell>
          <cell r="BB231">
            <v>4</v>
          </cell>
        </row>
        <row r="232">
          <cell r="A232">
            <v>2091</v>
          </cell>
          <cell r="BB232">
            <v>4</v>
          </cell>
        </row>
        <row r="233">
          <cell r="A233">
            <v>2092</v>
          </cell>
          <cell r="BB233">
            <v>4</v>
          </cell>
        </row>
        <row r="234">
          <cell r="A234">
            <v>2093</v>
          </cell>
          <cell r="BB234">
            <v>4</v>
          </cell>
        </row>
        <row r="235">
          <cell r="A235">
            <v>2094</v>
          </cell>
          <cell r="BB235">
            <v>4</v>
          </cell>
        </row>
        <row r="236">
          <cell r="A236">
            <v>2095</v>
          </cell>
          <cell r="BB236">
            <v>3</v>
          </cell>
        </row>
        <row r="237">
          <cell r="A237">
            <v>2096</v>
          </cell>
          <cell r="BB237">
            <v>3</v>
          </cell>
        </row>
        <row r="238">
          <cell r="A238">
            <v>2097</v>
          </cell>
          <cell r="BB238">
            <v>3</v>
          </cell>
        </row>
        <row r="239">
          <cell r="A239">
            <v>2098</v>
          </cell>
          <cell r="BB239">
            <v>3</v>
          </cell>
        </row>
        <row r="240">
          <cell r="A240">
            <v>2099</v>
          </cell>
          <cell r="BB240">
            <v>3</v>
          </cell>
        </row>
        <row r="241">
          <cell r="A241">
            <v>2100</v>
          </cell>
          <cell r="BB241">
            <v>3</v>
          </cell>
        </row>
        <row r="242">
          <cell r="A242">
            <v>2101</v>
          </cell>
          <cell r="BB242">
            <v>3</v>
          </cell>
        </row>
        <row r="243">
          <cell r="A243">
            <v>2102</v>
          </cell>
          <cell r="BB243">
            <v>3</v>
          </cell>
        </row>
        <row r="244">
          <cell r="A244">
            <v>2103</v>
          </cell>
          <cell r="BB244">
            <v>3</v>
          </cell>
        </row>
        <row r="245">
          <cell r="A245">
            <v>2104</v>
          </cell>
          <cell r="BB245">
            <v>3</v>
          </cell>
        </row>
        <row r="246">
          <cell r="A246">
            <v>2105</v>
          </cell>
          <cell r="BB246">
            <v>3</v>
          </cell>
        </row>
        <row r="247">
          <cell r="A247">
            <v>2106</v>
          </cell>
          <cell r="BB247">
            <v>3</v>
          </cell>
        </row>
        <row r="248">
          <cell r="A248">
            <v>2107</v>
          </cell>
          <cell r="BB248">
            <v>3</v>
          </cell>
        </row>
        <row r="249">
          <cell r="A249">
            <v>2108</v>
          </cell>
          <cell r="BB249">
            <v>3</v>
          </cell>
        </row>
        <row r="250">
          <cell r="A250">
            <v>2109</v>
          </cell>
          <cell r="BB250">
            <v>3</v>
          </cell>
        </row>
        <row r="251">
          <cell r="A251">
            <v>2110</v>
          </cell>
          <cell r="BB251">
            <v>11</v>
          </cell>
        </row>
        <row r="252">
          <cell r="A252">
            <v>2111</v>
          </cell>
          <cell r="BB252">
            <v>11</v>
          </cell>
        </row>
        <row r="253">
          <cell r="A253">
            <v>2112</v>
          </cell>
          <cell r="BB253">
            <v>11</v>
          </cell>
        </row>
        <row r="254">
          <cell r="A254">
            <v>2113</v>
          </cell>
          <cell r="BB254">
            <v>11</v>
          </cell>
        </row>
        <row r="255">
          <cell r="A255">
            <v>2114</v>
          </cell>
          <cell r="BB255">
            <v>11</v>
          </cell>
        </row>
        <row r="256">
          <cell r="A256">
            <v>2115</v>
          </cell>
          <cell r="BB256">
            <v>11</v>
          </cell>
        </row>
        <row r="257">
          <cell r="A257">
            <v>2116</v>
          </cell>
          <cell r="BB257">
            <v>11</v>
          </cell>
        </row>
        <row r="258">
          <cell r="A258">
            <v>2117</v>
          </cell>
          <cell r="BB258">
            <v>11</v>
          </cell>
        </row>
        <row r="259">
          <cell r="A259">
            <v>2118</v>
          </cell>
          <cell r="BB259">
            <v>11</v>
          </cell>
        </row>
        <row r="260">
          <cell r="A260">
            <v>2119</v>
          </cell>
          <cell r="BB260">
            <v>11</v>
          </cell>
        </row>
        <row r="261">
          <cell r="A261">
            <v>2120</v>
          </cell>
          <cell r="BB261">
            <v>11</v>
          </cell>
        </row>
        <row r="262">
          <cell r="A262">
            <v>2121</v>
          </cell>
          <cell r="BB262">
            <v>11</v>
          </cell>
        </row>
        <row r="263">
          <cell r="A263">
            <v>2122</v>
          </cell>
          <cell r="BB263">
            <v>11</v>
          </cell>
        </row>
        <row r="264">
          <cell r="A264">
            <v>2123</v>
          </cell>
          <cell r="BB264">
            <v>11</v>
          </cell>
        </row>
        <row r="265">
          <cell r="A265">
            <v>2124</v>
          </cell>
          <cell r="BB265">
            <v>11</v>
          </cell>
        </row>
        <row r="266">
          <cell r="A266">
            <v>2125</v>
          </cell>
          <cell r="BB266">
            <v>5</v>
          </cell>
        </row>
        <row r="267">
          <cell r="A267">
            <v>2126</v>
          </cell>
          <cell r="BB267">
            <v>5</v>
          </cell>
        </row>
        <row r="268">
          <cell r="A268">
            <v>2127</v>
          </cell>
          <cell r="BB268">
            <v>5</v>
          </cell>
        </row>
        <row r="269">
          <cell r="A269">
            <v>2128</v>
          </cell>
          <cell r="BB269">
            <v>5</v>
          </cell>
        </row>
        <row r="270">
          <cell r="A270">
            <v>2129</v>
          </cell>
          <cell r="BB270">
            <v>5</v>
          </cell>
        </row>
        <row r="271">
          <cell r="A271">
            <v>2130</v>
          </cell>
          <cell r="BB271">
            <v>5</v>
          </cell>
        </row>
        <row r="272">
          <cell r="A272">
            <v>2131</v>
          </cell>
          <cell r="BB272">
            <v>5</v>
          </cell>
        </row>
        <row r="273">
          <cell r="A273">
            <v>2132</v>
          </cell>
          <cell r="BB273">
            <v>5</v>
          </cell>
        </row>
        <row r="274">
          <cell r="A274">
            <v>2133</v>
          </cell>
          <cell r="BB274">
            <v>5</v>
          </cell>
        </row>
        <row r="275">
          <cell r="A275">
            <v>2134</v>
          </cell>
          <cell r="BB275">
            <v>5</v>
          </cell>
        </row>
        <row r="276">
          <cell r="A276">
            <v>2135</v>
          </cell>
          <cell r="BB276">
            <v>5</v>
          </cell>
        </row>
        <row r="277">
          <cell r="A277">
            <v>2136</v>
          </cell>
          <cell r="BB277">
            <v>5</v>
          </cell>
        </row>
        <row r="278">
          <cell r="A278">
            <v>2137</v>
          </cell>
          <cell r="BB278">
            <v>5</v>
          </cell>
        </row>
        <row r="279">
          <cell r="A279">
            <v>2138</v>
          </cell>
          <cell r="BB279">
            <v>5</v>
          </cell>
        </row>
        <row r="280">
          <cell r="A280">
            <v>2139</v>
          </cell>
          <cell r="BB280">
            <v>5</v>
          </cell>
        </row>
        <row r="281">
          <cell r="A281">
            <v>2140</v>
          </cell>
          <cell r="BB281">
            <v>6</v>
          </cell>
        </row>
        <row r="282">
          <cell r="A282">
            <v>2141</v>
          </cell>
          <cell r="BB282">
            <v>6</v>
          </cell>
        </row>
        <row r="283">
          <cell r="A283">
            <v>2142</v>
          </cell>
          <cell r="BB283">
            <v>6</v>
          </cell>
        </row>
        <row r="284">
          <cell r="A284">
            <v>2143</v>
          </cell>
          <cell r="BB284">
            <v>6</v>
          </cell>
        </row>
        <row r="285">
          <cell r="A285">
            <v>2144</v>
          </cell>
          <cell r="BB285">
            <v>6</v>
          </cell>
        </row>
        <row r="286">
          <cell r="A286">
            <v>2145</v>
          </cell>
          <cell r="BB286">
            <v>6</v>
          </cell>
        </row>
        <row r="287">
          <cell r="A287">
            <v>2146</v>
          </cell>
          <cell r="BB287">
            <v>6</v>
          </cell>
        </row>
        <row r="288">
          <cell r="A288">
            <v>2147</v>
          </cell>
          <cell r="BB288">
            <v>6</v>
          </cell>
        </row>
        <row r="289">
          <cell r="A289">
            <v>2148</v>
          </cell>
          <cell r="BB289">
            <v>6</v>
          </cell>
        </row>
        <row r="290">
          <cell r="A290">
            <v>2149</v>
          </cell>
          <cell r="BB290">
            <v>6</v>
          </cell>
        </row>
        <row r="291">
          <cell r="A291">
            <v>2150</v>
          </cell>
          <cell r="BB291">
            <v>6</v>
          </cell>
        </row>
        <row r="292">
          <cell r="A292">
            <v>2151</v>
          </cell>
          <cell r="BB292">
            <v>6</v>
          </cell>
        </row>
        <row r="293">
          <cell r="A293">
            <v>2152</v>
          </cell>
          <cell r="BB293">
            <v>6</v>
          </cell>
        </row>
        <row r="294">
          <cell r="A294">
            <v>2153</v>
          </cell>
          <cell r="BB294">
            <v>6</v>
          </cell>
        </row>
        <row r="295">
          <cell r="A295">
            <v>2154</v>
          </cell>
          <cell r="BB295">
            <v>6</v>
          </cell>
        </row>
        <row r="296">
          <cell r="A296">
            <v>2155</v>
          </cell>
          <cell r="BB296">
            <v>7</v>
          </cell>
        </row>
        <row r="297">
          <cell r="A297">
            <v>2156</v>
          </cell>
          <cell r="BB297">
            <v>7</v>
          </cell>
        </row>
        <row r="298">
          <cell r="A298">
            <v>2157</v>
          </cell>
          <cell r="BB298">
            <v>7</v>
          </cell>
        </row>
        <row r="299">
          <cell r="A299">
            <v>2158</v>
          </cell>
          <cell r="BB299">
            <v>7</v>
          </cell>
        </row>
        <row r="300">
          <cell r="A300">
            <v>2159</v>
          </cell>
          <cell r="BB300">
            <v>7</v>
          </cell>
        </row>
        <row r="301">
          <cell r="A301">
            <v>2160</v>
          </cell>
          <cell r="BB301">
            <v>7</v>
          </cell>
        </row>
        <row r="302">
          <cell r="A302">
            <v>2161</v>
          </cell>
          <cell r="BB302">
            <v>7</v>
          </cell>
        </row>
        <row r="303">
          <cell r="A303">
            <v>2162</v>
          </cell>
          <cell r="BB303">
            <v>7</v>
          </cell>
        </row>
        <row r="304">
          <cell r="A304">
            <v>2163</v>
          </cell>
          <cell r="BB304">
            <v>7</v>
          </cell>
        </row>
        <row r="305">
          <cell r="A305">
            <v>2164</v>
          </cell>
          <cell r="BB305">
            <v>7</v>
          </cell>
        </row>
        <row r="306">
          <cell r="A306">
            <v>2165</v>
          </cell>
          <cell r="BB306">
            <v>7</v>
          </cell>
        </row>
        <row r="307">
          <cell r="A307">
            <v>2166</v>
          </cell>
          <cell r="BB307">
            <v>7</v>
          </cell>
        </row>
        <row r="308">
          <cell r="A308">
            <v>2167</v>
          </cell>
          <cell r="BB308">
            <v>7</v>
          </cell>
        </row>
        <row r="309">
          <cell r="A309">
            <v>2168</v>
          </cell>
          <cell r="BB309">
            <v>7</v>
          </cell>
        </row>
        <row r="310">
          <cell r="A310">
            <v>2169</v>
          </cell>
          <cell r="BB310">
            <v>7</v>
          </cell>
        </row>
        <row r="311">
          <cell r="A311">
            <v>2170</v>
          </cell>
          <cell r="BB311">
            <v>8</v>
          </cell>
        </row>
        <row r="312">
          <cell r="A312">
            <v>2171</v>
          </cell>
          <cell r="BB312">
            <v>8</v>
          </cell>
        </row>
        <row r="313">
          <cell r="A313">
            <v>2172</v>
          </cell>
          <cell r="BB313">
            <v>8</v>
          </cell>
        </row>
        <row r="314">
          <cell r="A314">
            <v>2173</v>
          </cell>
          <cell r="BB314">
            <v>8</v>
          </cell>
        </row>
        <row r="315">
          <cell r="A315">
            <v>2174</v>
          </cell>
          <cell r="BB315">
            <v>8</v>
          </cell>
        </row>
        <row r="316">
          <cell r="A316">
            <v>2175</v>
          </cell>
          <cell r="BB316">
            <v>8</v>
          </cell>
        </row>
        <row r="317">
          <cell r="A317">
            <v>2176</v>
          </cell>
          <cell r="BB317">
            <v>8</v>
          </cell>
        </row>
        <row r="318">
          <cell r="A318">
            <v>2177</v>
          </cell>
          <cell r="BB318">
            <v>8</v>
          </cell>
        </row>
        <row r="319">
          <cell r="A319">
            <v>2178</v>
          </cell>
          <cell r="BB319">
            <v>8</v>
          </cell>
        </row>
        <row r="320">
          <cell r="A320">
            <v>2179</v>
          </cell>
          <cell r="BB320">
            <v>8</v>
          </cell>
        </row>
        <row r="321">
          <cell r="A321">
            <v>2180</v>
          </cell>
          <cell r="BB321">
            <v>8</v>
          </cell>
        </row>
        <row r="322">
          <cell r="A322">
            <v>2181</v>
          </cell>
          <cell r="BB322">
            <v>8</v>
          </cell>
        </row>
        <row r="323">
          <cell r="A323">
            <v>2182</v>
          </cell>
          <cell r="BB323">
            <v>8</v>
          </cell>
        </row>
        <row r="324">
          <cell r="A324">
            <v>2183</v>
          </cell>
          <cell r="BB324">
            <v>8</v>
          </cell>
        </row>
        <row r="325">
          <cell r="A325">
            <v>2184</v>
          </cell>
          <cell r="BB325">
            <v>8</v>
          </cell>
        </row>
        <row r="326">
          <cell r="A326">
            <v>2185</v>
          </cell>
          <cell r="BB326">
            <v>6</v>
          </cell>
        </row>
        <row r="327">
          <cell r="A327">
            <v>2186</v>
          </cell>
          <cell r="BB327">
            <v>6</v>
          </cell>
        </row>
        <row r="328">
          <cell r="A328">
            <v>2187</v>
          </cell>
          <cell r="BB328">
            <v>6</v>
          </cell>
        </row>
        <row r="329">
          <cell r="A329">
            <v>2188</v>
          </cell>
          <cell r="BB329">
            <v>6</v>
          </cell>
        </row>
        <row r="330">
          <cell r="A330">
            <v>2189</v>
          </cell>
          <cell r="BB330">
            <v>6</v>
          </cell>
        </row>
        <row r="331">
          <cell r="A331">
            <v>2190</v>
          </cell>
          <cell r="BB331">
            <v>6</v>
          </cell>
        </row>
        <row r="332">
          <cell r="A332">
            <v>2191</v>
          </cell>
          <cell r="BB332">
            <v>6</v>
          </cell>
        </row>
        <row r="333">
          <cell r="A333">
            <v>2192</v>
          </cell>
          <cell r="BB333">
            <v>6</v>
          </cell>
        </row>
        <row r="334">
          <cell r="A334">
            <v>2193</v>
          </cell>
          <cell r="BB334">
            <v>6</v>
          </cell>
        </row>
        <row r="335">
          <cell r="A335">
            <v>2194</v>
          </cell>
          <cell r="BB335">
            <v>6</v>
          </cell>
        </row>
        <row r="336">
          <cell r="A336">
            <v>2195</v>
          </cell>
          <cell r="BB336">
            <v>6</v>
          </cell>
        </row>
        <row r="337">
          <cell r="A337">
            <v>2196</v>
          </cell>
          <cell r="BB337">
            <v>6</v>
          </cell>
        </row>
        <row r="338">
          <cell r="A338">
            <v>2197</v>
          </cell>
          <cell r="BB338">
            <v>6</v>
          </cell>
        </row>
        <row r="339">
          <cell r="A339">
            <v>2198</v>
          </cell>
          <cell r="BB339">
            <v>6</v>
          </cell>
        </row>
        <row r="340">
          <cell r="A340">
            <v>2199</v>
          </cell>
          <cell r="BB340">
            <v>6</v>
          </cell>
        </row>
        <row r="341">
          <cell r="A341">
            <v>2200</v>
          </cell>
          <cell r="BB341">
            <v>7</v>
          </cell>
        </row>
        <row r="342">
          <cell r="A342">
            <v>2201</v>
          </cell>
          <cell r="BB342">
            <v>7</v>
          </cell>
        </row>
        <row r="343">
          <cell r="A343">
            <v>2202</v>
          </cell>
          <cell r="BB343">
            <v>7</v>
          </cell>
        </row>
        <row r="344">
          <cell r="A344">
            <v>2203</v>
          </cell>
          <cell r="BB344">
            <v>7</v>
          </cell>
        </row>
        <row r="345">
          <cell r="A345">
            <v>2204</v>
          </cell>
          <cell r="BB345">
            <v>7</v>
          </cell>
        </row>
        <row r="346">
          <cell r="A346">
            <v>2205</v>
          </cell>
          <cell r="BB346">
            <v>7</v>
          </cell>
        </row>
        <row r="347">
          <cell r="A347">
            <v>2206</v>
          </cell>
          <cell r="BB347">
            <v>7</v>
          </cell>
        </row>
        <row r="348">
          <cell r="A348">
            <v>2207</v>
          </cell>
          <cell r="BB348">
            <v>7</v>
          </cell>
        </row>
        <row r="349">
          <cell r="A349">
            <v>2208</v>
          </cell>
          <cell r="BB349">
            <v>7</v>
          </cell>
        </row>
        <row r="350">
          <cell r="A350">
            <v>2209</v>
          </cell>
          <cell r="BB350">
            <v>7</v>
          </cell>
        </row>
        <row r="351">
          <cell r="A351">
            <v>2210</v>
          </cell>
          <cell r="BB351">
            <v>7</v>
          </cell>
        </row>
        <row r="352">
          <cell r="A352">
            <v>2211</v>
          </cell>
          <cell r="BB352">
            <v>7</v>
          </cell>
        </row>
        <row r="353">
          <cell r="A353">
            <v>2212</v>
          </cell>
          <cell r="BB353">
            <v>7</v>
          </cell>
        </row>
        <row r="354">
          <cell r="A354">
            <v>2213</v>
          </cell>
          <cell r="BB354">
            <v>7</v>
          </cell>
        </row>
        <row r="355">
          <cell r="A355">
            <v>2214</v>
          </cell>
          <cell r="BB355">
            <v>7</v>
          </cell>
        </row>
        <row r="356">
          <cell r="A356">
            <v>2215</v>
          </cell>
          <cell r="BB356">
            <v>8</v>
          </cell>
        </row>
        <row r="357">
          <cell r="A357">
            <v>2216</v>
          </cell>
          <cell r="BB357">
            <v>8</v>
          </cell>
        </row>
        <row r="358">
          <cell r="A358">
            <v>2217</v>
          </cell>
          <cell r="BB358">
            <v>8</v>
          </cell>
        </row>
        <row r="359">
          <cell r="A359">
            <v>2218</v>
          </cell>
          <cell r="BB359">
            <v>8</v>
          </cell>
        </row>
        <row r="360">
          <cell r="A360">
            <v>2219</v>
          </cell>
          <cell r="BB360">
            <v>8</v>
          </cell>
        </row>
        <row r="361">
          <cell r="A361">
            <v>2220</v>
          </cell>
          <cell r="BB361">
            <v>8</v>
          </cell>
        </row>
        <row r="362">
          <cell r="A362">
            <v>2221</v>
          </cell>
          <cell r="BB362">
            <v>8</v>
          </cell>
        </row>
        <row r="363">
          <cell r="A363">
            <v>2222</v>
          </cell>
          <cell r="BB363">
            <v>8</v>
          </cell>
        </row>
        <row r="364">
          <cell r="A364">
            <v>2223</v>
          </cell>
          <cell r="BB364">
            <v>8</v>
          </cell>
        </row>
        <row r="365">
          <cell r="A365">
            <v>2224</v>
          </cell>
          <cell r="BB365">
            <v>8</v>
          </cell>
        </row>
        <row r="366">
          <cell r="A366">
            <v>2225</v>
          </cell>
          <cell r="BB366">
            <v>8</v>
          </cell>
        </row>
        <row r="367">
          <cell r="A367">
            <v>2226</v>
          </cell>
          <cell r="BB367">
            <v>8</v>
          </cell>
        </row>
        <row r="368">
          <cell r="A368">
            <v>2227</v>
          </cell>
          <cell r="BB368">
            <v>8</v>
          </cell>
        </row>
        <row r="369">
          <cell r="A369">
            <v>2228</v>
          </cell>
          <cell r="BB369">
            <v>8</v>
          </cell>
        </row>
        <row r="370">
          <cell r="A370">
            <v>2229</v>
          </cell>
          <cell r="BB370">
            <v>8</v>
          </cell>
        </row>
        <row r="371">
          <cell r="A371">
            <v>2230</v>
          </cell>
          <cell r="BB371" t="str">
            <v>c_p_510c</v>
          </cell>
        </row>
        <row r="372">
          <cell r="A372">
            <v>2231</v>
          </cell>
          <cell r="BB372" t="str">
            <v>c_p_511c</v>
          </cell>
        </row>
        <row r="373">
          <cell r="A373">
            <v>2232</v>
          </cell>
          <cell r="BB373" t="str">
            <v>c_p_407c</v>
          </cell>
        </row>
        <row r="374">
          <cell r="A374">
            <v>2233</v>
          </cell>
          <cell r="BB374">
            <v>8</v>
          </cell>
        </row>
        <row r="375">
          <cell r="A375">
            <v>2234</v>
          </cell>
          <cell r="BB375" t="str">
            <v>c_p_505e</v>
          </cell>
        </row>
        <row r="376">
          <cell r="A376">
            <v>2235</v>
          </cell>
          <cell r="BB376">
            <v>8</v>
          </cell>
        </row>
        <row r="377">
          <cell r="A377">
            <v>2236</v>
          </cell>
          <cell r="BB377">
            <v>8</v>
          </cell>
        </row>
        <row r="378">
          <cell r="A378">
            <v>2237</v>
          </cell>
          <cell r="BB378">
            <v>8</v>
          </cell>
        </row>
        <row r="379">
          <cell r="A379">
            <v>2238</v>
          </cell>
          <cell r="BB379">
            <v>8</v>
          </cell>
        </row>
        <row r="380">
          <cell r="A380">
            <v>2239</v>
          </cell>
          <cell r="BB380">
            <v>8</v>
          </cell>
        </row>
        <row r="381">
          <cell r="A381">
            <v>2240</v>
          </cell>
          <cell r="BB381">
            <v>8</v>
          </cell>
        </row>
        <row r="382">
          <cell r="A382">
            <v>2241</v>
          </cell>
          <cell r="BB382">
            <v>8</v>
          </cell>
        </row>
        <row r="383">
          <cell r="A383">
            <v>2242</v>
          </cell>
          <cell r="BB383">
            <v>8</v>
          </cell>
        </row>
        <row r="384">
          <cell r="A384">
            <v>2243</v>
          </cell>
          <cell r="BB384">
            <v>8</v>
          </cell>
        </row>
        <row r="385">
          <cell r="A385">
            <v>2244</v>
          </cell>
          <cell r="BB385">
            <v>8</v>
          </cell>
        </row>
        <row r="386">
          <cell r="A386">
            <v>2245</v>
          </cell>
          <cell r="BB386">
            <v>8</v>
          </cell>
        </row>
        <row r="387">
          <cell r="A387">
            <v>2246</v>
          </cell>
          <cell r="BB387">
            <v>8</v>
          </cell>
        </row>
        <row r="388">
          <cell r="A388">
            <v>2247</v>
          </cell>
          <cell r="BB388">
            <v>8</v>
          </cell>
        </row>
        <row r="389">
          <cell r="A389">
            <v>2248</v>
          </cell>
          <cell r="BB389" t="str">
            <v>c_p_106b_1</v>
          </cell>
        </row>
        <row r="390">
          <cell r="A390">
            <v>2249</v>
          </cell>
          <cell r="BB390" t="str">
            <v>c_p_501b_1</v>
          </cell>
        </row>
        <row r="391">
          <cell r="A391">
            <v>2250</v>
          </cell>
          <cell r="BB391" t="str">
            <v>c_p_403b_1</v>
          </cell>
        </row>
        <row r="392">
          <cell r="A392">
            <v>2251</v>
          </cell>
          <cell r="BB392">
            <v>8</v>
          </cell>
        </row>
        <row r="393">
          <cell r="A393">
            <v>2252</v>
          </cell>
          <cell r="BB393">
            <v>8</v>
          </cell>
        </row>
        <row r="394">
          <cell r="A394">
            <v>2253</v>
          </cell>
          <cell r="BB394">
            <v>8</v>
          </cell>
        </row>
        <row r="395">
          <cell r="A395">
            <v>2254</v>
          </cell>
          <cell r="BB395">
            <v>8</v>
          </cell>
        </row>
        <row r="396">
          <cell r="A396">
            <v>2255</v>
          </cell>
          <cell r="BB396">
            <v>8</v>
          </cell>
        </row>
        <row r="397">
          <cell r="A397">
            <v>2256</v>
          </cell>
          <cell r="BB397">
            <v>8</v>
          </cell>
        </row>
        <row r="398">
          <cell r="A398">
            <v>2257</v>
          </cell>
          <cell r="BB398">
            <v>8</v>
          </cell>
        </row>
        <row r="399">
          <cell r="A399">
            <v>2258</v>
          </cell>
          <cell r="BB399">
            <v>8</v>
          </cell>
        </row>
        <row r="400">
          <cell r="A400">
            <v>2259</v>
          </cell>
          <cell r="BB400">
            <v>8</v>
          </cell>
        </row>
        <row r="401">
          <cell r="A401">
            <v>2260</v>
          </cell>
          <cell r="BB401">
            <v>8</v>
          </cell>
        </row>
        <row r="402">
          <cell r="A402">
            <v>2261</v>
          </cell>
          <cell r="BB402">
            <v>8</v>
          </cell>
        </row>
        <row r="403">
          <cell r="A403">
            <v>2262</v>
          </cell>
          <cell r="BB403">
            <v>8</v>
          </cell>
        </row>
        <row r="404">
          <cell r="A404">
            <v>2263</v>
          </cell>
          <cell r="BB404">
            <v>8</v>
          </cell>
        </row>
        <row r="405">
          <cell r="A405">
            <v>2264</v>
          </cell>
          <cell r="BB405">
            <v>8</v>
          </cell>
        </row>
        <row r="406">
          <cell r="A406">
            <v>2265</v>
          </cell>
          <cell r="BB406">
            <v>8</v>
          </cell>
        </row>
        <row r="407">
          <cell r="A407">
            <v>2266</v>
          </cell>
          <cell r="BB407">
            <v>7</v>
          </cell>
        </row>
        <row r="408">
          <cell r="A408">
            <v>2267</v>
          </cell>
          <cell r="BB408">
            <v>7</v>
          </cell>
        </row>
        <row r="409">
          <cell r="A409">
            <v>2268</v>
          </cell>
          <cell r="BB409">
            <v>7</v>
          </cell>
        </row>
        <row r="410">
          <cell r="A410">
            <v>2269</v>
          </cell>
          <cell r="BB410">
            <v>7</v>
          </cell>
        </row>
        <row r="411">
          <cell r="A411">
            <v>2270</v>
          </cell>
          <cell r="BB411">
            <v>7</v>
          </cell>
        </row>
        <row r="412">
          <cell r="A412">
            <v>2271</v>
          </cell>
          <cell r="BB412">
            <v>7</v>
          </cell>
        </row>
        <row r="413">
          <cell r="A413">
            <v>2272</v>
          </cell>
          <cell r="BB413">
            <v>7</v>
          </cell>
        </row>
        <row r="414">
          <cell r="A414">
            <v>2273</v>
          </cell>
          <cell r="BB414">
            <v>7</v>
          </cell>
        </row>
        <row r="415">
          <cell r="A415">
            <v>2274</v>
          </cell>
          <cell r="BB415">
            <v>7</v>
          </cell>
        </row>
        <row r="416">
          <cell r="A416">
            <v>2275</v>
          </cell>
          <cell r="BB416">
            <v>7</v>
          </cell>
        </row>
        <row r="417">
          <cell r="A417">
            <v>2276</v>
          </cell>
          <cell r="BB417">
            <v>7</v>
          </cell>
        </row>
        <row r="418">
          <cell r="A418">
            <v>2277</v>
          </cell>
          <cell r="BB418">
            <v>7</v>
          </cell>
        </row>
        <row r="419">
          <cell r="A419">
            <v>2278</v>
          </cell>
          <cell r="BB419">
            <v>7</v>
          </cell>
        </row>
        <row r="420">
          <cell r="A420">
            <v>2279</v>
          </cell>
          <cell r="BB420">
            <v>7</v>
          </cell>
        </row>
        <row r="421">
          <cell r="A421">
            <v>2280</v>
          </cell>
          <cell r="BB421">
            <v>7</v>
          </cell>
        </row>
        <row r="422">
          <cell r="A422">
            <v>2281</v>
          </cell>
          <cell r="BB422">
            <v>8</v>
          </cell>
        </row>
        <row r="423">
          <cell r="A423">
            <v>2282</v>
          </cell>
          <cell r="BB423">
            <v>8</v>
          </cell>
        </row>
        <row r="424">
          <cell r="A424">
            <v>2283</v>
          </cell>
          <cell r="BB424">
            <v>8</v>
          </cell>
        </row>
        <row r="425">
          <cell r="A425">
            <v>2284</v>
          </cell>
          <cell r="BB425">
            <v>8</v>
          </cell>
        </row>
        <row r="426">
          <cell r="A426">
            <v>2285</v>
          </cell>
          <cell r="BB426">
            <v>8</v>
          </cell>
        </row>
        <row r="427">
          <cell r="A427">
            <v>2286</v>
          </cell>
          <cell r="BB427">
            <v>8</v>
          </cell>
        </row>
        <row r="428">
          <cell r="A428">
            <v>2287</v>
          </cell>
          <cell r="BB428">
            <v>8</v>
          </cell>
        </row>
        <row r="429">
          <cell r="A429">
            <v>2288</v>
          </cell>
          <cell r="BB429">
            <v>8</v>
          </cell>
        </row>
        <row r="430">
          <cell r="A430">
            <v>2289</v>
          </cell>
          <cell r="BB430">
            <v>8</v>
          </cell>
        </row>
        <row r="431">
          <cell r="A431">
            <v>2290</v>
          </cell>
          <cell r="BB431">
            <v>8</v>
          </cell>
        </row>
        <row r="432">
          <cell r="A432">
            <v>2291</v>
          </cell>
          <cell r="BB432">
            <v>8</v>
          </cell>
        </row>
        <row r="433">
          <cell r="A433">
            <v>2292</v>
          </cell>
          <cell r="BB433">
            <v>8</v>
          </cell>
        </row>
        <row r="434">
          <cell r="A434">
            <v>2293</v>
          </cell>
          <cell r="BB434">
            <v>8</v>
          </cell>
        </row>
        <row r="435">
          <cell r="A435">
            <v>2294</v>
          </cell>
          <cell r="BB435">
            <v>8</v>
          </cell>
        </row>
        <row r="436">
          <cell r="A436">
            <v>2295</v>
          </cell>
          <cell r="BB436">
            <v>8</v>
          </cell>
        </row>
        <row r="437">
          <cell r="A437">
            <v>2296</v>
          </cell>
          <cell r="BB437">
            <v>8</v>
          </cell>
        </row>
        <row r="438">
          <cell r="A438">
            <v>2297</v>
          </cell>
          <cell r="BB438">
            <v>8</v>
          </cell>
        </row>
        <row r="439">
          <cell r="A439">
            <v>2298</v>
          </cell>
          <cell r="BB439">
            <v>8</v>
          </cell>
        </row>
        <row r="440">
          <cell r="A440">
            <v>2299</v>
          </cell>
          <cell r="BB440">
            <v>8</v>
          </cell>
        </row>
        <row r="441">
          <cell r="A441">
            <v>2300</v>
          </cell>
          <cell r="BB441">
            <v>8</v>
          </cell>
        </row>
        <row r="442">
          <cell r="A442">
            <v>2301</v>
          </cell>
          <cell r="BB442">
            <v>8</v>
          </cell>
        </row>
        <row r="443">
          <cell r="A443">
            <v>2302</v>
          </cell>
          <cell r="BB443">
            <v>8</v>
          </cell>
        </row>
        <row r="444">
          <cell r="A444">
            <v>2303</v>
          </cell>
          <cell r="BB444">
            <v>8</v>
          </cell>
        </row>
        <row r="445">
          <cell r="A445">
            <v>2304</v>
          </cell>
          <cell r="BB445">
            <v>8</v>
          </cell>
        </row>
        <row r="446">
          <cell r="A446">
            <v>2305</v>
          </cell>
          <cell r="BB446">
            <v>8</v>
          </cell>
        </row>
        <row r="447">
          <cell r="A447">
            <v>2306</v>
          </cell>
          <cell r="BB447">
            <v>8</v>
          </cell>
        </row>
        <row r="448">
          <cell r="A448">
            <v>2307</v>
          </cell>
          <cell r="BB448">
            <v>8</v>
          </cell>
        </row>
        <row r="449">
          <cell r="A449">
            <v>2308</v>
          </cell>
          <cell r="BB449">
            <v>8</v>
          </cell>
        </row>
        <row r="450">
          <cell r="A450">
            <v>2309</v>
          </cell>
          <cell r="BB450">
            <v>8</v>
          </cell>
        </row>
        <row r="451">
          <cell r="A451">
            <v>2310</v>
          </cell>
          <cell r="BB451">
            <v>8</v>
          </cell>
        </row>
        <row r="452">
          <cell r="A452">
            <v>2311</v>
          </cell>
          <cell r="BB452">
            <v>8</v>
          </cell>
        </row>
        <row r="453">
          <cell r="A453">
            <v>2312</v>
          </cell>
          <cell r="BB453">
            <v>8</v>
          </cell>
        </row>
        <row r="454">
          <cell r="A454">
            <v>2313</v>
          </cell>
          <cell r="BB454">
            <v>8</v>
          </cell>
        </row>
        <row r="455">
          <cell r="A455">
            <v>2314</v>
          </cell>
          <cell r="BB455">
            <v>8</v>
          </cell>
        </row>
        <row r="456">
          <cell r="A456">
            <v>2315</v>
          </cell>
          <cell r="BB456">
            <v>8</v>
          </cell>
        </row>
        <row r="457">
          <cell r="A457">
            <v>2316</v>
          </cell>
          <cell r="BB457">
            <v>8</v>
          </cell>
        </row>
        <row r="458">
          <cell r="A458">
            <v>2317</v>
          </cell>
          <cell r="BB458">
            <v>8</v>
          </cell>
        </row>
        <row r="459">
          <cell r="A459">
            <v>2318</v>
          </cell>
          <cell r="BB459">
            <v>8</v>
          </cell>
        </row>
        <row r="460">
          <cell r="A460">
            <v>2319</v>
          </cell>
          <cell r="BB460">
            <v>8</v>
          </cell>
        </row>
        <row r="461">
          <cell r="A461">
            <v>2320</v>
          </cell>
          <cell r="BB461">
            <v>8</v>
          </cell>
        </row>
        <row r="462">
          <cell r="A462">
            <v>2321</v>
          </cell>
          <cell r="BB462">
            <v>8</v>
          </cell>
        </row>
        <row r="463">
          <cell r="A463">
            <v>2322</v>
          </cell>
          <cell r="BB463">
            <v>8</v>
          </cell>
        </row>
        <row r="464">
          <cell r="A464">
            <v>2323</v>
          </cell>
          <cell r="BB464">
            <v>8</v>
          </cell>
        </row>
        <row r="465">
          <cell r="A465">
            <v>2324</v>
          </cell>
          <cell r="BB465">
            <v>8</v>
          </cell>
        </row>
        <row r="466">
          <cell r="A466">
            <v>2325</v>
          </cell>
          <cell r="BB466">
            <v>8</v>
          </cell>
        </row>
        <row r="467">
          <cell r="A467">
            <v>2326</v>
          </cell>
          <cell r="BB467">
            <v>8</v>
          </cell>
        </row>
        <row r="468">
          <cell r="A468">
            <v>2327</v>
          </cell>
          <cell r="BB468">
            <v>8</v>
          </cell>
        </row>
        <row r="469">
          <cell r="A469">
            <v>2328</v>
          </cell>
          <cell r="BB469">
            <v>8</v>
          </cell>
        </row>
        <row r="470">
          <cell r="A470">
            <v>2329</v>
          </cell>
          <cell r="BB470">
            <v>8</v>
          </cell>
        </row>
        <row r="471">
          <cell r="A471">
            <v>2330</v>
          </cell>
          <cell r="BB471">
            <v>8</v>
          </cell>
        </row>
        <row r="472">
          <cell r="A472">
            <v>2331</v>
          </cell>
          <cell r="BB472">
            <v>8</v>
          </cell>
        </row>
        <row r="473">
          <cell r="A473">
            <v>2332</v>
          </cell>
          <cell r="BB473">
            <v>8</v>
          </cell>
        </row>
        <row r="474">
          <cell r="A474">
            <v>2333</v>
          </cell>
          <cell r="BB474">
            <v>8</v>
          </cell>
        </row>
        <row r="475">
          <cell r="A475">
            <v>2334</v>
          </cell>
          <cell r="BB475">
            <v>8</v>
          </cell>
        </row>
        <row r="476">
          <cell r="A476">
            <v>5001</v>
          </cell>
        </row>
        <row r="477">
          <cell r="A477">
            <v>5002</v>
          </cell>
        </row>
        <row r="478">
          <cell r="A478">
            <v>5003</v>
          </cell>
        </row>
        <row r="479">
          <cell r="A479">
            <v>5004</v>
          </cell>
        </row>
        <row r="480">
          <cell r="A480">
            <v>5009</v>
          </cell>
        </row>
        <row r="481">
          <cell r="A481">
            <v>5010</v>
          </cell>
        </row>
        <row r="482">
          <cell r="A482">
            <v>5012</v>
          </cell>
        </row>
        <row r="483">
          <cell r="A483">
            <v>5013</v>
          </cell>
        </row>
        <row r="484">
          <cell r="A484">
            <v>5015</v>
          </cell>
        </row>
        <row r="485">
          <cell r="A485">
            <v>5016</v>
          </cell>
        </row>
        <row r="486">
          <cell r="A486">
            <v>5017</v>
          </cell>
        </row>
        <row r="487">
          <cell r="A487">
            <v>5140</v>
          </cell>
        </row>
        <row r="488">
          <cell r="A488">
            <v>5902</v>
          </cell>
        </row>
        <row r="489">
          <cell r="A489">
            <v>5903</v>
          </cell>
        </row>
        <row r="490">
          <cell r="A490">
            <v>5904</v>
          </cell>
        </row>
        <row r="491">
          <cell r="A491">
            <v>5905</v>
          </cell>
        </row>
        <row r="492">
          <cell r="A492">
            <v>5906</v>
          </cell>
        </row>
        <row r="493">
          <cell r="A493">
            <v>5907</v>
          </cell>
        </row>
        <row r="494">
          <cell r="A494">
            <v>5908</v>
          </cell>
        </row>
        <row r="495">
          <cell r="A495">
            <v>5909</v>
          </cell>
        </row>
        <row r="496">
          <cell r="A496">
            <v>5910</v>
          </cell>
        </row>
        <row r="497">
          <cell r="A497">
            <v>5911</v>
          </cell>
        </row>
        <row r="498">
          <cell r="A498">
            <v>5912</v>
          </cell>
        </row>
        <row r="499">
          <cell r="A499">
            <v>5916</v>
          </cell>
        </row>
        <row r="500">
          <cell r="A500">
            <v>5938</v>
          </cell>
        </row>
        <row r="501">
          <cell r="A501">
            <v>8001</v>
          </cell>
        </row>
        <row r="502">
          <cell r="A502">
            <v>8002</v>
          </cell>
        </row>
        <row r="503">
          <cell r="A503">
            <v>9001</v>
          </cell>
        </row>
        <row r="504">
          <cell r="A504">
            <v>9002</v>
          </cell>
        </row>
        <row r="505">
          <cell r="A505">
            <v>9003</v>
          </cell>
        </row>
        <row r="506">
          <cell r="A506">
            <v>9004</v>
          </cell>
        </row>
        <row r="507">
          <cell r="A507">
            <v>9005</v>
          </cell>
        </row>
        <row r="508">
          <cell r="A508">
            <v>9006</v>
          </cell>
        </row>
        <row r="509">
          <cell r="A509">
            <v>9007</v>
          </cell>
        </row>
        <row r="510">
          <cell r="A510">
            <v>9008</v>
          </cell>
        </row>
        <row r="511">
          <cell r="A511">
            <v>9009</v>
          </cell>
        </row>
        <row r="512">
          <cell r="A512">
            <v>9010</v>
          </cell>
        </row>
        <row r="513">
          <cell r="A513">
            <v>9011</v>
          </cell>
        </row>
        <row r="514">
          <cell r="A514">
            <v>9012</v>
          </cell>
        </row>
        <row r="515">
          <cell r="A515">
            <v>9013</v>
          </cell>
        </row>
        <row r="516">
          <cell r="A516">
            <v>9014</v>
          </cell>
        </row>
        <row r="517">
          <cell r="A517">
            <v>9015</v>
          </cell>
        </row>
        <row r="518">
          <cell r="A518">
            <v>9016</v>
          </cell>
        </row>
        <row r="519">
          <cell r="A519">
            <v>9017</v>
          </cell>
        </row>
        <row r="520">
          <cell r="A520">
            <v>9018</v>
          </cell>
        </row>
        <row r="521">
          <cell r="A521">
            <v>9019</v>
          </cell>
        </row>
        <row r="522">
          <cell r="A522">
            <v>9020</v>
          </cell>
        </row>
        <row r="523">
          <cell r="A523">
            <v>9021</v>
          </cell>
        </row>
        <row r="524">
          <cell r="A524">
            <v>9022</v>
          </cell>
        </row>
        <row r="525">
          <cell r="A525">
            <v>9023</v>
          </cell>
        </row>
        <row r="526">
          <cell r="A526">
            <v>9024</v>
          </cell>
        </row>
        <row r="527">
          <cell r="A527">
            <v>9025</v>
          </cell>
        </row>
        <row r="528">
          <cell r="A528">
            <v>9026</v>
          </cell>
        </row>
        <row r="529">
          <cell r="A529">
            <v>9027</v>
          </cell>
        </row>
        <row r="530">
          <cell r="A530">
            <v>9028</v>
          </cell>
        </row>
        <row r="531">
          <cell r="A531">
            <v>9029</v>
          </cell>
        </row>
        <row r="532">
          <cell r="A532">
            <v>9030</v>
          </cell>
        </row>
        <row r="533">
          <cell r="A533">
            <v>9031</v>
          </cell>
        </row>
        <row r="534">
          <cell r="A534">
            <v>9032</v>
          </cell>
        </row>
        <row r="535">
          <cell r="A535">
            <v>9033</v>
          </cell>
        </row>
        <row r="536">
          <cell r="A536">
            <v>10001</v>
          </cell>
        </row>
        <row r="537">
          <cell r="A537">
            <v>10002</v>
          </cell>
        </row>
        <row r="538">
          <cell r="A538">
            <v>10003</v>
          </cell>
        </row>
        <row r="539">
          <cell r="A539">
            <v>10004</v>
          </cell>
        </row>
        <row r="540">
          <cell r="A540">
            <v>10005</v>
          </cell>
        </row>
        <row r="541">
          <cell r="A541">
            <v>10006</v>
          </cell>
        </row>
        <row r="542">
          <cell r="A542">
            <v>10007</v>
          </cell>
        </row>
        <row r="543">
          <cell r="A543">
            <v>10008</v>
          </cell>
        </row>
        <row r="544">
          <cell r="A544">
            <v>20001</v>
          </cell>
        </row>
        <row r="545">
          <cell r="A545">
            <v>20002</v>
          </cell>
        </row>
        <row r="546">
          <cell r="A546">
            <v>20003</v>
          </cell>
        </row>
        <row r="547">
          <cell r="A547">
            <v>20004</v>
          </cell>
        </row>
        <row r="548">
          <cell r="A548">
            <v>20005</v>
          </cell>
        </row>
        <row r="549">
          <cell r="A549">
            <v>20006</v>
          </cell>
        </row>
        <row r="550">
          <cell r="A550">
            <v>20007</v>
          </cell>
        </row>
        <row r="551">
          <cell r="A551">
            <v>20008</v>
          </cell>
        </row>
        <row r="552">
          <cell r="A552">
            <v>20009</v>
          </cell>
        </row>
        <row r="553">
          <cell r="A553">
            <v>20010</v>
          </cell>
        </row>
        <row r="554">
          <cell r="A554">
            <v>20011</v>
          </cell>
        </row>
        <row r="555">
          <cell r="A555">
            <v>20012</v>
          </cell>
        </row>
        <row r="556">
          <cell r="A556">
            <v>20013</v>
          </cell>
        </row>
        <row r="557">
          <cell r="A557">
            <v>20014</v>
          </cell>
        </row>
        <row r="558">
          <cell r="A558">
            <v>20015</v>
          </cell>
        </row>
        <row r="559">
          <cell r="A559">
            <v>20016</v>
          </cell>
        </row>
        <row r="560">
          <cell r="A560">
            <v>20017</v>
          </cell>
        </row>
        <row r="561">
          <cell r="A561">
            <v>20018</v>
          </cell>
        </row>
        <row r="562">
          <cell r="A562">
            <v>20019</v>
          </cell>
        </row>
        <row r="563">
          <cell r="A563">
            <v>20020</v>
          </cell>
        </row>
        <row r="564">
          <cell r="A564">
            <v>21001</v>
          </cell>
        </row>
        <row r="565">
          <cell r="A565">
            <v>21002</v>
          </cell>
        </row>
        <row r="566">
          <cell r="A566">
            <v>21003</v>
          </cell>
        </row>
        <row r="567">
          <cell r="A567">
            <v>21004</v>
          </cell>
        </row>
        <row r="568">
          <cell r="A568">
            <v>21005</v>
          </cell>
        </row>
        <row r="569">
          <cell r="A569">
            <v>21006</v>
          </cell>
        </row>
        <row r="570">
          <cell r="A570">
            <v>21007</v>
          </cell>
        </row>
        <row r="571">
          <cell r="A571">
            <v>21008</v>
          </cell>
        </row>
        <row r="572">
          <cell r="A572">
            <v>21009</v>
          </cell>
        </row>
        <row r="573">
          <cell r="A573">
            <v>21010</v>
          </cell>
        </row>
        <row r="574">
          <cell r="A574">
            <v>30001</v>
          </cell>
        </row>
        <row r="575">
          <cell r="A575">
            <v>30006</v>
          </cell>
        </row>
        <row r="576">
          <cell r="A576">
            <v>30011</v>
          </cell>
        </row>
        <row r="577">
          <cell r="A577">
            <v>30016</v>
          </cell>
        </row>
        <row r="578">
          <cell r="A578">
            <v>30021</v>
          </cell>
        </row>
        <row r="579">
          <cell r="A579">
            <v>30026</v>
          </cell>
        </row>
        <row r="580">
          <cell r="A580">
            <v>30027</v>
          </cell>
        </row>
        <row r="581">
          <cell r="A581">
            <v>30028</v>
          </cell>
        </row>
        <row r="582">
          <cell r="A582">
            <v>40001</v>
          </cell>
        </row>
        <row r="583">
          <cell r="A583">
            <v>40002</v>
          </cell>
        </row>
        <row r="584">
          <cell r="A584">
            <v>40003</v>
          </cell>
        </row>
        <row r="585">
          <cell r="A585">
            <v>40004</v>
          </cell>
        </row>
        <row r="586">
          <cell r="A586">
            <v>40005</v>
          </cell>
        </row>
        <row r="587">
          <cell r="A587">
            <v>40006</v>
          </cell>
        </row>
        <row r="588">
          <cell r="A588">
            <v>40007</v>
          </cell>
        </row>
        <row r="589">
          <cell r="A589">
            <v>40008</v>
          </cell>
        </row>
        <row r="590">
          <cell r="A590">
            <v>40009</v>
          </cell>
        </row>
        <row r="591">
          <cell r="A591">
            <v>40010</v>
          </cell>
        </row>
        <row r="592">
          <cell r="A592">
            <v>40011</v>
          </cell>
        </row>
        <row r="593">
          <cell r="A593">
            <v>40012</v>
          </cell>
        </row>
        <row r="594">
          <cell r="A594">
            <v>40013</v>
          </cell>
        </row>
        <row r="595">
          <cell r="A595">
            <v>40014</v>
          </cell>
        </row>
        <row r="596">
          <cell r="A596">
            <v>40015</v>
          </cell>
        </row>
        <row r="597">
          <cell r="A597">
            <v>40016</v>
          </cell>
        </row>
        <row r="598">
          <cell r="A598">
            <v>40017</v>
          </cell>
        </row>
        <row r="599">
          <cell r="A599">
            <v>40018</v>
          </cell>
        </row>
        <row r="600">
          <cell r="A600">
            <v>40019</v>
          </cell>
        </row>
        <row r="601">
          <cell r="A601">
            <v>40020</v>
          </cell>
        </row>
        <row r="602">
          <cell r="A602">
            <v>40021</v>
          </cell>
        </row>
        <row r="603">
          <cell r="A603">
            <v>40022</v>
          </cell>
        </row>
        <row r="604">
          <cell r="A604">
            <v>40023</v>
          </cell>
        </row>
        <row r="605">
          <cell r="A605">
            <v>40024</v>
          </cell>
        </row>
        <row r="606">
          <cell r="A606">
            <v>40025</v>
          </cell>
        </row>
        <row r="607">
          <cell r="A607">
            <v>40026</v>
          </cell>
        </row>
        <row r="608">
          <cell r="A608">
            <v>40027</v>
          </cell>
        </row>
        <row r="609">
          <cell r="A609">
            <v>40028</v>
          </cell>
        </row>
        <row r="610">
          <cell r="A610">
            <v>40029</v>
          </cell>
        </row>
        <row r="611">
          <cell r="A611">
            <v>40030</v>
          </cell>
        </row>
        <row r="612">
          <cell r="A612">
            <v>60002</v>
          </cell>
        </row>
        <row r="613">
          <cell r="A613">
            <v>60003</v>
          </cell>
        </row>
        <row r="614">
          <cell r="A614">
            <v>60004</v>
          </cell>
        </row>
        <row r="615">
          <cell r="A615">
            <v>60005</v>
          </cell>
        </row>
        <row r="616">
          <cell r="A616">
            <v>60006</v>
          </cell>
        </row>
        <row r="617">
          <cell r="A617">
            <v>60009</v>
          </cell>
        </row>
        <row r="618">
          <cell r="A618">
            <v>60010</v>
          </cell>
        </row>
        <row r="619">
          <cell r="A619">
            <v>60011</v>
          </cell>
        </row>
        <row r="620">
          <cell r="A620">
            <v>60012</v>
          </cell>
        </row>
        <row r="621">
          <cell r="A621">
            <v>60013</v>
          </cell>
        </row>
        <row r="622">
          <cell r="A622">
            <v>60014</v>
          </cell>
        </row>
        <row r="623">
          <cell r="A623">
            <v>60016</v>
          </cell>
        </row>
        <row r="624">
          <cell r="A624">
            <v>60017</v>
          </cell>
        </row>
        <row r="625">
          <cell r="A625">
            <v>60018</v>
          </cell>
        </row>
        <row r="626">
          <cell r="A626">
            <v>60019</v>
          </cell>
        </row>
        <row r="627">
          <cell r="A627">
            <v>60020</v>
          </cell>
        </row>
        <row r="628">
          <cell r="A628">
            <v>60021</v>
          </cell>
        </row>
        <row r="629">
          <cell r="A629">
            <v>60022</v>
          </cell>
        </row>
        <row r="630">
          <cell r="A630">
            <v>60023</v>
          </cell>
        </row>
        <row r="631">
          <cell r="A631">
            <v>60024</v>
          </cell>
        </row>
        <row r="632">
          <cell r="A632">
            <v>60025</v>
          </cell>
        </row>
        <row r="633">
          <cell r="A633">
            <v>60026</v>
          </cell>
        </row>
        <row r="634">
          <cell r="A634">
            <v>60027</v>
          </cell>
        </row>
        <row r="635">
          <cell r="A635">
            <v>60028</v>
          </cell>
        </row>
        <row r="636">
          <cell r="A636">
            <v>60029</v>
          </cell>
        </row>
        <row r="637">
          <cell r="A637">
            <v>60030</v>
          </cell>
        </row>
        <row r="638">
          <cell r="A638">
            <v>60031</v>
          </cell>
        </row>
        <row r="639">
          <cell r="A639">
            <v>60032</v>
          </cell>
        </row>
        <row r="640">
          <cell r="A640">
            <v>60033</v>
          </cell>
        </row>
        <row r="641">
          <cell r="A641">
            <v>60034</v>
          </cell>
        </row>
        <row r="642">
          <cell r="A642" t="str">
            <v>60035</v>
          </cell>
        </row>
        <row r="643">
          <cell r="A643">
            <v>60036</v>
          </cell>
        </row>
        <row r="644">
          <cell r="A644">
            <v>61001</v>
          </cell>
        </row>
        <row r="645">
          <cell r="A645">
            <v>70001</v>
          </cell>
        </row>
        <row r="646">
          <cell r="A646">
            <v>70002</v>
          </cell>
        </row>
        <row r="647">
          <cell r="A647">
            <v>70003</v>
          </cell>
        </row>
        <row r="648">
          <cell r="A648">
            <v>70004</v>
          </cell>
        </row>
        <row r="649">
          <cell r="A649">
            <v>70005</v>
          </cell>
        </row>
        <row r="650">
          <cell r="A650">
            <v>70006</v>
          </cell>
        </row>
        <row r="651">
          <cell r="A651">
            <v>71001</v>
          </cell>
        </row>
        <row r="652">
          <cell r="A652">
            <v>71002</v>
          </cell>
        </row>
        <row r="653">
          <cell r="A653">
            <v>71003</v>
          </cell>
        </row>
        <row r="654">
          <cell r="A654">
            <v>71004</v>
          </cell>
        </row>
        <row r="655">
          <cell r="A655">
            <v>71005</v>
          </cell>
        </row>
        <row r="656">
          <cell r="A656">
            <v>71006</v>
          </cell>
        </row>
        <row r="657">
          <cell r="A657">
            <v>71007</v>
          </cell>
        </row>
        <row r="658">
          <cell r="A658">
            <v>71008</v>
          </cell>
        </row>
        <row r="659">
          <cell r="A659">
            <v>71009</v>
          </cell>
        </row>
        <row r="660">
          <cell r="A660">
            <v>71010</v>
          </cell>
        </row>
        <row r="661">
          <cell r="A661">
            <v>71011</v>
          </cell>
        </row>
        <row r="662">
          <cell r="A662">
            <v>71012</v>
          </cell>
        </row>
        <row r="663">
          <cell r="A663">
            <v>71013</v>
          </cell>
        </row>
        <row r="664">
          <cell r="A664">
            <v>71014</v>
          </cell>
        </row>
        <row r="665">
          <cell r="A665">
            <v>71015</v>
          </cell>
        </row>
        <row r="666">
          <cell r="A666">
            <v>71016</v>
          </cell>
        </row>
        <row r="667">
          <cell r="A667">
            <v>71017</v>
          </cell>
        </row>
        <row r="668">
          <cell r="A668">
            <v>71018</v>
          </cell>
        </row>
        <row r="669">
          <cell r="A669">
            <v>71019</v>
          </cell>
        </row>
        <row r="670">
          <cell r="A670">
            <v>71020</v>
          </cell>
        </row>
        <row r="671">
          <cell r="A671">
            <v>71021</v>
          </cell>
        </row>
        <row r="672">
          <cell r="A672">
            <v>71022</v>
          </cell>
        </row>
        <row r="673">
          <cell r="A673">
            <v>71023</v>
          </cell>
        </row>
        <row r="674">
          <cell r="A674">
            <v>71024</v>
          </cell>
        </row>
        <row r="675">
          <cell r="A675">
            <v>71025</v>
          </cell>
        </row>
        <row r="676">
          <cell r="A676">
            <v>71026</v>
          </cell>
        </row>
        <row r="677">
          <cell r="A677">
            <v>71027</v>
          </cell>
        </row>
        <row r="678">
          <cell r="A678">
            <v>71028</v>
          </cell>
        </row>
        <row r="679">
          <cell r="A679">
            <v>71101</v>
          </cell>
        </row>
        <row r="680">
          <cell r="A680">
            <v>71102</v>
          </cell>
        </row>
        <row r="681">
          <cell r="A681">
            <v>71103</v>
          </cell>
        </row>
        <row r="682">
          <cell r="A682">
            <v>71104</v>
          </cell>
        </row>
        <row r="683">
          <cell r="A683">
            <v>71105</v>
          </cell>
        </row>
        <row r="684">
          <cell r="A684">
            <v>71106</v>
          </cell>
        </row>
        <row r="685">
          <cell r="A685" t="str">
            <v>71107</v>
          </cell>
        </row>
        <row r="686">
          <cell r="A686">
            <v>71111</v>
          </cell>
        </row>
        <row r="687">
          <cell r="A687">
            <v>71112</v>
          </cell>
        </row>
        <row r="688">
          <cell r="A688">
            <v>71113</v>
          </cell>
        </row>
        <row r="689">
          <cell r="A689">
            <v>71114</v>
          </cell>
        </row>
        <row r="690">
          <cell r="A690">
            <v>71115</v>
          </cell>
        </row>
        <row r="691">
          <cell r="A691" t="str">
            <v>71116</v>
          </cell>
        </row>
        <row r="692">
          <cell r="A692" t="str">
            <v>71117</v>
          </cell>
        </row>
        <row r="693">
          <cell r="A693">
            <v>71121</v>
          </cell>
        </row>
        <row r="694">
          <cell r="A694">
            <v>71122</v>
          </cell>
        </row>
        <row r="695">
          <cell r="A695">
            <v>71123</v>
          </cell>
        </row>
        <row r="696">
          <cell r="A696">
            <v>71124</v>
          </cell>
        </row>
        <row r="697">
          <cell r="A697" t="str">
            <v>71125</v>
          </cell>
        </row>
        <row r="698">
          <cell r="A698">
            <v>71126</v>
          </cell>
        </row>
        <row r="699">
          <cell r="A699">
            <v>71127</v>
          </cell>
        </row>
        <row r="700">
          <cell r="A700">
            <v>79000</v>
          </cell>
          <cell r="BB700" t="str">
            <v>c_s_001a</v>
          </cell>
        </row>
        <row r="701">
          <cell r="A701">
            <v>79001</v>
          </cell>
        </row>
        <row r="702">
          <cell r="A702">
            <v>79002</v>
          </cell>
          <cell r="BB702" t="str">
            <v>c_s_001b</v>
          </cell>
        </row>
        <row r="703">
          <cell r="A703">
            <v>79003</v>
          </cell>
        </row>
        <row r="704">
          <cell r="A704">
            <v>79004</v>
          </cell>
        </row>
        <row r="705">
          <cell r="A705">
            <v>79005</v>
          </cell>
          <cell r="BB705" t="str">
            <v>c_s_003a</v>
          </cell>
        </row>
        <row r="706">
          <cell r="A706">
            <v>79006</v>
          </cell>
        </row>
        <row r="707">
          <cell r="A707">
            <v>79007</v>
          </cell>
          <cell r="BB707" t="str">
            <v>c_s_003a</v>
          </cell>
        </row>
        <row r="708">
          <cell r="A708">
            <v>79008</v>
          </cell>
        </row>
        <row r="709">
          <cell r="A709">
            <v>79009</v>
          </cell>
        </row>
        <row r="710">
          <cell r="A710">
            <v>79010</v>
          </cell>
          <cell r="BB710" t="str">
            <v>c_s_002a</v>
          </cell>
        </row>
        <row r="711">
          <cell r="A711">
            <v>79011</v>
          </cell>
        </row>
        <row r="712">
          <cell r="A712">
            <v>79012</v>
          </cell>
          <cell r="BB712" t="str">
            <v>c_s_002a</v>
          </cell>
        </row>
        <row r="713">
          <cell r="A713">
            <v>79013</v>
          </cell>
        </row>
        <row r="714">
          <cell r="A714">
            <v>79014</v>
          </cell>
        </row>
        <row r="715">
          <cell r="A715">
            <v>79015</v>
          </cell>
          <cell r="BB715" t="str">
            <v>c_s_004a</v>
          </cell>
        </row>
        <row r="716">
          <cell r="A716">
            <v>79016</v>
          </cell>
        </row>
        <row r="717">
          <cell r="A717">
            <v>79017</v>
          </cell>
          <cell r="BB717" t="str">
            <v>c_s_004a</v>
          </cell>
        </row>
        <row r="718">
          <cell r="A718">
            <v>79018</v>
          </cell>
        </row>
        <row r="719">
          <cell r="A719">
            <v>79019</v>
          </cell>
        </row>
        <row r="720">
          <cell r="A720">
            <v>79020</v>
          </cell>
          <cell r="BB720" t="str">
            <v>c_s_005a</v>
          </cell>
        </row>
        <row r="721">
          <cell r="A721">
            <v>79021</v>
          </cell>
        </row>
        <row r="722">
          <cell r="A722">
            <v>79022</v>
          </cell>
          <cell r="BB722" t="str">
            <v>c_s_005a</v>
          </cell>
        </row>
        <row r="723">
          <cell r="A723">
            <v>79023</v>
          </cell>
        </row>
        <row r="724">
          <cell r="A724">
            <v>79024</v>
          </cell>
        </row>
        <row r="725">
          <cell r="A725">
            <v>79025</v>
          </cell>
          <cell r="BB725" t="str">
            <v>c_s_006a</v>
          </cell>
        </row>
        <row r="726">
          <cell r="A726">
            <v>79026</v>
          </cell>
        </row>
        <row r="727">
          <cell r="A727">
            <v>79027</v>
          </cell>
          <cell r="BB727" t="str">
            <v>c_s_006a</v>
          </cell>
        </row>
        <row r="728">
          <cell r="A728">
            <v>79028</v>
          </cell>
        </row>
        <row r="729">
          <cell r="A729">
            <v>79029</v>
          </cell>
        </row>
        <row r="730">
          <cell r="A730">
            <v>79030</v>
          </cell>
          <cell r="BB730" t="str">
            <v>c_s_007a</v>
          </cell>
        </row>
        <row r="731">
          <cell r="A731">
            <v>79031</v>
          </cell>
        </row>
        <row r="732">
          <cell r="A732">
            <v>79032</v>
          </cell>
          <cell r="BB732" t="str">
            <v>c_s_007a</v>
          </cell>
        </row>
        <row r="733">
          <cell r="A733">
            <v>79033</v>
          </cell>
        </row>
        <row r="734">
          <cell r="A734">
            <v>79034</v>
          </cell>
        </row>
        <row r="735">
          <cell r="A735">
            <v>79035</v>
          </cell>
          <cell r="BB735" t="str">
            <v>c_s_009a</v>
          </cell>
        </row>
        <row r="736">
          <cell r="A736">
            <v>79036</v>
          </cell>
        </row>
        <row r="737">
          <cell r="A737">
            <v>79037</v>
          </cell>
          <cell r="BB737" t="str">
            <v>c_s_009a</v>
          </cell>
        </row>
        <row r="738">
          <cell r="A738">
            <v>79038</v>
          </cell>
        </row>
        <row r="739">
          <cell r="A739">
            <v>79039</v>
          </cell>
        </row>
        <row r="740">
          <cell r="A740">
            <v>79040</v>
          </cell>
          <cell r="BB740" t="str">
            <v>c_s_008a</v>
          </cell>
        </row>
        <row r="741">
          <cell r="A741">
            <v>79041</v>
          </cell>
        </row>
        <row r="742">
          <cell r="A742">
            <v>79042</v>
          </cell>
          <cell r="BB742" t="str">
            <v>c_s_008a</v>
          </cell>
        </row>
        <row r="743">
          <cell r="A743">
            <v>79043</v>
          </cell>
        </row>
        <row r="744">
          <cell r="A744">
            <v>79044</v>
          </cell>
        </row>
        <row r="745">
          <cell r="A745">
            <v>79045</v>
          </cell>
          <cell r="BB745" t="str">
            <v>c_s_001a</v>
          </cell>
        </row>
        <row r="746">
          <cell r="A746">
            <v>79046</v>
          </cell>
        </row>
        <row r="747">
          <cell r="A747">
            <v>79047</v>
          </cell>
          <cell r="BB747" t="str">
            <v>c_s_001b</v>
          </cell>
        </row>
        <row r="748">
          <cell r="A748">
            <v>79048</v>
          </cell>
        </row>
        <row r="749">
          <cell r="A749">
            <v>79049</v>
          </cell>
        </row>
        <row r="750">
          <cell r="A750">
            <v>79050</v>
          </cell>
          <cell r="BB750" t="str">
            <v>c_s_003a</v>
          </cell>
        </row>
        <row r="751">
          <cell r="A751">
            <v>79051</v>
          </cell>
        </row>
        <row r="752">
          <cell r="A752">
            <v>79052</v>
          </cell>
          <cell r="BB752" t="str">
            <v>c_s_003a</v>
          </cell>
        </row>
        <row r="753">
          <cell r="A753">
            <v>79053</v>
          </cell>
        </row>
        <row r="754">
          <cell r="A754">
            <v>79054</v>
          </cell>
        </row>
        <row r="755">
          <cell r="A755">
            <v>79055</v>
          </cell>
          <cell r="BB755" t="str">
            <v>c_s_002a</v>
          </cell>
        </row>
        <row r="756">
          <cell r="A756">
            <v>79056</v>
          </cell>
        </row>
        <row r="757">
          <cell r="A757">
            <v>79057</v>
          </cell>
          <cell r="BB757" t="str">
            <v>c_s_002a</v>
          </cell>
        </row>
        <row r="758">
          <cell r="A758">
            <v>79058</v>
          </cell>
        </row>
        <row r="759">
          <cell r="A759">
            <v>79059</v>
          </cell>
        </row>
        <row r="760">
          <cell r="A760">
            <v>79060</v>
          </cell>
          <cell r="BB760" t="str">
            <v>c_s_004a</v>
          </cell>
        </row>
        <row r="761">
          <cell r="A761">
            <v>79061</v>
          </cell>
        </row>
        <row r="762">
          <cell r="A762">
            <v>79062</v>
          </cell>
          <cell r="BB762" t="str">
            <v>c_s_004a</v>
          </cell>
        </row>
        <row r="763">
          <cell r="A763">
            <v>79063</v>
          </cell>
        </row>
        <row r="764">
          <cell r="A764">
            <v>79064</v>
          </cell>
        </row>
        <row r="765">
          <cell r="A765">
            <v>79065</v>
          </cell>
          <cell r="BB765" t="str">
            <v>c_s_005a</v>
          </cell>
        </row>
        <row r="766">
          <cell r="A766">
            <v>79066</v>
          </cell>
        </row>
        <row r="767">
          <cell r="A767">
            <v>79067</v>
          </cell>
          <cell r="BB767" t="str">
            <v>c_s_005a</v>
          </cell>
        </row>
        <row r="768">
          <cell r="A768">
            <v>79068</v>
          </cell>
        </row>
        <row r="769">
          <cell r="A769">
            <v>79069</v>
          </cell>
        </row>
        <row r="770">
          <cell r="A770">
            <v>79070</v>
          </cell>
          <cell r="BB770" t="str">
            <v>c_s_006a</v>
          </cell>
        </row>
        <row r="771">
          <cell r="A771">
            <v>79071</v>
          </cell>
        </row>
        <row r="772">
          <cell r="A772">
            <v>79072</v>
          </cell>
          <cell r="BB772" t="str">
            <v>c_s_006a</v>
          </cell>
        </row>
        <row r="773">
          <cell r="A773">
            <v>79073</v>
          </cell>
        </row>
        <row r="774">
          <cell r="A774">
            <v>79074</v>
          </cell>
        </row>
        <row r="775">
          <cell r="A775">
            <v>79075</v>
          </cell>
          <cell r="BB775" t="str">
            <v>c_s_007a</v>
          </cell>
        </row>
        <row r="776">
          <cell r="A776">
            <v>79076</v>
          </cell>
        </row>
        <row r="777">
          <cell r="A777">
            <v>79077</v>
          </cell>
          <cell r="BB777" t="str">
            <v>c_s_007a</v>
          </cell>
        </row>
        <row r="778">
          <cell r="A778">
            <v>79078</v>
          </cell>
        </row>
        <row r="779">
          <cell r="A779">
            <v>79079</v>
          </cell>
        </row>
        <row r="780">
          <cell r="A780">
            <v>79080</v>
          </cell>
          <cell r="BB780" t="str">
            <v>c_s_009a</v>
          </cell>
        </row>
        <row r="781">
          <cell r="A781">
            <v>79081</v>
          </cell>
        </row>
        <row r="782">
          <cell r="A782">
            <v>79082</v>
          </cell>
          <cell r="BB782" t="str">
            <v>c_s_009a</v>
          </cell>
        </row>
        <row r="783">
          <cell r="A783">
            <v>79083</v>
          </cell>
        </row>
        <row r="784">
          <cell r="A784">
            <v>79084</v>
          </cell>
        </row>
        <row r="785">
          <cell r="A785">
            <v>79085</v>
          </cell>
          <cell r="BB785" t="str">
            <v>c_s_008a</v>
          </cell>
        </row>
        <row r="786">
          <cell r="A786">
            <v>79086</v>
          </cell>
        </row>
        <row r="787">
          <cell r="A787">
            <v>79087</v>
          </cell>
          <cell r="BB787" t="str">
            <v>c_s_008a</v>
          </cell>
        </row>
        <row r="788">
          <cell r="A788">
            <v>79088</v>
          </cell>
        </row>
        <row r="789">
          <cell r="A789">
            <v>79089</v>
          </cell>
        </row>
        <row r="790">
          <cell r="A790">
            <v>79090</v>
          </cell>
          <cell r="BB790" t="str">
            <v>c_s_003a</v>
          </cell>
        </row>
        <row r="791">
          <cell r="A791">
            <v>79091</v>
          </cell>
          <cell r="BB791" t="str">
            <v>c_s_003a</v>
          </cell>
        </row>
        <row r="792">
          <cell r="A792">
            <v>79092</v>
          </cell>
          <cell r="BB792" t="str">
            <v>c_s_002a</v>
          </cell>
        </row>
        <row r="793">
          <cell r="A793">
            <v>79093</v>
          </cell>
          <cell r="BB793" t="str">
            <v>c_s_002a</v>
          </cell>
        </row>
        <row r="794">
          <cell r="A794">
            <v>79094</v>
          </cell>
          <cell r="BB794" t="str">
            <v>c_s_004a</v>
          </cell>
        </row>
        <row r="795">
          <cell r="A795">
            <v>79095</v>
          </cell>
          <cell r="BB795" t="str">
            <v>c_s_004a</v>
          </cell>
        </row>
        <row r="796">
          <cell r="A796">
            <v>130001</v>
          </cell>
          <cell r="BB796">
            <v>1</v>
          </cell>
        </row>
        <row r="797">
          <cell r="A797">
            <v>130002</v>
          </cell>
          <cell r="BB797">
            <v>1</v>
          </cell>
        </row>
        <row r="798">
          <cell r="A798">
            <v>130003</v>
          </cell>
          <cell r="BB798">
            <v>1</v>
          </cell>
        </row>
        <row r="799">
          <cell r="A799">
            <v>130004</v>
          </cell>
          <cell r="BB799">
            <v>1</v>
          </cell>
        </row>
        <row r="800">
          <cell r="A800">
            <v>130005</v>
          </cell>
          <cell r="BB800">
            <v>1</v>
          </cell>
        </row>
        <row r="801">
          <cell r="A801">
            <v>130006</v>
          </cell>
          <cell r="BB801">
            <v>1</v>
          </cell>
        </row>
        <row r="802">
          <cell r="A802">
            <v>130007</v>
          </cell>
          <cell r="BB802">
            <v>1</v>
          </cell>
        </row>
        <row r="803">
          <cell r="A803">
            <v>130008</v>
          </cell>
          <cell r="BB803">
            <v>1</v>
          </cell>
        </row>
        <row r="804">
          <cell r="A804">
            <v>130009</v>
          </cell>
          <cell r="BB804">
            <v>1</v>
          </cell>
        </row>
        <row r="805">
          <cell r="A805">
            <v>130010</v>
          </cell>
          <cell r="BB805">
            <v>1</v>
          </cell>
        </row>
        <row r="806">
          <cell r="A806">
            <v>130011</v>
          </cell>
          <cell r="BB806">
            <v>2</v>
          </cell>
        </row>
        <row r="807">
          <cell r="A807">
            <v>130012</v>
          </cell>
          <cell r="BB807">
            <v>2</v>
          </cell>
        </row>
        <row r="808">
          <cell r="A808">
            <v>130013</v>
          </cell>
          <cell r="BB808">
            <v>2</v>
          </cell>
        </row>
        <row r="809">
          <cell r="A809">
            <v>130014</v>
          </cell>
          <cell r="BB809">
            <v>2</v>
          </cell>
        </row>
        <row r="810">
          <cell r="A810">
            <v>130015</v>
          </cell>
          <cell r="BB810">
            <v>2</v>
          </cell>
        </row>
        <row r="811">
          <cell r="A811">
            <v>130016</v>
          </cell>
          <cell r="BB811">
            <v>2</v>
          </cell>
        </row>
        <row r="812">
          <cell r="A812">
            <v>130017</v>
          </cell>
          <cell r="BB812">
            <v>2</v>
          </cell>
        </row>
        <row r="813">
          <cell r="A813">
            <v>130018</v>
          </cell>
          <cell r="BB813">
            <v>2</v>
          </cell>
        </row>
        <row r="814">
          <cell r="A814">
            <v>130019</v>
          </cell>
          <cell r="BB814">
            <v>2</v>
          </cell>
        </row>
        <row r="815">
          <cell r="A815">
            <v>130020</v>
          </cell>
          <cell r="BB815">
            <v>2</v>
          </cell>
        </row>
        <row r="816">
          <cell r="A816">
            <v>130021</v>
          </cell>
          <cell r="BB816">
            <v>3</v>
          </cell>
        </row>
        <row r="817">
          <cell r="A817">
            <v>130022</v>
          </cell>
          <cell r="BB817">
            <v>3</v>
          </cell>
        </row>
        <row r="818">
          <cell r="A818">
            <v>130023</v>
          </cell>
          <cell r="BB818">
            <v>3</v>
          </cell>
        </row>
        <row r="819">
          <cell r="A819">
            <v>130024</v>
          </cell>
          <cell r="BB819">
            <v>3</v>
          </cell>
        </row>
        <row r="820">
          <cell r="A820">
            <v>130025</v>
          </cell>
          <cell r="BB820">
            <v>3</v>
          </cell>
        </row>
        <row r="821">
          <cell r="A821">
            <v>130026</v>
          </cell>
          <cell r="BB821">
            <v>3</v>
          </cell>
        </row>
        <row r="822">
          <cell r="A822">
            <v>130027</v>
          </cell>
          <cell r="BB822">
            <v>3</v>
          </cell>
        </row>
        <row r="823">
          <cell r="A823">
            <v>130028</v>
          </cell>
          <cell r="BB823">
            <v>3</v>
          </cell>
        </row>
        <row r="824">
          <cell r="A824">
            <v>130029</v>
          </cell>
          <cell r="BB824">
            <v>3</v>
          </cell>
        </row>
        <row r="825">
          <cell r="A825">
            <v>130030</v>
          </cell>
          <cell r="BB825">
            <v>3</v>
          </cell>
        </row>
        <row r="826">
          <cell r="A826">
            <v>130031</v>
          </cell>
          <cell r="BB826">
            <v>4</v>
          </cell>
        </row>
        <row r="827">
          <cell r="A827">
            <v>130032</v>
          </cell>
          <cell r="BB827">
            <v>4</v>
          </cell>
        </row>
        <row r="828">
          <cell r="A828">
            <v>130033</v>
          </cell>
          <cell r="BB828">
            <v>4</v>
          </cell>
        </row>
        <row r="829">
          <cell r="A829">
            <v>130034</v>
          </cell>
          <cell r="BB829">
            <v>4</v>
          </cell>
        </row>
        <row r="830">
          <cell r="A830">
            <v>130035</v>
          </cell>
          <cell r="BB830">
            <v>4</v>
          </cell>
        </row>
        <row r="831">
          <cell r="A831">
            <v>130036</v>
          </cell>
          <cell r="BB831">
            <v>4</v>
          </cell>
        </row>
        <row r="832">
          <cell r="A832">
            <v>130037</v>
          </cell>
          <cell r="BB832">
            <v>4</v>
          </cell>
        </row>
        <row r="833">
          <cell r="A833">
            <v>130038</v>
          </cell>
          <cell r="BB833">
            <v>4</v>
          </cell>
        </row>
        <row r="834">
          <cell r="A834">
            <v>130039</v>
          </cell>
          <cell r="BB834">
            <v>4</v>
          </cell>
        </row>
        <row r="835">
          <cell r="A835">
            <v>130040</v>
          </cell>
          <cell r="BB835">
            <v>4</v>
          </cell>
        </row>
        <row r="836">
          <cell r="A836">
            <v>130041</v>
          </cell>
          <cell r="BB836">
            <v>5</v>
          </cell>
        </row>
        <row r="837">
          <cell r="A837">
            <v>130042</v>
          </cell>
          <cell r="BB837">
            <v>5</v>
          </cell>
        </row>
        <row r="838">
          <cell r="A838">
            <v>130043</v>
          </cell>
          <cell r="BB838">
            <v>5</v>
          </cell>
        </row>
        <row r="839">
          <cell r="A839">
            <v>130044</v>
          </cell>
          <cell r="BB839">
            <v>5</v>
          </cell>
        </row>
        <row r="840">
          <cell r="A840">
            <v>130045</v>
          </cell>
          <cell r="BB840">
            <v>5</v>
          </cell>
        </row>
        <row r="841">
          <cell r="A841">
            <v>130046</v>
          </cell>
          <cell r="BB841">
            <v>5</v>
          </cell>
        </row>
        <row r="842">
          <cell r="A842">
            <v>130047</v>
          </cell>
          <cell r="BB842">
            <v>5</v>
          </cell>
        </row>
        <row r="843">
          <cell r="A843">
            <v>130048</v>
          </cell>
          <cell r="BB843">
            <v>5</v>
          </cell>
        </row>
        <row r="844">
          <cell r="A844">
            <v>130049</v>
          </cell>
          <cell r="BB844">
            <v>5</v>
          </cell>
        </row>
        <row r="845">
          <cell r="A845">
            <v>130050</v>
          </cell>
          <cell r="BB845">
            <v>5</v>
          </cell>
        </row>
        <row r="846">
          <cell r="A846">
            <v>130051</v>
          </cell>
          <cell r="BB846">
            <v>6</v>
          </cell>
        </row>
        <row r="847">
          <cell r="A847">
            <v>130052</v>
          </cell>
          <cell r="BB847">
            <v>6</v>
          </cell>
        </row>
        <row r="848">
          <cell r="A848">
            <v>130053</v>
          </cell>
          <cell r="BB848">
            <v>6</v>
          </cell>
        </row>
        <row r="849">
          <cell r="A849">
            <v>130054</v>
          </cell>
          <cell r="BB849">
            <v>6</v>
          </cell>
        </row>
        <row r="850">
          <cell r="A850">
            <v>130055</v>
          </cell>
          <cell r="BB850">
            <v>6</v>
          </cell>
        </row>
        <row r="851">
          <cell r="A851">
            <v>130056</v>
          </cell>
          <cell r="BB851">
            <v>6</v>
          </cell>
        </row>
        <row r="852">
          <cell r="A852">
            <v>130057</v>
          </cell>
          <cell r="BB852">
            <v>6</v>
          </cell>
        </row>
        <row r="853">
          <cell r="A853">
            <v>130058</v>
          </cell>
          <cell r="BB853">
            <v>6</v>
          </cell>
        </row>
        <row r="854">
          <cell r="A854">
            <v>130059</v>
          </cell>
          <cell r="BB854">
            <v>6</v>
          </cell>
        </row>
        <row r="855">
          <cell r="A855">
            <v>130060</v>
          </cell>
          <cell r="BB855">
            <v>6</v>
          </cell>
        </row>
        <row r="856">
          <cell r="A856">
            <v>130061</v>
          </cell>
          <cell r="BB856">
            <v>7</v>
          </cell>
        </row>
        <row r="857">
          <cell r="A857">
            <v>130062</v>
          </cell>
          <cell r="BB857">
            <v>7</v>
          </cell>
        </row>
        <row r="858">
          <cell r="A858">
            <v>130063</v>
          </cell>
          <cell r="BB858">
            <v>7</v>
          </cell>
        </row>
        <row r="859">
          <cell r="A859">
            <v>130064</v>
          </cell>
          <cell r="BB859">
            <v>7</v>
          </cell>
        </row>
        <row r="860">
          <cell r="A860">
            <v>130065</v>
          </cell>
          <cell r="BB860">
            <v>7</v>
          </cell>
        </row>
        <row r="861">
          <cell r="A861">
            <v>130066</v>
          </cell>
          <cell r="BB861">
            <v>7</v>
          </cell>
        </row>
        <row r="862">
          <cell r="A862">
            <v>130067</v>
          </cell>
          <cell r="BB862">
            <v>7</v>
          </cell>
        </row>
        <row r="863">
          <cell r="A863">
            <v>130068</v>
          </cell>
          <cell r="BB863">
            <v>7</v>
          </cell>
        </row>
        <row r="864">
          <cell r="A864">
            <v>130069</v>
          </cell>
          <cell r="BB864">
            <v>7</v>
          </cell>
        </row>
        <row r="865">
          <cell r="A865">
            <v>130070</v>
          </cell>
          <cell r="BB865">
            <v>7</v>
          </cell>
        </row>
        <row r="866">
          <cell r="A866">
            <v>130071</v>
          </cell>
          <cell r="BB866">
            <v>8</v>
          </cell>
        </row>
        <row r="867">
          <cell r="A867">
            <v>130072</v>
          </cell>
          <cell r="BB867">
            <v>8</v>
          </cell>
        </row>
        <row r="868">
          <cell r="A868">
            <v>130073</v>
          </cell>
          <cell r="BB868">
            <v>8</v>
          </cell>
        </row>
        <row r="869">
          <cell r="A869">
            <v>130074</v>
          </cell>
          <cell r="BB869">
            <v>8</v>
          </cell>
        </row>
        <row r="870">
          <cell r="A870">
            <v>130075</v>
          </cell>
          <cell r="BB870">
            <v>8</v>
          </cell>
        </row>
        <row r="871">
          <cell r="A871">
            <v>130076</v>
          </cell>
          <cell r="BB871">
            <v>8</v>
          </cell>
        </row>
        <row r="872">
          <cell r="A872">
            <v>130077</v>
          </cell>
          <cell r="BB872">
            <v>8</v>
          </cell>
        </row>
        <row r="873">
          <cell r="A873">
            <v>130078</v>
          </cell>
          <cell r="BB873">
            <v>8</v>
          </cell>
        </row>
        <row r="874">
          <cell r="A874">
            <v>130079</v>
          </cell>
          <cell r="BB874">
            <v>8</v>
          </cell>
        </row>
        <row r="875">
          <cell r="A875">
            <v>130080</v>
          </cell>
          <cell r="BB875">
            <v>8</v>
          </cell>
        </row>
        <row r="876">
          <cell r="A876">
            <v>130081</v>
          </cell>
          <cell r="BB876">
            <v>1</v>
          </cell>
        </row>
        <row r="877">
          <cell r="A877">
            <v>130082</v>
          </cell>
          <cell r="BB877">
            <v>1</v>
          </cell>
        </row>
        <row r="878">
          <cell r="A878">
            <v>130083</v>
          </cell>
          <cell r="BB878">
            <v>1</v>
          </cell>
        </row>
        <row r="879">
          <cell r="A879">
            <v>130084</v>
          </cell>
          <cell r="BB879">
            <v>1</v>
          </cell>
        </row>
        <row r="880">
          <cell r="A880">
            <v>130085</v>
          </cell>
          <cell r="BB880">
            <v>1</v>
          </cell>
        </row>
        <row r="881">
          <cell r="A881">
            <v>130086</v>
          </cell>
          <cell r="BB881">
            <v>1</v>
          </cell>
        </row>
        <row r="882">
          <cell r="A882">
            <v>130087</v>
          </cell>
          <cell r="BB882">
            <v>1</v>
          </cell>
        </row>
        <row r="883">
          <cell r="A883">
            <v>130088</v>
          </cell>
          <cell r="BB883">
            <v>1</v>
          </cell>
        </row>
        <row r="884">
          <cell r="A884">
            <v>130089</v>
          </cell>
          <cell r="BB884">
            <v>1</v>
          </cell>
        </row>
        <row r="885">
          <cell r="A885">
            <v>130090</v>
          </cell>
          <cell r="BB885">
            <v>1</v>
          </cell>
        </row>
        <row r="886">
          <cell r="A886">
            <v>130091</v>
          </cell>
          <cell r="BB886">
            <v>2</v>
          </cell>
        </row>
        <row r="887">
          <cell r="A887">
            <v>130092</v>
          </cell>
          <cell r="BB887">
            <v>2</v>
          </cell>
        </row>
        <row r="888">
          <cell r="A888">
            <v>130093</v>
          </cell>
          <cell r="BB888">
            <v>2</v>
          </cell>
        </row>
        <row r="889">
          <cell r="A889">
            <v>130094</v>
          </cell>
          <cell r="BB889">
            <v>2</v>
          </cell>
        </row>
        <row r="890">
          <cell r="A890">
            <v>130095</v>
          </cell>
          <cell r="BB890">
            <v>2</v>
          </cell>
        </row>
        <row r="891">
          <cell r="A891">
            <v>130096</v>
          </cell>
          <cell r="BB891">
            <v>2</v>
          </cell>
        </row>
        <row r="892">
          <cell r="A892">
            <v>130097</v>
          </cell>
          <cell r="BB892">
            <v>2</v>
          </cell>
        </row>
        <row r="893">
          <cell r="A893">
            <v>130098</v>
          </cell>
          <cell r="BB893">
            <v>2</v>
          </cell>
        </row>
        <row r="894">
          <cell r="A894">
            <v>130099</v>
          </cell>
          <cell r="BB894">
            <v>2</v>
          </cell>
        </row>
        <row r="895">
          <cell r="A895">
            <v>130100</v>
          </cell>
          <cell r="BB895">
            <v>2</v>
          </cell>
        </row>
        <row r="896">
          <cell r="A896">
            <v>130101</v>
          </cell>
          <cell r="BB896">
            <v>3</v>
          </cell>
        </row>
        <row r="897">
          <cell r="A897">
            <v>130102</v>
          </cell>
          <cell r="BB897">
            <v>3</v>
          </cell>
        </row>
        <row r="898">
          <cell r="A898">
            <v>130103</v>
          </cell>
          <cell r="BB898">
            <v>3</v>
          </cell>
        </row>
        <row r="899">
          <cell r="A899">
            <v>130104</v>
          </cell>
          <cell r="BB899">
            <v>3</v>
          </cell>
        </row>
        <row r="900">
          <cell r="A900">
            <v>130105</v>
          </cell>
          <cell r="BB900">
            <v>3</v>
          </cell>
        </row>
        <row r="901">
          <cell r="A901">
            <v>130106</v>
          </cell>
          <cell r="BB901">
            <v>3</v>
          </cell>
        </row>
        <row r="902">
          <cell r="A902">
            <v>130107</v>
          </cell>
          <cell r="BB902">
            <v>3</v>
          </cell>
        </row>
        <row r="903">
          <cell r="A903">
            <v>130108</v>
          </cell>
          <cell r="BB903">
            <v>3</v>
          </cell>
        </row>
        <row r="904">
          <cell r="A904">
            <v>130109</v>
          </cell>
          <cell r="BB904">
            <v>3</v>
          </cell>
        </row>
        <row r="905">
          <cell r="A905">
            <v>130110</v>
          </cell>
          <cell r="BB905">
            <v>3</v>
          </cell>
        </row>
        <row r="906">
          <cell r="A906">
            <v>130111</v>
          </cell>
          <cell r="BB906">
            <v>4</v>
          </cell>
        </row>
        <row r="907">
          <cell r="A907">
            <v>130112</v>
          </cell>
          <cell r="BB907">
            <v>4</v>
          </cell>
        </row>
        <row r="908">
          <cell r="A908">
            <v>130113</v>
          </cell>
          <cell r="BB908">
            <v>4</v>
          </cell>
        </row>
        <row r="909">
          <cell r="A909">
            <v>130114</v>
          </cell>
          <cell r="BB909">
            <v>4</v>
          </cell>
        </row>
        <row r="910">
          <cell r="A910">
            <v>130115</v>
          </cell>
          <cell r="BB910">
            <v>4</v>
          </cell>
        </row>
        <row r="911">
          <cell r="A911">
            <v>130116</v>
          </cell>
          <cell r="BB911">
            <v>4</v>
          </cell>
        </row>
        <row r="912">
          <cell r="A912">
            <v>130117</v>
          </cell>
          <cell r="BB912">
            <v>4</v>
          </cell>
        </row>
        <row r="913">
          <cell r="A913">
            <v>130118</v>
          </cell>
          <cell r="BB913">
            <v>4</v>
          </cell>
        </row>
        <row r="914">
          <cell r="A914">
            <v>130119</v>
          </cell>
          <cell r="BB914">
            <v>4</v>
          </cell>
        </row>
        <row r="915">
          <cell r="A915">
            <v>130120</v>
          </cell>
          <cell r="BB915">
            <v>4</v>
          </cell>
        </row>
        <row r="916">
          <cell r="A916">
            <v>130121</v>
          </cell>
          <cell r="BB916">
            <v>5</v>
          </cell>
        </row>
        <row r="917">
          <cell r="A917">
            <v>130122</v>
          </cell>
          <cell r="BB917">
            <v>5</v>
          </cell>
        </row>
        <row r="918">
          <cell r="A918">
            <v>130123</v>
          </cell>
          <cell r="BB918">
            <v>5</v>
          </cell>
        </row>
        <row r="919">
          <cell r="A919">
            <v>130124</v>
          </cell>
          <cell r="BB919">
            <v>5</v>
          </cell>
        </row>
        <row r="920">
          <cell r="A920">
            <v>130125</v>
          </cell>
          <cell r="BB920">
            <v>5</v>
          </cell>
        </row>
        <row r="921">
          <cell r="A921">
            <v>130126</v>
          </cell>
          <cell r="BB921">
            <v>5</v>
          </cell>
        </row>
        <row r="922">
          <cell r="A922">
            <v>130127</v>
          </cell>
          <cell r="BB922">
            <v>5</v>
          </cell>
        </row>
        <row r="923">
          <cell r="A923">
            <v>130128</v>
          </cell>
          <cell r="BB923">
            <v>5</v>
          </cell>
        </row>
        <row r="924">
          <cell r="A924">
            <v>130129</v>
          </cell>
          <cell r="BB924">
            <v>5</v>
          </cell>
        </row>
        <row r="925">
          <cell r="A925">
            <v>130130</v>
          </cell>
          <cell r="BB925">
            <v>5</v>
          </cell>
        </row>
        <row r="926">
          <cell r="A926">
            <v>130131</v>
          </cell>
          <cell r="BB926">
            <v>6</v>
          </cell>
        </row>
        <row r="927">
          <cell r="A927">
            <v>130132</v>
          </cell>
          <cell r="BB927">
            <v>6</v>
          </cell>
        </row>
        <row r="928">
          <cell r="A928">
            <v>130133</v>
          </cell>
          <cell r="BB928">
            <v>6</v>
          </cell>
        </row>
        <row r="929">
          <cell r="A929">
            <v>130134</v>
          </cell>
          <cell r="BB929">
            <v>6</v>
          </cell>
        </row>
        <row r="930">
          <cell r="A930">
            <v>130135</v>
          </cell>
          <cell r="BB930">
            <v>6</v>
          </cell>
        </row>
        <row r="931">
          <cell r="A931">
            <v>130136</v>
          </cell>
          <cell r="BB931">
            <v>6</v>
          </cell>
        </row>
        <row r="932">
          <cell r="A932">
            <v>130137</v>
          </cell>
          <cell r="BB932">
            <v>6</v>
          </cell>
        </row>
        <row r="933">
          <cell r="A933">
            <v>130138</v>
          </cell>
          <cell r="BB933">
            <v>6</v>
          </cell>
        </row>
        <row r="934">
          <cell r="A934">
            <v>130139</v>
          </cell>
          <cell r="BB934">
            <v>6</v>
          </cell>
        </row>
        <row r="935">
          <cell r="A935">
            <v>130140</v>
          </cell>
          <cell r="BB935">
            <v>6</v>
          </cell>
        </row>
        <row r="936">
          <cell r="A936">
            <v>130141</v>
          </cell>
          <cell r="BB936">
            <v>7</v>
          </cell>
        </row>
        <row r="937">
          <cell r="A937">
            <v>130142</v>
          </cell>
          <cell r="BB937">
            <v>7</v>
          </cell>
        </row>
        <row r="938">
          <cell r="A938">
            <v>130143</v>
          </cell>
          <cell r="BB938">
            <v>7</v>
          </cell>
        </row>
        <row r="939">
          <cell r="A939">
            <v>130144</v>
          </cell>
          <cell r="BB939">
            <v>7</v>
          </cell>
        </row>
        <row r="940">
          <cell r="A940">
            <v>130145</v>
          </cell>
          <cell r="BB940">
            <v>7</v>
          </cell>
        </row>
        <row r="941">
          <cell r="A941">
            <v>130146</v>
          </cell>
          <cell r="BB941">
            <v>7</v>
          </cell>
        </row>
        <row r="942">
          <cell r="A942">
            <v>130147</v>
          </cell>
          <cell r="BB942">
            <v>7</v>
          </cell>
        </row>
        <row r="943">
          <cell r="A943">
            <v>130148</v>
          </cell>
          <cell r="BB943">
            <v>7</v>
          </cell>
        </row>
        <row r="944">
          <cell r="A944">
            <v>130149</v>
          </cell>
          <cell r="BB944">
            <v>7</v>
          </cell>
        </row>
        <row r="945">
          <cell r="A945">
            <v>130150</v>
          </cell>
          <cell r="BB945">
            <v>7</v>
          </cell>
        </row>
        <row r="946">
          <cell r="A946">
            <v>130151</v>
          </cell>
          <cell r="BB946">
            <v>8</v>
          </cell>
        </row>
        <row r="947">
          <cell r="A947">
            <v>130152</v>
          </cell>
          <cell r="BB947">
            <v>8</v>
          </cell>
        </row>
        <row r="948">
          <cell r="A948">
            <v>130153</v>
          </cell>
          <cell r="BB948">
            <v>8</v>
          </cell>
        </row>
        <row r="949">
          <cell r="A949">
            <v>130154</v>
          </cell>
          <cell r="BB949">
            <v>8</v>
          </cell>
        </row>
        <row r="950">
          <cell r="A950">
            <v>130155</v>
          </cell>
          <cell r="BB950">
            <v>8</v>
          </cell>
        </row>
        <row r="951">
          <cell r="A951">
            <v>130156</v>
          </cell>
          <cell r="BB951">
            <v>8</v>
          </cell>
        </row>
        <row r="952">
          <cell r="A952">
            <v>130157</v>
          </cell>
          <cell r="BB952">
            <v>8</v>
          </cell>
        </row>
        <row r="953">
          <cell r="A953">
            <v>130158</v>
          </cell>
          <cell r="BB953">
            <v>8</v>
          </cell>
        </row>
        <row r="954">
          <cell r="A954">
            <v>130159</v>
          </cell>
          <cell r="BB954">
            <v>8</v>
          </cell>
        </row>
        <row r="955">
          <cell r="A955">
            <v>130160</v>
          </cell>
          <cell r="BB955">
            <v>8</v>
          </cell>
        </row>
        <row r="956">
          <cell r="A956">
            <v>130161</v>
          </cell>
          <cell r="BB956">
            <v>9</v>
          </cell>
        </row>
        <row r="957">
          <cell r="A957">
            <v>130162</v>
          </cell>
          <cell r="BB957">
            <v>9</v>
          </cell>
        </row>
        <row r="958">
          <cell r="A958">
            <v>130163</v>
          </cell>
          <cell r="BB958">
            <v>9</v>
          </cell>
        </row>
        <row r="959">
          <cell r="A959">
            <v>130164</v>
          </cell>
          <cell r="BB959">
            <v>9</v>
          </cell>
        </row>
        <row r="960">
          <cell r="A960">
            <v>130165</v>
          </cell>
          <cell r="BB960">
            <v>9</v>
          </cell>
        </row>
        <row r="961">
          <cell r="A961">
            <v>130166</v>
          </cell>
          <cell r="BB961">
            <v>9</v>
          </cell>
        </row>
        <row r="962">
          <cell r="A962">
            <v>130167</v>
          </cell>
          <cell r="BB962">
            <v>9</v>
          </cell>
        </row>
        <row r="963">
          <cell r="A963">
            <v>130168</v>
          </cell>
          <cell r="BB963">
            <v>9</v>
          </cell>
        </row>
        <row r="964">
          <cell r="A964">
            <v>130169</v>
          </cell>
          <cell r="BB964">
            <v>9</v>
          </cell>
        </row>
        <row r="965">
          <cell r="A965">
            <v>130170</v>
          </cell>
          <cell r="BB965">
            <v>9</v>
          </cell>
        </row>
        <row r="966">
          <cell r="A966">
            <v>130171</v>
          </cell>
          <cell r="BB966">
            <v>10</v>
          </cell>
        </row>
        <row r="967">
          <cell r="A967">
            <v>130172</v>
          </cell>
          <cell r="BB967">
            <v>10</v>
          </cell>
        </row>
        <row r="968">
          <cell r="A968">
            <v>130173</v>
          </cell>
          <cell r="BB968">
            <v>10</v>
          </cell>
        </row>
        <row r="969">
          <cell r="A969">
            <v>130174</v>
          </cell>
          <cell r="BB969">
            <v>10</v>
          </cell>
        </row>
        <row r="970">
          <cell r="A970">
            <v>130175</v>
          </cell>
          <cell r="BB970">
            <v>10</v>
          </cell>
        </row>
        <row r="971">
          <cell r="A971">
            <v>130176</v>
          </cell>
          <cell r="BB971">
            <v>10</v>
          </cell>
        </row>
        <row r="972">
          <cell r="A972">
            <v>130177</v>
          </cell>
          <cell r="BB972">
            <v>10</v>
          </cell>
        </row>
        <row r="973">
          <cell r="A973">
            <v>130178</v>
          </cell>
          <cell r="BB973">
            <v>10</v>
          </cell>
        </row>
        <row r="974">
          <cell r="A974">
            <v>130179</v>
          </cell>
          <cell r="BB974">
            <v>10</v>
          </cell>
        </row>
        <row r="975">
          <cell r="A975">
            <v>130180</v>
          </cell>
          <cell r="BB975">
            <v>10</v>
          </cell>
        </row>
        <row r="976">
          <cell r="A976">
            <v>130181</v>
          </cell>
          <cell r="BB976">
            <v>11</v>
          </cell>
        </row>
        <row r="977">
          <cell r="A977">
            <v>130182</v>
          </cell>
          <cell r="BB977">
            <v>11</v>
          </cell>
        </row>
        <row r="978">
          <cell r="A978">
            <v>130183</v>
          </cell>
          <cell r="BB978">
            <v>11</v>
          </cell>
        </row>
        <row r="979">
          <cell r="A979">
            <v>130184</v>
          </cell>
          <cell r="BB979">
            <v>11</v>
          </cell>
        </row>
        <row r="980">
          <cell r="A980">
            <v>130185</v>
          </cell>
          <cell r="BB980">
            <v>11</v>
          </cell>
        </row>
        <row r="981">
          <cell r="A981">
            <v>130186</v>
          </cell>
          <cell r="BB981">
            <v>1</v>
          </cell>
        </row>
        <row r="982">
          <cell r="A982">
            <v>130187</v>
          </cell>
          <cell r="BB982">
            <v>1</v>
          </cell>
        </row>
        <row r="983">
          <cell r="A983">
            <v>130188</v>
          </cell>
          <cell r="BB983">
            <v>1</v>
          </cell>
        </row>
        <row r="984">
          <cell r="A984">
            <v>130189</v>
          </cell>
          <cell r="BB984">
            <v>1</v>
          </cell>
        </row>
        <row r="985">
          <cell r="A985">
            <v>130190</v>
          </cell>
          <cell r="BB985">
            <v>1</v>
          </cell>
        </row>
        <row r="986">
          <cell r="A986">
            <v>130191</v>
          </cell>
          <cell r="BB986">
            <v>1</v>
          </cell>
        </row>
        <row r="987">
          <cell r="A987">
            <v>130192</v>
          </cell>
          <cell r="BB987">
            <v>1</v>
          </cell>
        </row>
        <row r="988">
          <cell r="A988">
            <v>130193</v>
          </cell>
          <cell r="BB988">
            <v>1</v>
          </cell>
        </row>
        <row r="989">
          <cell r="A989">
            <v>130194</v>
          </cell>
          <cell r="BB989">
            <v>1</v>
          </cell>
        </row>
        <row r="990">
          <cell r="A990">
            <v>130195</v>
          </cell>
          <cell r="BB990">
            <v>1</v>
          </cell>
        </row>
        <row r="991">
          <cell r="A991">
            <v>130196</v>
          </cell>
          <cell r="BB991">
            <v>2</v>
          </cell>
        </row>
        <row r="992">
          <cell r="A992">
            <v>130197</v>
          </cell>
          <cell r="BB992">
            <v>2</v>
          </cell>
        </row>
        <row r="993">
          <cell r="A993">
            <v>130198</v>
          </cell>
          <cell r="BB993">
            <v>2</v>
          </cell>
        </row>
        <row r="994">
          <cell r="A994">
            <v>130199</v>
          </cell>
          <cell r="BB994">
            <v>2</v>
          </cell>
        </row>
        <row r="995">
          <cell r="A995">
            <v>130200</v>
          </cell>
          <cell r="BB995">
            <v>2</v>
          </cell>
        </row>
        <row r="996">
          <cell r="A996">
            <v>130201</v>
          </cell>
          <cell r="BB996">
            <v>2</v>
          </cell>
        </row>
        <row r="997">
          <cell r="A997">
            <v>130202</v>
          </cell>
          <cell r="BB997">
            <v>2</v>
          </cell>
        </row>
        <row r="998">
          <cell r="A998">
            <v>130203</v>
          </cell>
          <cell r="BB998">
            <v>2</v>
          </cell>
        </row>
        <row r="999">
          <cell r="A999">
            <v>130204</v>
          </cell>
          <cell r="BB999">
            <v>2</v>
          </cell>
        </row>
        <row r="1000">
          <cell r="A1000">
            <v>130205</v>
          </cell>
          <cell r="BB1000">
            <v>2</v>
          </cell>
        </row>
        <row r="1001">
          <cell r="A1001">
            <v>130206</v>
          </cell>
          <cell r="BB1001">
            <v>3</v>
          </cell>
        </row>
        <row r="1002">
          <cell r="A1002">
            <v>130207</v>
          </cell>
          <cell r="BB1002">
            <v>3</v>
          </cell>
        </row>
        <row r="1003">
          <cell r="A1003">
            <v>130208</v>
          </cell>
          <cell r="BB1003">
            <v>3</v>
          </cell>
        </row>
        <row r="1004">
          <cell r="A1004">
            <v>130209</v>
          </cell>
          <cell r="BB1004">
            <v>3</v>
          </cell>
        </row>
        <row r="1005">
          <cell r="A1005">
            <v>130210</v>
          </cell>
          <cell r="BB1005">
            <v>3</v>
          </cell>
        </row>
        <row r="1006">
          <cell r="A1006">
            <v>130211</v>
          </cell>
          <cell r="BB1006">
            <v>3</v>
          </cell>
        </row>
        <row r="1007">
          <cell r="A1007">
            <v>130212</v>
          </cell>
          <cell r="BB1007">
            <v>3</v>
          </cell>
        </row>
        <row r="1008">
          <cell r="A1008">
            <v>130213</v>
          </cell>
          <cell r="BB1008">
            <v>3</v>
          </cell>
        </row>
        <row r="1009">
          <cell r="A1009">
            <v>130214</v>
          </cell>
          <cell r="BB1009">
            <v>3</v>
          </cell>
        </row>
        <row r="1010">
          <cell r="A1010">
            <v>130215</v>
          </cell>
          <cell r="BB1010">
            <v>3</v>
          </cell>
        </row>
        <row r="1011">
          <cell r="A1011">
            <v>130216</v>
          </cell>
          <cell r="BB1011">
            <v>4</v>
          </cell>
        </row>
        <row r="1012">
          <cell r="A1012">
            <v>130217</v>
          </cell>
          <cell r="BB1012">
            <v>4</v>
          </cell>
        </row>
        <row r="1013">
          <cell r="A1013">
            <v>130218</v>
          </cell>
          <cell r="BB1013">
            <v>4</v>
          </cell>
        </row>
        <row r="1014">
          <cell r="A1014">
            <v>130219</v>
          </cell>
          <cell r="BB1014">
            <v>4</v>
          </cell>
        </row>
        <row r="1015">
          <cell r="A1015">
            <v>130220</v>
          </cell>
          <cell r="BB1015">
            <v>4</v>
          </cell>
        </row>
        <row r="1016">
          <cell r="A1016">
            <v>130221</v>
          </cell>
          <cell r="BB1016">
            <v>4</v>
          </cell>
        </row>
        <row r="1017">
          <cell r="A1017">
            <v>130222</v>
          </cell>
          <cell r="BB1017">
            <v>4</v>
          </cell>
        </row>
        <row r="1018">
          <cell r="A1018">
            <v>130223</v>
          </cell>
          <cell r="BB1018">
            <v>4</v>
          </cell>
        </row>
        <row r="1019">
          <cell r="A1019">
            <v>130224</v>
          </cell>
          <cell r="BB1019">
            <v>4</v>
          </cell>
        </row>
        <row r="1020">
          <cell r="A1020">
            <v>130225</v>
          </cell>
          <cell r="BB1020">
            <v>4</v>
          </cell>
        </row>
        <row r="1021">
          <cell r="A1021">
            <v>130226</v>
          </cell>
          <cell r="BB1021">
            <v>5</v>
          </cell>
        </row>
        <row r="1022">
          <cell r="A1022">
            <v>130227</v>
          </cell>
          <cell r="BB1022">
            <v>5</v>
          </cell>
        </row>
        <row r="1023">
          <cell r="A1023">
            <v>130228</v>
          </cell>
          <cell r="BB1023">
            <v>5</v>
          </cell>
        </row>
        <row r="1024">
          <cell r="A1024">
            <v>130229</v>
          </cell>
          <cell r="BB1024">
            <v>5</v>
          </cell>
        </row>
        <row r="1025">
          <cell r="A1025">
            <v>130230</v>
          </cell>
          <cell r="BB1025">
            <v>5</v>
          </cell>
        </row>
        <row r="1026">
          <cell r="A1026">
            <v>130231</v>
          </cell>
          <cell r="BB1026">
            <v>5</v>
          </cell>
        </row>
        <row r="1027">
          <cell r="A1027">
            <v>130232</v>
          </cell>
          <cell r="BB1027">
            <v>5</v>
          </cell>
        </row>
        <row r="1028">
          <cell r="A1028">
            <v>130233</v>
          </cell>
          <cell r="BB1028">
            <v>5</v>
          </cell>
        </row>
        <row r="1029">
          <cell r="A1029">
            <v>130234</v>
          </cell>
          <cell r="BB1029">
            <v>5</v>
          </cell>
        </row>
        <row r="1030">
          <cell r="A1030">
            <v>130235</v>
          </cell>
          <cell r="BB1030">
            <v>5</v>
          </cell>
        </row>
        <row r="1031">
          <cell r="A1031">
            <v>130236</v>
          </cell>
          <cell r="BB1031">
            <v>6</v>
          </cell>
        </row>
        <row r="1032">
          <cell r="A1032">
            <v>130237</v>
          </cell>
          <cell r="BB1032">
            <v>6</v>
          </cell>
        </row>
        <row r="1033">
          <cell r="A1033">
            <v>130238</v>
          </cell>
          <cell r="BB1033">
            <v>6</v>
          </cell>
        </row>
        <row r="1034">
          <cell r="A1034">
            <v>130239</v>
          </cell>
          <cell r="BB1034">
            <v>6</v>
          </cell>
        </row>
        <row r="1035">
          <cell r="A1035">
            <v>130240</v>
          </cell>
          <cell r="BB1035">
            <v>6</v>
          </cell>
        </row>
        <row r="1036">
          <cell r="A1036">
            <v>130241</v>
          </cell>
          <cell r="BB1036">
            <v>6</v>
          </cell>
        </row>
        <row r="1037">
          <cell r="A1037">
            <v>130242</v>
          </cell>
          <cell r="BB1037">
            <v>6</v>
          </cell>
        </row>
        <row r="1038">
          <cell r="A1038">
            <v>130243</v>
          </cell>
          <cell r="BB1038">
            <v>6</v>
          </cell>
        </row>
        <row r="1039">
          <cell r="A1039">
            <v>130244</v>
          </cell>
          <cell r="BB1039">
            <v>6</v>
          </cell>
        </row>
        <row r="1040">
          <cell r="A1040">
            <v>130245</v>
          </cell>
          <cell r="BB1040">
            <v>6</v>
          </cell>
        </row>
        <row r="1041">
          <cell r="A1041">
            <v>130246</v>
          </cell>
          <cell r="BB1041">
            <v>7</v>
          </cell>
        </row>
        <row r="1042">
          <cell r="A1042">
            <v>130247</v>
          </cell>
          <cell r="BB1042">
            <v>7</v>
          </cell>
        </row>
        <row r="1043">
          <cell r="A1043">
            <v>130248</v>
          </cell>
          <cell r="BB1043">
            <v>7</v>
          </cell>
        </row>
        <row r="1044">
          <cell r="A1044">
            <v>130249</v>
          </cell>
          <cell r="BB1044">
            <v>7</v>
          </cell>
        </row>
        <row r="1045">
          <cell r="A1045">
            <v>130250</v>
          </cell>
          <cell r="BB1045">
            <v>7</v>
          </cell>
        </row>
        <row r="1046">
          <cell r="A1046">
            <v>130251</v>
          </cell>
          <cell r="BB1046">
            <v>7</v>
          </cell>
        </row>
        <row r="1047">
          <cell r="A1047">
            <v>130252</v>
          </cell>
          <cell r="BB1047">
            <v>7</v>
          </cell>
        </row>
        <row r="1048">
          <cell r="A1048">
            <v>130253</v>
          </cell>
          <cell r="BB1048">
            <v>7</v>
          </cell>
        </row>
        <row r="1049">
          <cell r="A1049">
            <v>130254</v>
          </cell>
          <cell r="BB1049">
            <v>7</v>
          </cell>
        </row>
        <row r="1050">
          <cell r="A1050">
            <v>130255</v>
          </cell>
          <cell r="BB1050">
            <v>7</v>
          </cell>
        </row>
        <row r="1051">
          <cell r="A1051">
            <v>130256</v>
          </cell>
          <cell r="BB1051">
            <v>8</v>
          </cell>
        </row>
        <row r="1052">
          <cell r="A1052">
            <v>130257</v>
          </cell>
          <cell r="BB1052">
            <v>8</v>
          </cell>
        </row>
        <row r="1053">
          <cell r="A1053">
            <v>130258</v>
          </cell>
          <cell r="BB1053">
            <v>8</v>
          </cell>
        </row>
        <row r="1054">
          <cell r="A1054">
            <v>130259</v>
          </cell>
          <cell r="BB1054">
            <v>8</v>
          </cell>
        </row>
        <row r="1055">
          <cell r="A1055">
            <v>130260</v>
          </cell>
          <cell r="BB1055">
            <v>8</v>
          </cell>
        </row>
        <row r="1056">
          <cell r="A1056">
            <v>130261</v>
          </cell>
          <cell r="BB1056">
            <v>8</v>
          </cell>
        </row>
        <row r="1057">
          <cell r="A1057">
            <v>130262</v>
          </cell>
          <cell r="BB1057">
            <v>8</v>
          </cell>
        </row>
        <row r="1058">
          <cell r="A1058">
            <v>130263</v>
          </cell>
          <cell r="BB1058">
            <v>8</v>
          </cell>
        </row>
        <row r="1059">
          <cell r="A1059">
            <v>130264</v>
          </cell>
          <cell r="BB1059">
            <v>8</v>
          </cell>
        </row>
        <row r="1060">
          <cell r="A1060">
            <v>130265</v>
          </cell>
          <cell r="BB1060">
            <v>8</v>
          </cell>
        </row>
        <row r="1061">
          <cell r="A1061">
            <v>130266</v>
          </cell>
          <cell r="BB1061">
            <v>1</v>
          </cell>
        </row>
        <row r="1062">
          <cell r="A1062">
            <v>130267</v>
          </cell>
          <cell r="BB1062">
            <v>1</v>
          </cell>
        </row>
        <row r="1063">
          <cell r="A1063">
            <v>130268</v>
          </cell>
          <cell r="BB1063">
            <v>1</v>
          </cell>
        </row>
        <row r="1064">
          <cell r="A1064">
            <v>130269</v>
          </cell>
          <cell r="BB1064">
            <v>1</v>
          </cell>
        </row>
        <row r="1065">
          <cell r="A1065">
            <v>130270</v>
          </cell>
          <cell r="BB1065">
            <v>1</v>
          </cell>
        </row>
        <row r="1066">
          <cell r="A1066">
            <v>130271</v>
          </cell>
          <cell r="BB1066">
            <v>1</v>
          </cell>
        </row>
        <row r="1067">
          <cell r="A1067">
            <v>130272</v>
          </cell>
          <cell r="BB1067">
            <v>1</v>
          </cell>
        </row>
        <row r="1068">
          <cell r="A1068">
            <v>130273</v>
          </cell>
          <cell r="BB1068">
            <v>1</v>
          </cell>
        </row>
        <row r="1069">
          <cell r="A1069">
            <v>130274</v>
          </cell>
          <cell r="BB1069">
            <v>1</v>
          </cell>
        </row>
        <row r="1070">
          <cell r="A1070">
            <v>130275</v>
          </cell>
          <cell r="BB1070">
            <v>1</v>
          </cell>
        </row>
        <row r="1071">
          <cell r="A1071">
            <v>130276</v>
          </cell>
          <cell r="BB1071">
            <v>2</v>
          </cell>
        </row>
        <row r="1072">
          <cell r="A1072">
            <v>130277</v>
          </cell>
          <cell r="BB1072">
            <v>2</v>
          </cell>
        </row>
        <row r="1073">
          <cell r="A1073">
            <v>130278</v>
          </cell>
          <cell r="BB1073">
            <v>2</v>
          </cell>
        </row>
        <row r="1074">
          <cell r="A1074">
            <v>130279</v>
          </cell>
          <cell r="BB1074">
            <v>2</v>
          </cell>
        </row>
        <row r="1075">
          <cell r="A1075">
            <v>130280</v>
          </cell>
          <cell r="BB1075">
            <v>2</v>
          </cell>
        </row>
        <row r="1076">
          <cell r="A1076">
            <v>130281</v>
          </cell>
          <cell r="BB1076">
            <v>2</v>
          </cell>
        </row>
        <row r="1077">
          <cell r="A1077">
            <v>130282</v>
          </cell>
          <cell r="BB1077">
            <v>2</v>
          </cell>
        </row>
        <row r="1078">
          <cell r="A1078">
            <v>130283</v>
          </cell>
          <cell r="BB1078">
            <v>2</v>
          </cell>
        </row>
        <row r="1079">
          <cell r="A1079">
            <v>130284</v>
          </cell>
          <cell r="BB1079">
            <v>2</v>
          </cell>
        </row>
        <row r="1080">
          <cell r="A1080">
            <v>130285</v>
          </cell>
          <cell r="BB1080">
            <v>2</v>
          </cell>
        </row>
        <row r="1081">
          <cell r="A1081">
            <v>130286</v>
          </cell>
          <cell r="BB1081">
            <v>3</v>
          </cell>
        </row>
        <row r="1082">
          <cell r="A1082">
            <v>130287</v>
          </cell>
          <cell r="BB1082">
            <v>3</v>
          </cell>
        </row>
        <row r="1083">
          <cell r="A1083">
            <v>130288</v>
          </cell>
          <cell r="BB1083">
            <v>3</v>
          </cell>
        </row>
        <row r="1084">
          <cell r="A1084">
            <v>130289</v>
          </cell>
          <cell r="BB1084">
            <v>3</v>
          </cell>
        </row>
        <row r="1085">
          <cell r="A1085">
            <v>130290</v>
          </cell>
          <cell r="BB1085">
            <v>3</v>
          </cell>
        </row>
        <row r="1086">
          <cell r="A1086">
            <v>130291</v>
          </cell>
          <cell r="BB1086">
            <v>3</v>
          </cell>
        </row>
        <row r="1087">
          <cell r="A1087">
            <v>130292</v>
          </cell>
          <cell r="BB1087">
            <v>3</v>
          </cell>
        </row>
        <row r="1088">
          <cell r="A1088">
            <v>130293</v>
          </cell>
          <cell r="BB1088">
            <v>3</v>
          </cell>
        </row>
        <row r="1089">
          <cell r="A1089">
            <v>130294</v>
          </cell>
          <cell r="BB1089">
            <v>3</v>
          </cell>
        </row>
        <row r="1090">
          <cell r="A1090">
            <v>130295</v>
          </cell>
          <cell r="BB1090">
            <v>3</v>
          </cell>
        </row>
        <row r="1091">
          <cell r="A1091">
            <v>130296</v>
          </cell>
          <cell r="BB1091">
            <v>4</v>
          </cell>
        </row>
        <row r="1092">
          <cell r="A1092">
            <v>130297</v>
          </cell>
          <cell r="BB1092">
            <v>4</v>
          </cell>
        </row>
        <row r="1093">
          <cell r="A1093">
            <v>130298</v>
          </cell>
          <cell r="BB1093">
            <v>4</v>
          </cell>
        </row>
        <row r="1094">
          <cell r="A1094">
            <v>130299</v>
          </cell>
          <cell r="BB1094">
            <v>4</v>
          </cell>
        </row>
        <row r="1095">
          <cell r="A1095">
            <v>130300</v>
          </cell>
          <cell r="BB1095">
            <v>4</v>
          </cell>
        </row>
        <row r="1096">
          <cell r="A1096">
            <v>130301</v>
          </cell>
          <cell r="BB1096">
            <v>4</v>
          </cell>
        </row>
        <row r="1097">
          <cell r="A1097">
            <v>130302</v>
          </cell>
          <cell r="BB1097">
            <v>4</v>
          </cell>
        </row>
        <row r="1098">
          <cell r="A1098">
            <v>130303</v>
          </cell>
          <cell r="BB1098">
            <v>4</v>
          </cell>
        </row>
        <row r="1099">
          <cell r="A1099">
            <v>130304</v>
          </cell>
          <cell r="BB1099">
            <v>4</v>
          </cell>
        </row>
        <row r="1100">
          <cell r="A1100">
            <v>130305</v>
          </cell>
          <cell r="BB1100">
            <v>4</v>
          </cell>
        </row>
        <row r="1101">
          <cell r="A1101">
            <v>130306</v>
          </cell>
          <cell r="BB1101">
            <v>5</v>
          </cell>
        </row>
        <row r="1102">
          <cell r="A1102">
            <v>130307</v>
          </cell>
          <cell r="BB1102">
            <v>5</v>
          </cell>
        </row>
        <row r="1103">
          <cell r="A1103">
            <v>130308</v>
          </cell>
          <cell r="BB1103">
            <v>5</v>
          </cell>
        </row>
        <row r="1104">
          <cell r="A1104">
            <v>130309</v>
          </cell>
          <cell r="BB1104">
            <v>5</v>
          </cell>
        </row>
        <row r="1105">
          <cell r="A1105">
            <v>130310</v>
          </cell>
          <cell r="BB1105">
            <v>5</v>
          </cell>
        </row>
        <row r="1106">
          <cell r="A1106">
            <v>130311</v>
          </cell>
          <cell r="BB1106">
            <v>5</v>
          </cell>
        </row>
        <row r="1107">
          <cell r="A1107">
            <v>130312</v>
          </cell>
          <cell r="BB1107">
            <v>5</v>
          </cell>
        </row>
        <row r="1108">
          <cell r="A1108">
            <v>130313</v>
          </cell>
          <cell r="BB1108">
            <v>5</v>
          </cell>
        </row>
        <row r="1109">
          <cell r="A1109">
            <v>130314</v>
          </cell>
          <cell r="BB1109">
            <v>5</v>
          </cell>
        </row>
        <row r="1110">
          <cell r="A1110">
            <v>130315</v>
          </cell>
          <cell r="BB1110">
            <v>5</v>
          </cell>
        </row>
        <row r="1111">
          <cell r="A1111">
            <v>130316</v>
          </cell>
          <cell r="BB1111">
            <v>6</v>
          </cell>
        </row>
        <row r="1112">
          <cell r="A1112">
            <v>130317</v>
          </cell>
          <cell r="BB1112">
            <v>6</v>
          </cell>
        </row>
        <row r="1113">
          <cell r="A1113">
            <v>130318</v>
          </cell>
          <cell r="BB1113">
            <v>6</v>
          </cell>
        </row>
        <row r="1114">
          <cell r="A1114">
            <v>130319</v>
          </cell>
          <cell r="BB1114">
            <v>6</v>
          </cell>
        </row>
        <row r="1115">
          <cell r="A1115">
            <v>130320</v>
          </cell>
          <cell r="BB1115">
            <v>6</v>
          </cell>
        </row>
        <row r="1116">
          <cell r="A1116">
            <v>130321</v>
          </cell>
          <cell r="BB1116">
            <v>6</v>
          </cell>
        </row>
        <row r="1117">
          <cell r="A1117">
            <v>130322</v>
          </cell>
          <cell r="BB1117">
            <v>6</v>
          </cell>
        </row>
        <row r="1118">
          <cell r="A1118">
            <v>130323</v>
          </cell>
          <cell r="BB1118">
            <v>6</v>
          </cell>
        </row>
        <row r="1119">
          <cell r="A1119">
            <v>130324</v>
          </cell>
          <cell r="BB1119">
            <v>6</v>
          </cell>
        </row>
        <row r="1120">
          <cell r="A1120">
            <v>130325</v>
          </cell>
          <cell r="BB1120">
            <v>6</v>
          </cell>
        </row>
        <row r="1121">
          <cell r="A1121">
            <v>130326</v>
          </cell>
          <cell r="BB1121">
            <v>7</v>
          </cell>
        </row>
        <row r="1122">
          <cell r="A1122">
            <v>130327</v>
          </cell>
          <cell r="BB1122">
            <v>7</v>
          </cell>
        </row>
        <row r="1123">
          <cell r="A1123">
            <v>130328</v>
          </cell>
          <cell r="BB1123">
            <v>7</v>
          </cell>
        </row>
        <row r="1124">
          <cell r="A1124">
            <v>130329</v>
          </cell>
          <cell r="BB1124">
            <v>7</v>
          </cell>
        </row>
        <row r="1125">
          <cell r="A1125">
            <v>130330</v>
          </cell>
          <cell r="BB1125">
            <v>7</v>
          </cell>
        </row>
        <row r="1126">
          <cell r="A1126">
            <v>130331</v>
          </cell>
          <cell r="BB1126">
            <v>7</v>
          </cell>
        </row>
        <row r="1127">
          <cell r="A1127">
            <v>130332</v>
          </cell>
          <cell r="BB1127">
            <v>7</v>
          </cell>
        </row>
        <row r="1128">
          <cell r="A1128">
            <v>130333</v>
          </cell>
          <cell r="BB1128">
            <v>7</v>
          </cell>
        </row>
        <row r="1129">
          <cell r="A1129">
            <v>130334</v>
          </cell>
          <cell r="BB1129">
            <v>7</v>
          </cell>
        </row>
        <row r="1130">
          <cell r="A1130">
            <v>130335</v>
          </cell>
          <cell r="BB1130">
            <v>7</v>
          </cell>
        </row>
        <row r="1131">
          <cell r="A1131">
            <v>130336</v>
          </cell>
          <cell r="BB1131">
            <v>8</v>
          </cell>
        </row>
        <row r="1132">
          <cell r="A1132">
            <v>130337</v>
          </cell>
          <cell r="BB1132">
            <v>8</v>
          </cell>
        </row>
        <row r="1133">
          <cell r="A1133">
            <v>130338</v>
          </cell>
          <cell r="BB1133">
            <v>8</v>
          </cell>
        </row>
        <row r="1134">
          <cell r="A1134">
            <v>130339</v>
          </cell>
          <cell r="BB1134">
            <v>8</v>
          </cell>
        </row>
        <row r="1135">
          <cell r="A1135">
            <v>130340</v>
          </cell>
          <cell r="BB1135">
            <v>8</v>
          </cell>
        </row>
        <row r="1136">
          <cell r="A1136">
            <v>130341</v>
          </cell>
          <cell r="BB1136">
            <v>8</v>
          </cell>
        </row>
        <row r="1137">
          <cell r="A1137">
            <v>130342</v>
          </cell>
          <cell r="BB1137">
            <v>8</v>
          </cell>
        </row>
        <row r="1138">
          <cell r="A1138">
            <v>130343</v>
          </cell>
          <cell r="BB1138">
            <v>8</v>
          </cell>
        </row>
        <row r="1139">
          <cell r="A1139">
            <v>130344</v>
          </cell>
          <cell r="BB1139">
            <v>8</v>
          </cell>
        </row>
        <row r="1140">
          <cell r="A1140">
            <v>130345</v>
          </cell>
          <cell r="BB1140">
            <v>8</v>
          </cell>
        </row>
        <row r="1141">
          <cell r="A1141">
            <v>130346</v>
          </cell>
          <cell r="BB1141">
            <v>9</v>
          </cell>
        </row>
        <row r="1142">
          <cell r="A1142">
            <v>130347</v>
          </cell>
          <cell r="BB1142">
            <v>9</v>
          </cell>
        </row>
        <row r="1143">
          <cell r="A1143">
            <v>130348</v>
          </cell>
          <cell r="BB1143">
            <v>9</v>
          </cell>
        </row>
        <row r="1144">
          <cell r="A1144">
            <v>130349</v>
          </cell>
          <cell r="BB1144">
            <v>9</v>
          </cell>
        </row>
        <row r="1145">
          <cell r="A1145">
            <v>130350</v>
          </cell>
          <cell r="BB1145">
            <v>9</v>
          </cell>
        </row>
        <row r="1146">
          <cell r="A1146">
            <v>130351</v>
          </cell>
          <cell r="BB1146">
            <v>9</v>
          </cell>
        </row>
        <row r="1147">
          <cell r="A1147">
            <v>130352</v>
          </cell>
          <cell r="BB1147">
            <v>9</v>
          </cell>
        </row>
        <row r="1148">
          <cell r="A1148">
            <v>130353</v>
          </cell>
          <cell r="BB1148">
            <v>9</v>
          </cell>
        </row>
        <row r="1149">
          <cell r="A1149">
            <v>130354</v>
          </cell>
          <cell r="BB1149">
            <v>9</v>
          </cell>
        </row>
        <row r="1150">
          <cell r="A1150">
            <v>130355</v>
          </cell>
          <cell r="BB1150">
            <v>9</v>
          </cell>
        </row>
        <row r="1151">
          <cell r="A1151">
            <v>130356</v>
          </cell>
          <cell r="BB1151">
            <v>10</v>
          </cell>
        </row>
        <row r="1152">
          <cell r="A1152">
            <v>130357</v>
          </cell>
          <cell r="BB1152">
            <v>10</v>
          </cell>
        </row>
        <row r="1153">
          <cell r="A1153">
            <v>130358</v>
          </cell>
          <cell r="BB1153">
            <v>10</v>
          </cell>
        </row>
        <row r="1154">
          <cell r="A1154">
            <v>130359</v>
          </cell>
          <cell r="BB1154">
            <v>10</v>
          </cell>
        </row>
        <row r="1155">
          <cell r="A1155">
            <v>130360</v>
          </cell>
          <cell r="BB1155">
            <v>10</v>
          </cell>
        </row>
        <row r="1156">
          <cell r="A1156">
            <v>130361</v>
          </cell>
          <cell r="BB1156">
            <v>10</v>
          </cell>
        </row>
        <row r="1157">
          <cell r="A1157">
            <v>130362</v>
          </cell>
          <cell r="BB1157">
            <v>10</v>
          </cell>
        </row>
        <row r="1158">
          <cell r="A1158">
            <v>130363</v>
          </cell>
          <cell r="BB1158">
            <v>10</v>
          </cell>
        </row>
        <row r="1159">
          <cell r="A1159">
            <v>130364</v>
          </cell>
          <cell r="BB1159">
            <v>10</v>
          </cell>
        </row>
        <row r="1160">
          <cell r="A1160">
            <v>130365</v>
          </cell>
          <cell r="BB1160">
            <v>10</v>
          </cell>
        </row>
        <row r="1161">
          <cell r="A1161">
            <v>130366</v>
          </cell>
          <cell r="BB1161">
            <v>11</v>
          </cell>
        </row>
        <row r="1162">
          <cell r="A1162">
            <v>130367</v>
          </cell>
          <cell r="BB1162">
            <v>11</v>
          </cell>
        </row>
        <row r="1163">
          <cell r="A1163">
            <v>130368</v>
          </cell>
          <cell r="BB1163">
            <v>11</v>
          </cell>
        </row>
        <row r="1164">
          <cell r="A1164">
            <v>130369</v>
          </cell>
          <cell r="BB1164">
            <v>11</v>
          </cell>
        </row>
        <row r="1165">
          <cell r="A1165">
            <v>130370</v>
          </cell>
          <cell r="BB1165">
            <v>11</v>
          </cell>
        </row>
        <row r="1166">
          <cell r="A1166">
            <v>130371</v>
          </cell>
          <cell r="BB1166">
            <v>1</v>
          </cell>
        </row>
        <row r="1167">
          <cell r="A1167">
            <v>130372</v>
          </cell>
          <cell r="BB1167">
            <v>1</v>
          </cell>
        </row>
        <row r="1168">
          <cell r="A1168">
            <v>130373</v>
          </cell>
          <cell r="BB1168">
            <v>1</v>
          </cell>
        </row>
        <row r="1169">
          <cell r="A1169">
            <v>130374</v>
          </cell>
          <cell r="BB1169">
            <v>1</v>
          </cell>
        </row>
        <row r="1170">
          <cell r="A1170">
            <v>130375</v>
          </cell>
          <cell r="BB1170">
            <v>1</v>
          </cell>
        </row>
        <row r="1171">
          <cell r="A1171">
            <v>130376</v>
          </cell>
          <cell r="BB1171">
            <v>1</v>
          </cell>
        </row>
        <row r="1172">
          <cell r="A1172">
            <v>130377</v>
          </cell>
          <cell r="BB1172">
            <v>1</v>
          </cell>
        </row>
        <row r="1173">
          <cell r="A1173">
            <v>130378</v>
          </cell>
          <cell r="BB1173">
            <v>1</v>
          </cell>
        </row>
        <row r="1174">
          <cell r="A1174">
            <v>130379</v>
          </cell>
          <cell r="BB1174">
            <v>1</v>
          </cell>
        </row>
        <row r="1175">
          <cell r="A1175">
            <v>130380</v>
          </cell>
          <cell r="BB1175">
            <v>1</v>
          </cell>
        </row>
        <row r="1176">
          <cell r="A1176">
            <v>130381</v>
          </cell>
          <cell r="BB1176">
            <v>2</v>
          </cell>
        </row>
        <row r="1177">
          <cell r="A1177">
            <v>130382</v>
          </cell>
          <cell r="BB1177">
            <v>2</v>
          </cell>
        </row>
        <row r="1178">
          <cell r="A1178">
            <v>130383</v>
          </cell>
          <cell r="BB1178">
            <v>2</v>
          </cell>
        </row>
        <row r="1179">
          <cell r="A1179">
            <v>130384</v>
          </cell>
          <cell r="BB1179">
            <v>2</v>
          </cell>
        </row>
        <row r="1180">
          <cell r="A1180">
            <v>130385</v>
          </cell>
          <cell r="BB1180">
            <v>2</v>
          </cell>
        </row>
        <row r="1181">
          <cell r="A1181">
            <v>130386</v>
          </cell>
          <cell r="BB1181">
            <v>2</v>
          </cell>
        </row>
        <row r="1182">
          <cell r="A1182">
            <v>130387</v>
          </cell>
          <cell r="BB1182">
            <v>2</v>
          </cell>
        </row>
        <row r="1183">
          <cell r="A1183">
            <v>130388</v>
          </cell>
          <cell r="BB1183">
            <v>2</v>
          </cell>
        </row>
        <row r="1184">
          <cell r="A1184">
            <v>130389</v>
          </cell>
          <cell r="BB1184">
            <v>2</v>
          </cell>
        </row>
        <row r="1185">
          <cell r="A1185">
            <v>130390</v>
          </cell>
          <cell r="BB1185">
            <v>2</v>
          </cell>
        </row>
        <row r="1186">
          <cell r="A1186">
            <v>130391</v>
          </cell>
          <cell r="BB1186">
            <v>3</v>
          </cell>
        </row>
        <row r="1187">
          <cell r="A1187">
            <v>130392</v>
          </cell>
          <cell r="BB1187">
            <v>3</v>
          </cell>
        </row>
        <row r="1188">
          <cell r="A1188">
            <v>130393</v>
          </cell>
          <cell r="BB1188">
            <v>3</v>
          </cell>
        </row>
        <row r="1189">
          <cell r="A1189">
            <v>130394</v>
          </cell>
          <cell r="BB1189">
            <v>3</v>
          </cell>
        </row>
        <row r="1190">
          <cell r="A1190">
            <v>130395</v>
          </cell>
          <cell r="BB1190">
            <v>3</v>
          </cell>
        </row>
        <row r="1191">
          <cell r="A1191">
            <v>130396</v>
          </cell>
          <cell r="BB1191">
            <v>3</v>
          </cell>
        </row>
        <row r="1192">
          <cell r="A1192">
            <v>130397</v>
          </cell>
          <cell r="BB1192">
            <v>3</v>
          </cell>
        </row>
        <row r="1193">
          <cell r="A1193">
            <v>130398</v>
          </cell>
          <cell r="BB1193">
            <v>3</v>
          </cell>
        </row>
        <row r="1194">
          <cell r="A1194">
            <v>130399</v>
          </cell>
          <cell r="BB1194">
            <v>3</v>
          </cell>
        </row>
        <row r="1195">
          <cell r="A1195">
            <v>130400</v>
          </cell>
          <cell r="BB1195">
            <v>3</v>
          </cell>
        </row>
        <row r="1196">
          <cell r="A1196">
            <v>130401</v>
          </cell>
          <cell r="BB1196">
            <v>4</v>
          </cell>
        </row>
        <row r="1197">
          <cell r="A1197">
            <v>130402</v>
          </cell>
          <cell r="BB1197">
            <v>4</v>
          </cell>
        </row>
        <row r="1198">
          <cell r="A1198">
            <v>130403</v>
          </cell>
          <cell r="BB1198">
            <v>4</v>
          </cell>
        </row>
        <row r="1199">
          <cell r="A1199">
            <v>130404</v>
          </cell>
          <cell r="BB1199">
            <v>4</v>
          </cell>
        </row>
        <row r="1200">
          <cell r="A1200">
            <v>130405</v>
          </cell>
          <cell r="BB1200">
            <v>4</v>
          </cell>
        </row>
        <row r="1201">
          <cell r="A1201">
            <v>130406</v>
          </cell>
          <cell r="BB1201">
            <v>4</v>
          </cell>
        </row>
        <row r="1202">
          <cell r="A1202">
            <v>130407</v>
          </cell>
          <cell r="BB1202">
            <v>4</v>
          </cell>
        </row>
        <row r="1203">
          <cell r="A1203">
            <v>130408</v>
          </cell>
          <cell r="BB1203">
            <v>4</v>
          </cell>
        </row>
        <row r="1204">
          <cell r="A1204">
            <v>130409</v>
          </cell>
          <cell r="BB1204">
            <v>4</v>
          </cell>
        </row>
        <row r="1205">
          <cell r="A1205">
            <v>130410</v>
          </cell>
          <cell r="BB1205">
            <v>4</v>
          </cell>
        </row>
        <row r="1206">
          <cell r="A1206">
            <v>130411</v>
          </cell>
          <cell r="BB1206">
            <v>5</v>
          </cell>
        </row>
        <row r="1207">
          <cell r="A1207">
            <v>130412</v>
          </cell>
          <cell r="BB1207">
            <v>5</v>
          </cell>
        </row>
        <row r="1208">
          <cell r="A1208">
            <v>130413</v>
          </cell>
          <cell r="BB1208">
            <v>5</v>
          </cell>
        </row>
        <row r="1209">
          <cell r="A1209">
            <v>130414</v>
          </cell>
          <cell r="BB1209">
            <v>5</v>
          </cell>
        </row>
        <row r="1210">
          <cell r="A1210">
            <v>130415</v>
          </cell>
          <cell r="BB1210">
            <v>5</v>
          </cell>
        </row>
        <row r="1211">
          <cell r="A1211">
            <v>130416</v>
          </cell>
          <cell r="BB1211">
            <v>5</v>
          </cell>
        </row>
        <row r="1212">
          <cell r="A1212">
            <v>130417</v>
          </cell>
          <cell r="BB1212">
            <v>5</v>
          </cell>
        </row>
        <row r="1213">
          <cell r="A1213">
            <v>130418</v>
          </cell>
          <cell r="BB1213">
            <v>5</v>
          </cell>
        </row>
        <row r="1214">
          <cell r="A1214">
            <v>130419</v>
          </cell>
          <cell r="BB1214">
            <v>5</v>
          </cell>
        </row>
        <row r="1215">
          <cell r="A1215">
            <v>130420</v>
          </cell>
          <cell r="BB1215">
            <v>5</v>
          </cell>
        </row>
        <row r="1216">
          <cell r="A1216">
            <v>130421</v>
          </cell>
          <cell r="BB1216">
            <v>6</v>
          </cell>
        </row>
        <row r="1217">
          <cell r="A1217">
            <v>130422</v>
          </cell>
          <cell r="BB1217">
            <v>6</v>
          </cell>
        </row>
        <row r="1218">
          <cell r="A1218">
            <v>130423</v>
          </cell>
          <cell r="BB1218">
            <v>6</v>
          </cell>
        </row>
        <row r="1219">
          <cell r="A1219">
            <v>130424</v>
          </cell>
          <cell r="BB1219">
            <v>6</v>
          </cell>
        </row>
        <row r="1220">
          <cell r="A1220">
            <v>130425</v>
          </cell>
          <cell r="BB1220">
            <v>6</v>
          </cell>
        </row>
        <row r="1221">
          <cell r="A1221">
            <v>130426</v>
          </cell>
          <cell r="BB1221">
            <v>6</v>
          </cell>
        </row>
        <row r="1222">
          <cell r="A1222">
            <v>130427</v>
          </cell>
          <cell r="BB1222">
            <v>6</v>
          </cell>
        </row>
        <row r="1223">
          <cell r="A1223">
            <v>130428</v>
          </cell>
          <cell r="BB1223">
            <v>6</v>
          </cell>
        </row>
        <row r="1224">
          <cell r="A1224">
            <v>130429</v>
          </cell>
          <cell r="BB1224">
            <v>6</v>
          </cell>
        </row>
        <row r="1225">
          <cell r="A1225">
            <v>130430</v>
          </cell>
          <cell r="BB1225">
            <v>6</v>
          </cell>
        </row>
        <row r="1226">
          <cell r="A1226">
            <v>130431</v>
          </cell>
          <cell r="BB1226">
            <v>7</v>
          </cell>
        </row>
        <row r="1227">
          <cell r="A1227">
            <v>130432</v>
          </cell>
          <cell r="BB1227">
            <v>7</v>
          </cell>
        </row>
        <row r="1228">
          <cell r="A1228">
            <v>130433</v>
          </cell>
          <cell r="BB1228">
            <v>7</v>
          </cell>
        </row>
        <row r="1229">
          <cell r="A1229">
            <v>130434</v>
          </cell>
          <cell r="BB1229">
            <v>7</v>
          </cell>
        </row>
        <row r="1230">
          <cell r="A1230">
            <v>130435</v>
          </cell>
          <cell r="BB1230">
            <v>7</v>
          </cell>
        </row>
        <row r="1231">
          <cell r="A1231">
            <v>130436</v>
          </cell>
          <cell r="BB1231">
            <v>7</v>
          </cell>
        </row>
        <row r="1232">
          <cell r="A1232">
            <v>130437</v>
          </cell>
          <cell r="BB1232">
            <v>7</v>
          </cell>
        </row>
        <row r="1233">
          <cell r="A1233">
            <v>130438</v>
          </cell>
          <cell r="BB1233">
            <v>7</v>
          </cell>
        </row>
        <row r="1234">
          <cell r="A1234">
            <v>130439</v>
          </cell>
          <cell r="BB1234">
            <v>7</v>
          </cell>
        </row>
        <row r="1235">
          <cell r="A1235">
            <v>130440</v>
          </cell>
          <cell r="BB1235">
            <v>7</v>
          </cell>
        </row>
        <row r="1236">
          <cell r="A1236">
            <v>130441</v>
          </cell>
          <cell r="BB1236">
            <v>8</v>
          </cell>
        </row>
        <row r="1237">
          <cell r="A1237">
            <v>130442</v>
          </cell>
          <cell r="BB1237">
            <v>8</v>
          </cell>
        </row>
        <row r="1238">
          <cell r="A1238">
            <v>130443</v>
          </cell>
          <cell r="BB1238">
            <v>8</v>
          </cell>
        </row>
        <row r="1239">
          <cell r="A1239">
            <v>130444</v>
          </cell>
          <cell r="BB1239">
            <v>8</v>
          </cell>
        </row>
        <row r="1240">
          <cell r="A1240">
            <v>130445</v>
          </cell>
          <cell r="BB1240">
            <v>8</v>
          </cell>
        </row>
        <row r="1241">
          <cell r="A1241">
            <v>130446</v>
          </cell>
          <cell r="BB1241">
            <v>8</v>
          </cell>
        </row>
        <row r="1242">
          <cell r="A1242">
            <v>130447</v>
          </cell>
          <cell r="BB1242">
            <v>8</v>
          </cell>
        </row>
        <row r="1243">
          <cell r="A1243">
            <v>130448</v>
          </cell>
          <cell r="BB1243">
            <v>8</v>
          </cell>
        </row>
        <row r="1244">
          <cell r="A1244">
            <v>130449</v>
          </cell>
          <cell r="BB1244">
            <v>8</v>
          </cell>
        </row>
        <row r="1245">
          <cell r="A1245">
            <v>130450</v>
          </cell>
          <cell r="BB1245">
            <v>8</v>
          </cell>
        </row>
        <row r="1246">
          <cell r="A1246">
            <v>130451</v>
          </cell>
          <cell r="BB1246">
            <v>1</v>
          </cell>
        </row>
        <row r="1247">
          <cell r="A1247">
            <v>130452</v>
          </cell>
          <cell r="BB1247">
            <v>1</v>
          </cell>
        </row>
        <row r="1248">
          <cell r="A1248">
            <v>130453</v>
          </cell>
          <cell r="BB1248">
            <v>1</v>
          </cell>
        </row>
        <row r="1249">
          <cell r="A1249">
            <v>130454</v>
          </cell>
          <cell r="BB1249">
            <v>1</v>
          </cell>
        </row>
        <row r="1250">
          <cell r="A1250">
            <v>130455</v>
          </cell>
          <cell r="BB1250">
            <v>1</v>
          </cell>
        </row>
        <row r="1251">
          <cell r="A1251">
            <v>130456</v>
          </cell>
          <cell r="BB1251">
            <v>1</v>
          </cell>
        </row>
        <row r="1252">
          <cell r="A1252">
            <v>130457</v>
          </cell>
          <cell r="BB1252">
            <v>1</v>
          </cell>
        </row>
        <row r="1253">
          <cell r="A1253">
            <v>130458</v>
          </cell>
          <cell r="BB1253">
            <v>1</v>
          </cell>
        </row>
        <row r="1254">
          <cell r="A1254">
            <v>130459</v>
          </cell>
          <cell r="BB1254">
            <v>1</v>
          </cell>
        </row>
        <row r="1255">
          <cell r="A1255">
            <v>130460</v>
          </cell>
          <cell r="BB1255">
            <v>1</v>
          </cell>
        </row>
        <row r="1256">
          <cell r="A1256">
            <v>130461</v>
          </cell>
          <cell r="BB1256">
            <v>2</v>
          </cell>
        </row>
        <row r="1257">
          <cell r="A1257">
            <v>130462</v>
          </cell>
          <cell r="BB1257">
            <v>2</v>
          </cell>
        </row>
        <row r="1258">
          <cell r="A1258">
            <v>130463</v>
          </cell>
          <cell r="BB1258">
            <v>2</v>
          </cell>
        </row>
        <row r="1259">
          <cell r="A1259">
            <v>130464</v>
          </cell>
          <cell r="BB1259">
            <v>2</v>
          </cell>
        </row>
        <row r="1260">
          <cell r="A1260">
            <v>130465</v>
          </cell>
          <cell r="BB1260">
            <v>2</v>
          </cell>
        </row>
        <row r="1261">
          <cell r="A1261">
            <v>130466</v>
          </cell>
          <cell r="BB1261">
            <v>2</v>
          </cell>
        </row>
        <row r="1262">
          <cell r="A1262">
            <v>130467</v>
          </cell>
          <cell r="BB1262">
            <v>2</v>
          </cell>
        </row>
        <row r="1263">
          <cell r="A1263">
            <v>130468</v>
          </cell>
          <cell r="BB1263">
            <v>2</v>
          </cell>
        </row>
        <row r="1264">
          <cell r="A1264">
            <v>130469</v>
          </cell>
          <cell r="BB1264">
            <v>2</v>
          </cell>
        </row>
        <row r="1265">
          <cell r="A1265">
            <v>130470</v>
          </cell>
          <cell r="BB1265">
            <v>2</v>
          </cell>
        </row>
        <row r="1266">
          <cell r="A1266">
            <v>130471</v>
          </cell>
          <cell r="BB1266">
            <v>3</v>
          </cell>
        </row>
        <row r="1267">
          <cell r="A1267">
            <v>130472</v>
          </cell>
          <cell r="BB1267">
            <v>3</v>
          </cell>
        </row>
        <row r="1268">
          <cell r="A1268">
            <v>130473</v>
          </cell>
          <cell r="BB1268">
            <v>3</v>
          </cell>
        </row>
        <row r="1269">
          <cell r="A1269">
            <v>130474</v>
          </cell>
          <cell r="BB1269">
            <v>3</v>
          </cell>
        </row>
        <row r="1270">
          <cell r="A1270">
            <v>130475</v>
          </cell>
          <cell r="BB1270">
            <v>3</v>
          </cell>
        </row>
        <row r="1271">
          <cell r="A1271">
            <v>130476</v>
          </cell>
          <cell r="BB1271">
            <v>3</v>
          </cell>
        </row>
        <row r="1272">
          <cell r="A1272">
            <v>130477</v>
          </cell>
          <cell r="BB1272">
            <v>3</v>
          </cell>
        </row>
        <row r="1273">
          <cell r="A1273">
            <v>130478</v>
          </cell>
          <cell r="BB1273">
            <v>3</v>
          </cell>
        </row>
        <row r="1274">
          <cell r="A1274">
            <v>130479</v>
          </cell>
          <cell r="BB1274">
            <v>3</v>
          </cell>
        </row>
        <row r="1275">
          <cell r="A1275">
            <v>130480</v>
          </cell>
          <cell r="BB1275">
            <v>3</v>
          </cell>
        </row>
        <row r="1276">
          <cell r="A1276">
            <v>130481</v>
          </cell>
          <cell r="BB1276">
            <v>4</v>
          </cell>
        </row>
        <row r="1277">
          <cell r="A1277">
            <v>130482</v>
          </cell>
          <cell r="BB1277">
            <v>4</v>
          </cell>
        </row>
        <row r="1278">
          <cell r="A1278">
            <v>130483</v>
          </cell>
          <cell r="BB1278">
            <v>4</v>
          </cell>
        </row>
        <row r="1279">
          <cell r="A1279">
            <v>130484</v>
          </cell>
          <cell r="BB1279">
            <v>4</v>
          </cell>
        </row>
        <row r="1280">
          <cell r="A1280">
            <v>130485</v>
          </cell>
          <cell r="BB1280">
            <v>4</v>
          </cell>
        </row>
        <row r="1281">
          <cell r="A1281">
            <v>130486</v>
          </cell>
          <cell r="BB1281">
            <v>4</v>
          </cell>
        </row>
        <row r="1282">
          <cell r="A1282">
            <v>130487</v>
          </cell>
          <cell r="BB1282">
            <v>4</v>
          </cell>
        </row>
        <row r="1283">
          <cell r="A1283">
            <v>130488</v>
          </cell>
          <cell r="BB1283">
            <v>4</v>
          </cell>
        </row>
        <row r="1284">
          <cell r="A1284">
            <v>130489</v>
          </cell>
          <cell r="BB1284">
            <v>4</v>
          </cell>
        </row>
        <row r="1285">
          <cell r="A1285">
            <v>130490</v>
          </cell>
          <cell r="BB1285">
            <v>4</v>
          </cell>
        </row>
        <row r="1286">
          <cell r="A1286">
            <v>130491</v>
          </cell>
          <cell r="BB1286">
            <v>5</v>
          </cell>
        </row>
        <row r="1287">
          <cell r="A1287">
            <v>130492</v>
          </cell>
          <cell r="BB1287">
            <v>5</v>
          </cell>
        </row>
        <row r="1288">
          <cell r="A1288">
            <v>130493</v>
          </cell>
          <cell r="BB1288">
            <v>5</v>
          </cell>
        </row>
        <row r="1289">
          <cell r="A1289">
            <v>130494</v>
          </cell>
          <cell r="BB1289">
            <v>5</v>
          </cell>
        </row>
        <row r="1290">
          <cell r="A1290">
            <v>130495</v>
          </cell>
          <cell r="BB1290">
            <v>5</v>
          </cell>
        </row>
        <row r="1291">
          <cell r="A1291">
            <v>130496</v>
          </cell>
          <cell r="BB1291">
            <v>5</v>
          </cell>
        </row>
        <row r="1292">
          <cell r="A1292">
            <v>130497</v>
          </cell>
          <cell r="BB1292">
            <v>5</v>
          </cell>
        </row>
        <row r="1293">
          <cell r="A1293">
            <v>130498</v>
          </cell>
          <cell r="BB1293">
            <v>5</v>
          </cell>
        </row>
        <row r="1294">
          <cell r="A1294">
            <v>130499</v>
          </cell>
          <cell r="BB1294">
            <v>5</v>
          </cell>
        </row>
        <row r="1295">
          <cell r="A1295">
            <v>130500</v>
          </cell>
          <cell r="BB1295">
            <v>5</v>
          </cell>
        </row>
        <row r="1296">
          <cell r="A1296">
            <v>130501</v>
          </cell>
          <cell r="BB1296">
            <v>6</v>
          </cell>
        </row>
        <row r="1297">
          <cell r="A1297">
            <v>130502</v>
          </cell>
          <cell r="BB1297">
            <v>6</v>
          </cell>
        </row>
        <row r="1298">
          <cell r="A1298">
            <v>130503</v>
          </cell>
          <cell r="BB1298">
            <v>6</v>
          </cell>
        </row>
        <row r="1299">
          <cell r="A1299">
            <v>130504</v>
          </cell>
          <cell r="BB1299">
            <v>6</v>
          </cell>
        </row>
        <row r="1300">
          <cell r="A1300">
            <v>130505</v>
          </cell>
          <cell r="BB1300">
            <v>6</v>
          </cell>
        </row>
        <row r="1301">
          <cell r="A1301">
            <v>130506</v>
          </cell>
          <cell r="BB1301">
            <v>6</v>
          </cell>
        </row>
        <row r="1302">
          <cell r="A1302">
            <v>130507</v>
          </cell>
          <cell r="BB1302">
            <v>6</v>
          </cell>
        </row>
        <row r="1303">
          <cell r="A1303">
            <v>130508</v>
          </cell>
          <cell r="BB1303">
            <v>6</v>
          </cell>
        </row>
        <row r="1304">
          <cell r="A1304">
            <v>130509</v>
          </cell>
          <cell r="BB1304">
            <v>6</v>
          </cell>
        </row>
        <row r="1305">
          <cell r="A1305">
            <v>130510</v>
          </cell>
          <cell r="BB1305">
            <v>6</v>
          </cell>
        </row>
        <row r="1306">
          <cell r="A1306">
            <v>130511</v>
          </cell>
          <cell r="BB1306">
            <v>7</v>
          </cell>
        </row>
        <row r="1307">
          <cell r="A1307">
            <v>130512</v>
          </cell>
          <cell r="BB1307">
            <v>7</v>
          </cell>
        </row>
        <row r="1308">
          <cell r="A1308">
            <v>130513</v>
          </cell>
          <cell r="BB1308">
            <v>7</v>
          </cell>
        </row>
        <row r="1309">
          <cell r="A1309">
            <v>130514</v>
          </cell>
          <cell r="BB1309">
            <v>7</v>
          </cell>
        </row>
        <row r="1310">
          <cell r="A1310">
            <v>130515</v>
          </cell>
          <cell r="BB1310">
            <v>7</v>
          </cell>
        </row>
        <row r="1311">
          <cell r="A1311">
            <v>130516</v>
          </cell>
          <cell r="BB1311">
            <v>7</v>
          </cell>
        </row>
        <row r="1312">
          <cell r="A1312">
            <v>130517</v>
          </cell>
          <cell r="BB1312">
            <v>7</v>
          </cell>
        </row>
        <row r="1313">
          <cell r="A1313">
            <v>130518</v>
          </cell>
          <cell r="BB1313">
            <v>7</v>
          </cell>
        </row>
        <row r="1314">
          <cell r="A1314">
            <v>130519</v>
          </cell>
          <cell r="BB1314">
            <v>7</v>
          </cell>
        </row>
        <row r="1315">
          <cell r="A1315">
            <v>130520</v>
          </cell>
          <cell r="BB1315">
            <v>7</v>
          </cell>
        </row>
        <row r="1316">
          <cell r="A1316">
            <v>130521</v>
          </cell>
          <cell r="BB1316">
            <v>8</v>
          </cell>
        </row>
        <row r="1317">
          <cell r="A1317">
            <v>130522</v>
          </cell>
          <cell r="BB1317">
            <v>8</v>
          </cell>
        </row>
        <row r="1318">
          <cell r="A1318">
            <v>130523</v>
          </cell>
          <cell r="BB1318">
            <v>8</v>
          </cell>
        </row>
        <row r="1319">
          <cell r="A1319">
            <v>130524</v>
          </cell>
          <cell r="BB1319">
            <v>8</v>
          </cell>
        </row>
        <row r="1320">
          <cell r="A1320">
            <v>130525</v>
          </cell>
          <cell r="BB1320">
            <v>8</v>
          </cell>
        </row>
        <row r="1321">
          <cell r="A1321">
            <v>130526</v>
          </cell>
          <cell r="BB1321">
            <v>8</v>
          </cell>
        </row>
        <row r="1322">
          <cell r="A1322">
            <v>130527</v>
          </cell>
          <cell r="BB1322">
            <v>8</v>
          </cell>
        </row>
        <row r="1323">
          <cell r="A1323">
            <v>130528</v>
          </cell>
          <cell r="BB1323">
            <v>8</v>
          </cell>
        </row>
        <row r="1324">
          <cell r="A1324">
            <v>130529</v>
          </cell>
          <cell r="BB1324">
            <v>8</v>
          </cell>
        </row>
        <row r="1325">
          <cell r="A1325">
            <v>130530</v>
          </cell>
          <cell r="BB1325">
            <v>8</v>
          </cell>
        </row>
        <row r="1326">
          <cell r="A1326">
            <v>130531</v>
          </cell>
          <cell r="BB1326">
            <v>9</v>
          </cell>
        </row>
        <row r="1327">
          <cell r="A1327">
            <v>130532</v>
          </cell>
          <cell r="BB1327">
            <v>9</v>
          </cell>
        </row>
        <row r="1328">
          <cell r="A1328">
            <v>130533</v>
          </cell>
          <cell r="BB1328">
            <v>9</v>
          </cell>
        </row>
        <row r="1329">
          <cell r="A1329">
            <v>130534</v>
          </cell>
          <cell r="BB1329">
            <v>9</v>
          </cell>
        </row>
        <row r="1330">
          <cell r="A1330">
            <v>130535</v>
          </cell>
          <cell r="BB1330">
            <v>9</v>
          </cell>
        </row>
        <row r="1331">
          <cell r="A1331">
            <v>130536</v>
          </cell>
          <cell r="BB1331">
            <v>9</v>
          </cell>
        </row>
        <row r="1332">
          <cell r="A1332">
            <v>130537</v>
          </cell>
          <cell r="BB1332">
            <v>9</v>
          </cell>
        </row>
        <row r="1333">
          <cell r="A1333">
            <v>130538</v>
          </cell>
          <cell r="BB1333">
            <v>9</v>
          </cell>
        </row>
        <row r="1334">
          <cell r="A1334">
            <v>130539</v>
          </cell>
          <cell r="BB1334">
            <v>9</v>
          </cell>
        </row>
        <row r="1335">
          <cell r="A1335">
            <v>130540</v>
          </cell>
          <cell r="BB1335">
            <v>9</v>
          </cell>
        </row>
        <row r="1336">
          <cell r="A1336">
            <v>130541</v>
          </cell>
          <cell r="BB1336">
            <v>10</v>
          </cell>
        </row>
        <row r="1337">
          <cell r="A1337">
            <v>130542</v>
          </cell>
          <cell r="BB1337">
            <v>10</v>
          </cell>
        </row>
        <row r="1338">
          <cell r="A1338">
            <v>130543</v>
          </cell>
          <cell r="BB1338">
            <v>10</v>
          </cell>
        </row>
        <row r="1339">
          <cell r="A1339">
            <v>130544</v>
          </cell>
          <cell r="BB1339">
            <v>10</v>
          </cell>
        </row>
        <row r="1340">
          <cell r="A1340">
            <v>130545</v>
          </cell>
          <cell r="BB1340">
            <v>10</v>
          </cell>
        </row>
        <row r="1341">
          <cell r="A1341">
            <v>130546</v>
          </cell>
          <cell r="BB1341">
            <v>10</v>
          </cell>
        </row>
        <row r="1342">
          <cell r="A1342">
            <v>130547</v>
          </cell>
          <cell r="BB1342">
            <v>10</v>
          </cell>
        </row>
        <row r="1343">
          <cell r="A1343">
            <v>130548</v>
          </cell>
          <cell r="BB1343">
            <v>10</v>
          </cell>
        </row>
        <row r="1344">
          <cell r="A1344">
            <v>130549</v>
          </cell>
          <cell r="BB1344">
            <v>10</v>
          </cell>
        </row>
        <row r="1345">
          <cell r="A1345">
            <v>130550</v>
          </cell>
          <cell r="BB1345">
            <v>10</v>
          </cell>
        </row>
        <row r="1346">
          <cell r="A1346">
            <v>130551</v>
          </cell>
          <cell r="BB1346">
            <v>11</v>
          </cell>
        </row>
        <row r="1347">
          <cell r="A1347">
            <v>130552</v>
          </cell>
          <cell r="BB1347">
            <v>11</v>
          </cell>
        </row>
        <row r="1348">
          <cell r="A1348">
            <v>130553</v>
          </cell>
          <cell r="BB1348">
            <v>11</v>
          </cell>
        </row>
        <row r="1349">
          <cell r="A1349">
            <v>130554</v>
          </cell>
          <cell r="BB1349">
            <v>11</v>
          </cell>
        </row>
        <row r="1350">
          <cell r="A1350">
            <v>130555</v>
          </cell>
          <cell r="BB1350">
            <v>11</v>
          </cell>
        </row>
        <row r="1351">
          <cell r="A1351">
            <v>130556</v>
          </cell>
          <cell r="BB1351">
            <v>1</v>
          </cell>
        </row>
        <row r="1352">
          <cell r="A1352">
            <v>130557</v>
          </cell>
          <cell r="BB1352">
            <v>1</v>
          </cell>
        </row>
        <row r="1353">
          <cell r="A1353">
            <v>130558</v>
          </cell>
          <cell r="BB1353">
            <v>1</v>
          </cell>
        </row>
        <row r="1354">
          <cell r="A1354">
            <v>130559</v>
          </cell>
          <cell r="BB1354">
            <v>1</v>
          </cell>
        </row>
        <row r="1355">
          <cell r="A1355">
            <v>130560</v>
          </cell>
          <cell r="BB1355">
            <v>1</v>
          </cell>
        </row>
        <row r="1356">
          <cell r="A1356">
            <v>130561</v>
          </cell>
          <cell r="BB1356">
            <v>1</v>
          </cell>
        </row>
        <row r="1357">
          <cell r="A1357">
            <v>130562</v>
          </cell>
          <cell r="BB1357">
            <v>1</v>
          </cell>
        </row>
        <row r="1358">
          <cell r="A1358">
            <v>130563</v>
          </cell>
          <cell r="BB1358">
            <v>1</v>
          </cell>
        </row>
        <row r="1359">
          <cell r="A1359">
            <v>130564</v>
          </cell>
          <cell r="BB1359">
            <v>1</v>
          </cell>
        </row>
        <row r="1360">
          <cell r="A1360">
            <v>130565</v>
          </cell>
          <cell r="BB1360">
            <v>1</v>
          </cell>
        </row>
        <row r="1361">
          <cell r="A1361">
            <v>130566</v>
          </cell>
          <cell r="BB1361">
            <v>2</v>
          </cell>
        </row>
        <row r="1362">
          <cell r="A1362">
            <v>130567</v>
          </cell>
          <cell r="BB1362">
            <v>2</v>
          </cell>
        </row>
        <row r="1363">
          <cell r="A1363">
            <v>130568</v>
          </cell>
          <cell r="BB1363">
            <v>2</v>
          </cell>
        </row>
        <row r="1364">
          <cell r="A1364">
            <v>130569</v>
          </cell>
          <cell r="BB1364">
            <v>2</v>
          </cell>
        </row>
        <row r="1365">
          <cell r="A1365">
            <v>130570</v>
          </cell>
          <cell r="BB1365">
            <v>2</v>
          </cell>
        </row>
        <row r="1366">
          <cell r="A1366">
            <v>130571</v>
          </cell>
          <cell r="BB1366">
            <v>2</v>
          </cell>
        </row>
        <row r="1367">
          <cell r="A1367">
            <v>130572</v>
          </cell>
          <cell r="BB1367">
            <v>2</v>
          </cell>
        </row>
        <row r="1368">
          <cell r="A1368">
            <v>130573</v>
          </cell>
          <cell r="BB1368">
            <v>2</v>
          </cell>
        </row>
        <row r="1369">
          <cell r="A1369">
            <v>130574</v>
          </cell>
          <cell r="BB1369">
            <v>2</v>
          </cell>
        </row>
        <row r="1370">
          <cell r="A1370">
            <v>130575</v>
          </cell>
          <cell r="BB1370">
            <v>2</v>
          </cell>
        </row>
        <row r="1371">
          <cell r="A1371">
            <v>130576</v>
          </cell>
          <cell r="BB1371">
            <v>3</v>
          </cell>
        </row>
        <row r="1372">
          <cell r="A1372">
            <v>130577</v>
          </cell>
          <cell r="BB1372">
            <v>3</v>
          </cell>
        </row>
        <row r="1373">
          <cell r="A1373">
            <v>130578</v>
          </cell>
          <cell r="BB1373">
            <v>3</v>
          </cell>
        </row>
        <row r="1374">
          <cell r="A1374">
            <v>130579</v>
          </cell>
          <cell r="BB1374">
            <v>3</v>
          </cell>
        </row>
        <row r="1375">
          <cell r="A1375">
            <v>130580</v>
          </cell>
          <cell r="BB1375">
            <v>3</v>
          </cell>
        </row>
        <row r="1376">
          <cell r="A1376">
            <v>130581</v>
          </cell>
          <cell r="BB1376">
            <v>3</v>
          </cell>
        </row>
        <row r="1377">
          <cell r="A1377">
            <v>130582</v>
          </cell>
          <cell r="BB1377">
            <v>3</v>
          </cell>
        </row>
        <row r="1378">
          <cell r="A1378">
            <v>130583</v>
          </cell>
          <cell r="BB1378">
            <v>3</v>
          </cell>
        </row>
        <row r="1379">
          <cell r="A1379">
            <v>130584</v>
          </cell>
          <cell r="BB1379">
            <v>3</v>
          </cell>
        </row>
        <row r="1380">
          <cell r="A1380">
            <v>130585</v>
          </cell>
          <cell r="BB1380">
            <v>3</v>
          </cell>
        </row>
        <row r="1381">
          <cell r="A1381">
            <v>130586</v>
          </cell>
          <cell r="BB1381">
            <v>4</v>
          </cell>
        </row>
        <row r="1382">
          <cell r="A1382">
            <v>130587</v>
          </cell>
          <cell r="BB1382">
            <v>4</v>
          </cell>
        </row>
        <row r="1383">
          <cell r="A1383">
            <v>130588</v>
          </cell>
          <cell r="BB1383">
            <v>4</v>
          </cell>
        </row>
        <row r="1384">
          <cell r="A1384">
            <v>130589</v>
          </cell>
          <cell r="BB1384">
            <v>4</v>
          </cell>
        </row>
        <row r="1385">
          <cell r="A1385">
            <v>130590</v>
          </cell>
          <cell r="BB1385">
            <v>4</v>
          </cell>
        </row>
        <row r="1386">
          <cell r="A1386">
            <v>130591</v>
          </cell>
          <cell r="BB1386">
            <v>4</v>
          </cell>
        </row>
        <row r="1387">
          <cell r="A1387">
            <v>130592</v>
          </cell>
          <cell r="BB1387">
            <v>4</v>
          </cell>
        </row>
        <row r="1388">
          <cell r="A1388">
            <v>130593</v>
          </cell>
          <cell r="BB1388">
            <v>4</v>
          </cell>
        </row>
        <row r="1389">
          <cell r="A1389">
            <v>130594</v>
          </cell>
          <cell r="BB1389">
            <v>4</v>
          </cell>
        </row>
        <row r="1390">
          <cell r="A1390">
            <v>130595</v>
          </cell>
          <cell r="BB1390">
            <v>4</v>
          </cell>
        </row>
        <row r="1391">
          <cell r="A1391">
            <v>130596</v>
          </cell>
          <cell r="BB1391">
            <v>5</v>
          </cell>
        </row>
        <row r="1392">
          <cell r="A1392">
            <v>130597</v>
          </cell>
          <cell r="BB1392">
            <v>5</v>
          </cell>
        </row>
        <row r="1393">
          <cell r="A1393">
            <v>130598</v>
          </cell>
          <cell r="BB1393">
            <v>5</v>
          </cell>
        </row>
        <row r="1394">
          <cell r="A1394">
            <v>130599</v>
          </cell>
          <cell r="BB1394">
            <v>5</v>
          </cell>
        </row>
        <row r="1395">
          <cell r="A1395">
            <v>130600</v>
          </cell>
          <cell r="BB1395">
            <v>5</v>
          </cell>
        </row>
        <row r="1396">
          <cell r="A1396">
            <v>130601</v>
          </cell>
          <cell r="BB1396">
            <v>5</v>
          </cell>
        </row>
        <row r="1397">
          <cell r="A1397">
            <v>130602</v>
          </cell>
          <cell r="BB1397">
            <v>5</v>
          </cell>
        </row>
        <row r="1398">
          <cell r="A1398">
            <v>130603</v>
          </cell>
          <cell r="BB1398">
            <v>5</v>
          </cell>
        </row>
        <row r="1399">
          <cell r="A1399">
            <v>130604</v>
          </cell>
          <cell r="BB1399">
            <v>5</v>
          </cell>
        </row>
        <row r="1400">
          <cell r="A1400">
            <v>130605</v>
          </cell>
          <cell r="BB1400">
            <v>5</v>
          </cell>
        </row>
        <row r="1401">
          <cell r="A1401">
            <v>130606</v>
          </cell>
          <cell r="BB1401">
            <v>6</v>
          </cell>
        </row>
        <row r="1402">
          <cell r="A1402">
            <v>130607</v>
          </cell>
          <cell r="BB1402">
            <v>6</v>
          </cell>
        </row>
        <row r="1403">
          <cell r="A1403">
            <v>130608</v>
          </cell>
          <cell r="BB1403">
            <v>6</v>
          </cell>
        </row>
        <row r="1404">
          <cell r="A1404">
            <v>130609</v>
          </cell>
          <cell r="BB1404">
            <v>6</v>
          </cell>
        </row>
        <row r="1405">
          <cell r="A1405">
            <v>130610</v>
          </cell>
          <cell r="BB1405">
            <v>6</v>
          </cell>
        </row>
        <row r="1406">
          <cell r="A1406">
            <v>130611</v>
          </cell>
          <cell r="BB1406">
            <v>6</v>
          </cell>
        </row>
        <row r="1407">
          <cell r="A1407">
            <v>130612</v>
          </cell>
          <cell r="BB1407">
            <v>6</v>
          </cell>
        </row>
        <row r="1408">
          <cell r="A1408">
            <v>130613</v>
          </cell>
          <cell r="BB1408">
            <v>6</v>
          </cell>
        </row>
        <row r="1409">
          <cell r="A1409">
            <v>130614</v>
          </cell>
          <cell r="BB1409">
            <v>6</v>
          </cell>
        </row>
        <row r="1410">
          <cell r="A1410">
            <v>130615</v>
          </cell>
          <cell r="BB1410">
            <v>6</v>
          </cell>
        </row>
        <row r="1411">
          <cell r="A1411">
            <v>130616</v>
          </cell>
          <cell r="BB1411">
            <v>7</v>
          </cell>
        </row>
        <row r="1412">
          <cell r="A1412">
            <v>130617</v>
          </cell>
          <cell r="BB1412">
            <v>7</v>
          </cell>
        </row>
        <row r="1413">
          <cell r="A1413">
            <v>130618</v>
          </cell>
          <cell r="BB1413">
            <v>7</v>
          </cell>
        </row>
        <row r="1414">
          <cell r="A1414">
            <v>130619</v>
          </cell>
          <cell r="BB1414">
            <v>7</v>
          </cell>
        </row>
        <row r="1415">
          <cell r="A1415">
            <v>130620</v>
          </cell>
          <cell r="BB1415">
            <v>7</v>
          </cell>
        </row>
        <row r="1416">
          <cell r="A1416">
            <v>130621</v>
          </cell>
          <cell r="BB1416">
            <v>7</v>
          </cell>
        </row>
        <row r="1417">
          <cell r="A1417">
            <v>130622</v>
          </cell>
          <cell r="BB1417">
            <v>7</v>
          </cell>
        </row>
        <row r="1418">
          <cell r="A1418">
            <v>130623</v>
          </cell>
          <cell r="BB1418">
            <v>7</v>
          </cell>
        </row>
        <row r="1419">
          <cell r="A1419">
            <v>130624</v>
          </cell>
          <cell r="BB1419">
            <v>7</v>
          </cell>
        </row>
        <row r="1420">
          <cell r="A1420">
            <v>130625</v>
          </cell>
          <cell r="BB1420">
            <v>7</v>
          </cell>
        </row>
        <row r="1421">
          <cell r="A1421">
            <v>130626</v>
          </cell>
          <cell r="BB1421">
            <v>8</v>
          </cell>
        </row>
        <row r="1422">
          <cell r="A1422">
            <v>130627</v>
          </cell>
          <cell r="BB1422">
            <v>8</v>
          </cell>
        </row>
        <row r="1423">
          <cell r="A1423">
            <v>130628</v>
          </cell>
          <cell r="BB1423">
            <v>8</v>
          </cell>
        </row>
        <row r="1424">
          <cell r="A1424">
            <v>130629</v>
          </cell>
          <cell r="BB1424">
            <v>8</v>
          </cell>
        </row>
        <row r="1425">
          <cell r="A1425">
            <v>130630</v>
          </cell>
          <cell r="BB1425">
            <v>8</v>
          </cell>
        </row>
        <row r="1426">
          <cell r="A1426">
            <v>130631</v>
          </cell>
          <cell r="BB1426">
            <v>8</v>
          </cell>
        </row>
        <row r="1427">
          <cell r="A1427">
            <v>130632</v>
          </cell>
          <cell r="BB1427">
            <v>8</v>
          </cell>
        </row>
        <row r="1428">
          <cell r="A1428">
            <v>130633</v>
          </cell>
          <cell r="BB1428">
            <v>8</v>
          </cell>
        </row>
        <row r="1429">
          <cell r="A1429">
            <v>130634</v>
          </cell>
          <cell r="BB1429">
            <v>8</v>
          </cell>
        </row>
        <row r="1430">
          <cell r="A1430">
            <v>130635</v>
          </cell>
          <cell r="BB1430">
            <v>8</v>
          </cell>
        </row>
        <row r="1431">
          <cell r="A1431">
            <v>130636</v>
          </cell>
          <cell r="BB1431">
            <v>1</v>
          </cell>
        </row>
        <row r="1432">
          <cell r="A1432">
            <v>130637</v>
          </cell>
          <cell r="BB1432">
            <v>1</v>
          </cell>
        </row>
        <row r="1433">
          <cell r="A1433">
            <v>130638</v>
          </cell>
          <cell r="BB1433">
            <v>1</v>
          </cell>
        </row>
        <row r="1434">
          <cell r="A1434">
            <v>130639</v>
          </cell>
          <cell r="BB1434">
            <v>1</v>
          </cell>
        </row>
        <row r="1435">
          <cell r="A1435">
            <v>130640</v>
          </cell>
          <cell r="BB1435">
            <v>1</v>
          </cell>
        </row>
        <row r="1436">
          <cell r="A1436">
            <v>130641</v>
          </cell>
          <cell r="BB1436">
            <v>1</v>
          </cell>
        </row>
        <row r="1437">
          <cell r="A1437">
            <v>130642</v>
          </cell>
          <cell r="BB1437">
            <v>1</v>
          </cell>
        </row>
        <row r="1438">
          <cell r="A1438">
            <v>130643</v>
          </cell>
          <cell r="BB1438">
            <v>1</v>
          </cell>
        </row>
        <row r="1439">
          <cell r="A1439">
            <v>130644</v>
          </cell>
          <cell r="BB1439">
            <v>1</v>
          </cell>
        </row>
        <row r="1440">
          <cell r="A1440">
            <v>130645</v>
          </cell>
          <cell r="BB1440">
            <v>1</v>
          </cell>
        </row>
        <row r="1441">
          <cell r="A1441">
            <v>130646</v>
          </cell>
          <cell r="BB1441">
            <v>2</v>
          </cell>
        </row>
        <row r="1442">
          <cell r="A1442">
            <v>130647</v>
          </cell>
          <cell r="BB1442">
            <v>2</v>
          </cell>
        </row>
        <row r="1443">
          <cell r="A1443">
            <v>130648</v>
          </cell>
          <cell r="BB1443">
            <v>2</v>
          </cell>
        </row>
        <row r="1444">
          <cell r="A1444">
            <v>130649</v>
          </cell>
          <cell r="BB1444">
            <v>2</v>
          </cell>
        </row>
        <row r="1445">
          <cell r="A1445">
            <v>130650</v>
          </cell>
          <cell r="BB1445">
            <v>2</v>
          </cell>
        </row>
        <row r="1446">
          <cell r="A1446">
            <v>130651</v>
          </cell>
          <cell r="BB1446">
            <v>2</v>
          </cell>
        </row>
        <row r="1447">
          <cell r="A1447">
            <v>130652</v>
          </cell>
          <cell r="BB1447">
            <v>2</v>
          </cell>
        </row>
        <row r="1448">
          <cell r="A1448">
            <v>130653</v>
          </cell>
          <cell r="BB1448">
            <v>2</v>
          </cell>
        </row>
        <row r="1449">
          <cell r="A1449">
            <v>130654</v>
          </cell>
          <cell r="BB1449">
            <v>2</v>
          </cell>
        </row>
        <row r="1450">
          <cell r="A1450">
            <v>130655</v>
          </cell>
          <cell r="BB1450">
            <v>2</v>
          </cell>
        </row>
        <row r="1451">
          <cell r="A1451">
            <v>130656</v>
          </cell>
          <cell r="BB1451">
            <v>3</v>
          </cell>
        </row>
        <row r="1452">
          <cell r="A1452">
            <v>130657</v>
          </cell>
          <cell r="BB1452">
            <v>3</v>
          </cell>
        </row>
        <row r="1453">
          <cell r="A1453">
            <v>130658</v>
          </cell>
          <cell r="BB1453">
            <v>3</v>
          </cell>
        </row>
        <row r="1454">
          <cell r="A1454">
            <v>130659</v>
          </cell>
          <cell r="BB1454">
            <v>3</v>
          </cell>
        </row>
        <row r="1455">
          <cell r="A1455">
            <v>130660</v>
          </cell>
          <cell r="BB1455">
            <v>3</v>
          </cell>
        </row>
        <row r="1456">
          <cell r="A1456">
            <v>130661</v>
          </cell>
          <cell r="BB1456">
            <v>3</v>
          </cell>
        </row>
        <row r="1457">
          <cell r="A1457">
            <v>130662</v>
          </cell>
          <cell r="BB1457">
            <v>3</v>
          </cell>
        </row>
        <row r="1458">
          <cell r="A1458">
            <v>130663</v>
          </cell>
          <cell r="BB1458">
            <v>3</v>
          </cell>
        </row>
        <row r="1459">
          <cell r="A1459">
            <v>130664</v>
          </cell>
          <cell r="BB1459">
            <v>3</v>
          </cell>
        </row>
        <row r="1460">
          <cell r="A1460">
            <v>130665</v>
          </cell>
          <cell r="BB1460">
            <v>3</v>
          </cell>
        </row>
        <row r="1461">
          <cell r="A1461">
            <v>130666</v>
          </cell>
          <cell r="BB1461">
            <v>4</v>
          </cell>
        </row>
        <row r="1462">
          <cell r="A1462">
            <v>130667</v>
          </cell>
          <cell r="BB1462">
            <v>4</v>
          </cell>
        </row>
        <row r="1463">
          <cell r="A1463">
            <v>130668</v>
          </cell>
          <cell r="BB1463">
            <v>4</v>
          </cell>
        </row>
        <row r="1464">
          <cell r="A1464">
            <v>130669</v>
          </cell>
          <cell r="BB1464">
            <v>4</v>
          </cell>
        </row>
        <row r="1465">
          <cell r="A1465">
            <v>130670</v>
          </cell>
          <cell r="BB1465">
            <v>4</v>
          </cell>
        </row>
        <row r="1466">
          <cell r="A1466">
            <v>130671</v>
          </cell>
          <cell r="BB1466">
            <v>4</v>
          </cell>
        </row>
        <row r="1467">
          <cell r="A1467">
            <v>130672</v>
          </cell>
          <cell r="BB1467">
            <v>4</v>
          </cell>
        </row>
        <row r="1468">
          <cell r="A1468">
            <v>130673</v>
          </cell>
          <cell r="BB1468">
            <v>4</v>
          </cell>
        </row>
        <row r="1469">
          <cell r="A1469">
            <v>130674</v>
          </cell>
          <cell r="BB1469">
            <v>4</v>
          </cell>
        </row>
        <row r="1470">
          <cell r="A1470">
            <v>130675</v>
          </cell>
          <cell r="BB1470">
            <v>4</v>
          </cell>
        </row>
        <row r="1471">
          <cell r="A1471">
            <v>130676</v>
          </cell>
          <cell r="BB1471">
            <v>5</v>
          </cell>
        </row>
        <row r="1472">
          <cell r="A1472">
            <v>130677</v>
          </cell>
          <cell r="BB1472">
            <v>5</v>
          </cell>
        </row>
        <row r="1473">
          <cell r="A1473">
            <v>130678</v>
          </cell>
          <cell r="BB1473">
            <v>5</v>
          </cell>
        </row>
        <row r="1474">
          <cell r="A1474">
            <v>130679</v>
          </cell>
          <cell r="BB1474">
            <v>5</v>
          </cell>
        </row>
        <row r="1475">
          <cell r="A1475">
            <v>130680</v>
          </cell>
          <cell r="BB1475">
            <v>5</v>
          </cell>
        </row>
        <row r="1476">
          <cell r="A1476">
            <v>130681</v>
          </cell>
          <cell r="BB1476">
            <v>5</v>
          </cell>
        </row>
        <row r="1477">
          <cell r="A1477">
            <v>130682</v>
          </cell>
          <cell r="BB1477">
            <v>5</v>
          </cell>
        </row>
        <row r="1478">
          <cell r="A1478">
            <v>130683</v>
          </cell>
          <cell r="BB1478">
            <v>5</v>
          </cell>
        </row>
        <row r="1479">
          <cell r="A1479">
            <v>130684</v>
          </cell>
          <cell r="BB1479">
            <v>5</v>
          </cell>
        </row>
        <row r="1480">
          <cell r="A1480">
            <v>130685</v>
          </cell>
          <cell r="BB1480">
            <v>5</v>
          </cell>
        </row>
        <row r="1481">
          <cell r="A1481">
            <v>130686</v>
          </cell>
          <cell r="BB1481">
            <v>6</v>
          </cell>
        </row>
        <row r="1482">
          <cell r="A1482">
            <v>130687</v>
          </cell>
          <cell r="BB1482">
            <v>6</v>
          </cell>
        </row>
        <row r="1483">
          <cell r="A1483">
            <v>130688</v>
          </cell>
          <cell r="BB1483">
            <v>6</v>
          </cell>
        </row>
        <row r="1484">
          <cell r="A1484">
            <v>130689</v>
          </cell>
          <cell r="BB1484">
            <v>6</v>
          </cell>
        </row>
        <row r="1485">
          <cell r="A1485">
            <v>130690</v>
          </cell>
          <cell r="BB1485">
            <v>6</v>
          </cell>
        </row>
        <row r="1486">
          <cell r="A1486">
            <v>130691</v>
          </cell>
          <cell r="BB1486">
            <v>6</v>
          </cell>
        </row>
        <row r="1487">
          <cell r="A1487">
            <v>130692</v>
          </cell>
          <cell r="BB1487">
            <v>6</v>
          </cell>
        </row>
        <row r="1488">
          <cell r="A1488">
            <v>130693</v>
          </cell>
          <cell r="BB1488">
            <v>6</v>
          </cell>
        </row>
        <row r="1489">
          <cell r="A1489">
            <v>130694</v>
          </cell>
          <cell r="BB1489">
            <v>6</v>
          </cell>
        </row>
        <row r="1490">
          <cell r="A1490">
            <v>130695</v>
          </cell>
          <cell r="BB1490">
            <v>6</v>
          </cell>
        </row>
        <row r="1491">
          <cell r="A1491">
            <v>130696</v>
          </cell>
          <cell r="BB1491">
            <v>7</v>
          </cell>
        </row>
        <row r="1492">
          <cell r="A1492">
            <v>130697</v>
          </cell>
          <cell r="BB1492">
            <v>7</v>
          </cell>
        </row>
        <row r="1493">
          <cell r="A1493">
            <v>130698</v>
          </cell>
          <cell r="BB1493">
            <v>7</v>
          </cell>
        </row>
        <row r="1494">
          <cell r="A1494">
            <v>130699</v>
          </cell>
          <cell r="BB1494">
            <v>7</v>
          </cell>
        </row>
        <row r="1495">
          <cell r="A1495">
            <v>130700</v>
          </cell>
          <cell r="BB1495">
            <v>7</v>
          </cell>
        </row>
        <row r="1496">
          <cell r="A1496">
            <v>130701</v>
          </cell>
          <cell r="BB1496">
            <v>7</v>
          </cell>
        </row>
        <row r="1497">
          <cell r="A1497">
            <v>130702</v>
          </cell>
          <cell r="BB1497">
            <v>7</v>
          </cell>
        </row>
        <row r="1498">
          <cell r="A1498">
            <v>130703</v>
          </cell>
          <cell r="BB1498">
            <v>7</v>
          </cell>
        </row>
        <row r="1499">
          <cell r="A1499">
            <v>130704</v>
          </cell>
          <cell r="BB1499">
            <v>7</v>
          </cell>
        </row>
        <row r="1500">
          <cell r="A1500">
            <v>130705</v>
          </cell>
          <cell r="BB1500">
            <v>7</v>
          </cell>
        </row>
        <row r="1501">
          <cell r="A1501">
            <v>130706</v>
          </cell>
          <cell r="BB1501">
            <v>8</v>
          </cell>
        </row>
        <row r="1502">
          <cell r="A1502">
            <v>130707</v>
          </cell>
          <cell r="BB1502">
            <v>8</v>
          </cell>
        </row>
        <row r="1503">
          <cell r="A1503">
            <v>130708</v>
          </cell>
          <cell r="BB1503">
            <v>8</v>
          </cell>
        </row>
        <row r="1504">
          <cell r="A1504">
            <v>130709</v>
          </cell>
          <cell r="BB1504">
            <v>8</v>
          </cell>
        </row>
        <row r="1505">
          <cell r="A1505">
            <v>130710</v>
          </cell>
          <cell r="BB1505">
            <v>8</v>
          </cell>
        </row>
        <row r="1506">
          <cell r="A1506">
            <v>130711</v>
          </cell>
          <cell r="BB1506">
            <v>8</v>
          </cell>
        </row>
        <row r="1507">
          <cell r="A1507">
            <v>130712</v>
          </cell>
          <cell r="BB1507">
            <v>8</v>
          </cell>
        </row>
        <row r="1508">
          <cell r="A1508">
            <v>130713</v>
          </cell>
          <cell r="BB1508">
            <v>8</v>
          </cell>
        </row>
        <row r="1509">
          <cell r="A1509">
            <v>130714</v>
          </cell>
          <cell r="BB1509">
            <v>8</v>
          </cell>
        </row>
        <row r="1510">
          <cell r="A1510">
            <v>130715</v>
          </cell>
          <cell r="BB1510">
            <v>8</v>
          </cell>
        </row>
        <row r="1511">
          <cell r="A1511">
            <v>130716</v>
          </cell>
          <cell r="BB1511">
            <v>9</v>
          </cell>
        </row>
        <row r="1512">
          <cell r="A1512">
            <v>130717</v>
          </cell>
          <cell r="BB1512">
            <v>9</v>
          </cell>
        </row>
        <row r="1513">
          <cell r="A1513">
            <v>130718</v>
          </cell>
          <cell r="BB1513">
            <v>9</v>
          </cell>
        </row>
        <row r="1514">
          <cell r="A1514">
            <v>130719</v>
          </cell>
          <cell r="BB1514">
            <v>9</v>
          </cell>
        </row>
        <row r="1515">
          <cell r="A1515">
            <v>130720</v>
          </cell>
          <cell r="BB1515">
            <v>9</v>
          </cell>
        </row>
        <row r="1516">
          <cell r="A1516">
            <v>130721</v>
          </cell>
          <cell r="BB1516">
            <v>9</v>
          </cell>
        </row>
        <row r="1517">
          <cell r="A1517">
            <v>130722</v>
          </cell>
          <cell r="BB1517">
            <v>9</v>
          </cell>
        </row>
        <row r="1518">
          <cell r="A1518">
            <v>130723</v>
          </cell>
          <cell r="BB1518">
            <v>9</v>
          </cell>
        </row>
        <row r="1519">
          <cell r="A1519">
            <v>130724</v>
          </cell>
          <cell r="BB1519">
            <v>9</v>
          </cell>
        </row>
        <row r="1520">
          <cell r="A1520">
            <v>130725</v>
          </cell>
          <cell r="BB1520">
            <v>9</v>
          </cell>
        </row>
        <row r="1521">
          <cell r="A1521">
            <v>130726</v>
          </cell>
          <cell r="BB1521">
            <v>10</v>
          </cell>
        </row>
        <row r="1522">
          <cell r="A1522">
            <v>130727</v>
          </cell>
          <cell r="BB1522">
            <v>10</v>
          </cell>
        </row>
        <row r="1523">
          <cell r="A1523">
            <v>130728</v>
          </cell>
          <cell r="BB1523">
            <v>10</v>
          </cell>
        </row>
        <row r="1524">
          <cell r="A1524">
            <v>130729</v>
          </cell>
          <cell r="BB1524">
            <v>10</v>
          </cell>
        </row>
        <row r="1525">
          <cell r="A1525">
            <v>130730</v>
          </cell>
          <cell r="BB1525">
            <v>10</v>
          </cell>
        </row>
        <row r="1526">
          <cell r="A1526">
            <v>130731</v>
          </cell>
          <cell r="BB1526">
            <v>10</v>
          </cell>
        </row>
        <row r="1527">
          <cell r="A1527">
            <v>130732</v>
          </cell>
          <cell r="BB1527">
            <v>10</v>
          </cell>
        </row>
        <row r="1528">
          <cell r="A1528">
            <v>130733</v>
          </cell>
          <cell r="BB1528">
            <v>10</v>
          </cell>
        </row>
        <row r="1529">
          <cell r="A1529">
            <v>130734</v>
          </cell>
          <cell r="BB1529">
            <v>10</v>
          </cell>
        </row>
        <row r="1530">
          <cell r="A1530">
            <v>130735</v>
          </cell>
          <cell r="BB1530">
            <v>10</v>
          </cell>
        </row>
        <row r="1531">
          <cell r="A1531">
            <v>130736</v>
          </cell>
          <cell r="BB1531">
            <v>11</v>
          </cell>
        </row>
        <row r="1532">
          <cell r="A1532">
            <v>130737</v>
          </cell>
          <cell r="BB1532">
            <v>11</v>
          </cell>
        </row>
        <row r="1533">
          <cell r="A1533">
            <v>130738</v>
          </cell>
          <cell r="BB1533">
            <v>11</v>
          </cell>
        </row>
        <row r="1534">
          <cell r="A1534">
            <v>130739</v>
          </cell>
          <cell r="BB1534">
            <v>11</v>
          </cell>
        </row>
        <row r="1535">
          <cell r="A1535">
            <v>130740</v>
          </cell>
          <cell r="BB1535">
            <v>11</v>
          </cell>
        </row>
        <row r="1536">
          <cell r="A1536">
            <v>130741</v>
          </cell>
          <cell r="BB1536">
            <v>1</v>
          </cell>
        </row>
        <row r="1537">
          <cell r="A1537">
            <v>130742</v>
          </cell>
          <cell r="BB1537">
            <v>1</v>
          </cell>
        </row>
        <row r="1538">
          <cell r="A1538">
            <v>130743</v>
          </cell>
          <cell r="BB1538">
            <v>1</v>
          </cell>
        </row>
        <row r="1539">
          <cell r="A1539">
            <v>130744</v>
          </cell>
          <cell r="BB1539">
            <v>1</v>
          </cell>
        </row>
        <row r="1540">
          <cell r="A1540">
            <v>130745</v>
          </cell>
          <cell r="BB1540">
            <v>1</v>
          </cell>
        </row>
        <row r="1541">
          <cell r="A1541">
            <v>130746</v>
          </cell>
          <cell r="BB1541">
            <v>1</v>
          </cell>
        </row>
        <row r="1542">
          <cell r="A1542">
            <v>130747</v>
          </cell>
          <cell r="BB1542">
            <v>1</v>
          </cell>
        </row>
        <row r="1543">
          <cell r="A1543">
            <v>130748</v>
          </cell>
          <cell r="BB1543">
            <v>1</v>
          </cell>
        </row>
        <row r="1544">
          <cell r="A1544">
            <v>130749</v>
          </cell>
          <cell r="BB1544">
            <v>1</v>
          </cell>
        </row>
        <row r="1545">
          <cell r="A1545">
            <v>130750</v>
          </cell>
          <cell r="BB1545">
            <v>1</v>
          </cell>
        </row>
        <row r="1546">
          <cell r="A1546">
            <v>130751</v>
          </cell>
          <cell r="BB1546">
            <v>2</v>
          </cell>
        </row>
        <row r="1547">
          <cell r="A1547">
            <v>130752</v>
          </cell>
          <cell r="BB1547">
            <v>2</v>
          </cell>
        </row>
        <row r="1548">
          <cell r="A1548">
            <v>130753</v>
          </cell>
          <cell r="BB1548">
            <v>2</v>
          </cell>
        </row>
        <row r="1549">
          <cell r="A1549">
            <v>130754</v>
          </cell>
          <cell r="BB1549">
            <v>2</v>
          </cell>
        </row>
        <row r="1550">
          <cell r="A1550">
            <v>130755</v>
          </cell>
          <cell r="BB1550">
            <v>2</v>
          </cell>
        </row>
        <row r="1551">
          <cell r="A1551">
            <v>130756</v>
          </cell>
          <cell r="BB1551">
            <v>2</v>
          </cell>
        </row>
        <row r="1552">
          <cell r="A1552">
            <v>130757</v>
          </cell>
          <cell r="BB1552">
            <v>2</v>
          </cell>
        </row>
        <row r="1553">
          <cell r="A1553">
            <v>130758</v>
          </cell>
          <cell r="BB1553">
            <v>2</v>
          </cell>
        </row>
        <row r="1554">
          <cell r="A1554">
            <v>130759</v>
          </cell>
          <cell r="BB1554">
            <v>2</v>
          </cell>
        </row>
        <row r="1555">
          <cell r="A1555">
            <v>130760</v>
          </cell>
          <cell r="BB1555">
            <v>2</v>
          </cell>
        </row>
        <row r="1556">
          <cell r="A1556">
            <v>130761</v>
          </cell>
          <cell r="BB1556">
            <v>3</v>
          </cell>
        </row>
        <row r="1557">
          <cell r="A1557">
            <v>130762</v>
          </cell>
          <cell r="BB1557">
            <v>3</v>
          </cell>
        </row>
        <row r="1558">
          <cell r="A1558">
            <v>130763</v>
          </cell>
          <cell r="BB1558">
            <v>3</v>
          </cell>
        </row>
        <row r="1559">
          <cell r="A1559">
            <v>130764</v>
          </cell>
          <cell r="BB1559">
            <v>3</v>
          </cell>
        </row>
        <row r="1560">
          <cell r="A1560">
            <v>130765</v>
          </cell>
          <cell r="BB1560">
            <v>3</v>
          </cell>
        </row>
        <row r="1561">
          <cell r="A1561">
            <v>130766</v>
          </cell>
          <cell r="BB1561">
            <v>3</v>
          </cell>
        </row>
        <row r="1562">
          <cell r="A1562">
            <v>130767</v>
          </cell>
          <cell r="BB1562">
            <v>3</v>
          </cell>
        </row>
        <row r="1563">
          <cell r="A1563">
            <v>130768</v>
          </cell>
          <cell r="BB1563">
            <v>3</v>
          </cell>
        </row>
        <row r="1564">
          <cell r="A1564">
            <v>130769</v>
          </cell>
          <cell r="BB1564">
            <v>3</v>
          </cell>
        </row>
        <row r="1565">
          <cell r="A1565">
            <v>130770</v>
          </cell>
          <cell r="BB1565">
            <v>3</v>
          </cell>
        </row>
        <row r="1566">
          <cell r="A1566">
            <v>130771</v>
          </cell>
          <cell r="BB1566">
            <v>4</v>
          </cell>
        </row>
        <row r="1567">
          <cell r="A1567">
            <v>130772</v>
          </cell>
          <cell r="BB1567">
            <v>4</v>
          </cell>
        </row>
        <row r="1568">
          <cell r="A1568">
            <v>130773</v>
          </cell>
          <cell r="BB1568">
            <v>4</v>
          </cell>
        </row>
        <row r="1569">
          <cell r="A1569">
            <v>130774</v>
          </cell>
          <cell r="BB1569">
            <v>4</v>
          </cell>
        </row>
        <row r="1570">
          <cell r="A1570">
            <v>130775</v>
          </cell>
          <cell r="BB1570">
            <v>4</v>
          </cell>
        </row>
        <row r="1571">
          <cell r="A1571">
            <v>130776</v>
          </cell>
          <cell r="BB1571">
            <v>4</v>
          </cell>
        </row>
        <row r="1572">
          <cell r="A1572">
            <v>130777</v>
          </cell>
          <cell r="BB1572">
            <v>4</v>
          </cell>
        </row>
        <row r="1573">
          <cell r="A1573">
            <v>130778</v>
          </cell>
          <cell r="BB1573">
            <v>4</v>
          </cell>
        </row>
        <row r="1574">
          <cell r="A1574">
            <v>130779</v>
          </cell>
          <cell r="BB1574">
            <v>4</v>
          </cell>
        </row>
        <row r="1575">
          <cell r="A1575">
            <v>130780</v>
          </cell>
          <cell r="BB1575">
            <v>4</v>
          </cell>
        </row>
        <row r="1576">
          <cell r="A1576">
            <v>130781</v>
          </cell>
          <cell r="BB1576">
            <v>5</v>
          </cell>
        </row>
        <row r="1577">
          <cell r="A1577">
            <v>130782</v>
          </cell>
          <cell r="BB1577">
            <v>5</v>
          </cell>
        </row>
        <row r="1578">
          <cell r="A1578">
            <v>130783</v>
          </cell>
          <cell r="BB1578">
            <v>5</v>
          </cell>
        </row>
        <row r="1579">
          <cell r="A1579">
            <v>130784</v>
          </cell>
          <cell r="BB1579">
            <v>5</v>
          </cell>
        </row>
        <row r="1580">
          <cell r="A1580">
            <v>130785</v>
          </cell>
          <cell r="BB1580">
            <v>5</v>
          </cell>
        </row>
        <row r="1581">
          <cell r="A1581">
            <v>130786</v>
          </cell>
          <cell r="BB1581">
            <v>5</v>
          </cell>
        </row>
        <row r="1582">
          <cell r="A1582">
            <v>130787</v>
          </cell>
          <cell r="BB1582">
            <v>5</v>
          </cell>
        </row>
        <row r="1583">
          <cell r="A1583">
            <v>130788</v>
          </cell>
          <cell r="BB1583">
            <v>5</v>
          </cell>
        </row>
        <row r="1584">
          <cell r="A1584">
            <v>130789</v>
          </cell>
          <cell r="BB1584">
            <v>5</v>
          </cell>
        </row>
        <row r="1585">
          <cell r="A1585">
            <v>130790</v>
          </cell>
          <cell r="BB1585">
            <v>5</v>
          </cell>
        </row>
        <row r="1586">
          <cell r="A1586">
            <v>130791</v>
          </cell>
          <cell r="BB1586">
            <v>6</v>
          </cell>
        </row>
        <row r="1587">
          <cell r="A1587">
            <v>130792</v>
          </cell>
          <cell r="BB1587">
            <v>6</v>
          </cell>
        </row>
        <row r="1588">
          <cell r="A1588">
            <v>130793</v>
          </cell>
          <cell r="BB1588">
            <v>6</v>
          </cell>
        </row>
        <row r="1589">
          <cell r="A1589">
            <v>130794</v>
          </cell>
          <cell r="BB1589">
            <v>6</v>
          </cell>
        </row>
        <row r="1590">
          <cell r="A1590">
            <v>130795</v>
          </cell>
          <cell r="BB1590">
            <v>6</v>
          </cell>
        </row>
        <row r="1591">
          <cell r="A1591">
            <v>130796</v>
          </cell>
          <cell r="BB1591">
            <v>6</v>
          </cell>
        </row>
        <row r="1592">
          <cell r="A1592">
            <v>130797</v>
          </cell>
          <cell r="BB1592">
            <v>6</v>
          </cell>
        </row>
        <row r="1593">
          <cell r="A1593">
            <v>130798</v>
          </cell>
          <cell r="BB1593">
            <v>6</v>
          </cell>
        </row>
        <row r="1594">
          <cell r="A1594">
            <v>130799</v>
          </cell>
          <cell r="BB1594">
            <v>6</v>
          </cell>
        </row>
        <row r="1595">
          <cell r="A1595">
            <v>130800</v>
          </cell>
          <cell r="BB1595">
            <v>6</v>
          </cell>
        </row>
        <row r="1596">
          <cell r="A1596">
            <v>130801</v>
          </cell>
          <cell r="BB1596">
            <v>7</v>
          </cell>
        </row>
        <row r="1597">
          <cell r="A1597">
            <v>130802</v>
          </cell>
          <cell r="BB1597">
            <v>7</v>
          </cell>
        </row>
        <row r="1598">
          <cell r="A1598">
            <v>130803</v>
          </cell>
          <cell r="BB1598">
            <v>7</v>
          </cell>
        </row>
        <row r="1599">
          <cell r="A1599">
            <v>130804</v>
          </cell>
          <cell r="BB1599">
            <v>7</v>
          </cell>
        </row>
        <row r="1600">
          <cell r="A1600">
            <v>130805</v>
          </cell>
          <cell r="BB1600">
            <v>7</v>
          </cell>
        </row>
        <row r="1601">
          <cell r="A1601">
            <v>130806</v>
          </cell>
          <cell r="BB1601">
            <v>7</v>
          </cell>
        </row>
        <row r="1602">
          <cell r="A1602">
            <v>130807</v>
          </cell>
          <cell r="BB1602">
            <v>7</v>
          </cell>
        </row>
        <row r="1603">
          <cell r="A1603">
            <v>130808</v>
          </cell>
          <cell r="BB1603">
            <v>7</v>
          </cell>
        </row>
        <row r="1604">
          <cell r="A1604">
            <v>130809</v>
          </cell>
          <cell r="BB1604">
            <v>7</v>
          </cell>
        </row>
        <row r="1605">
          <cell r="A1605">
            <v>130810</v>
          </cell>
          <cell r="BB1605">
            <v>7</v>
          </cell>
        </row>
        <row r="1606">
          <cell r="A1606">
            <v>130811</v>
          </cell>
          <cell r="BB1606">
            <v>8</v>
          </cell>
        </row>
        <row r="1607">
          <cell r="A1607">
            <v>130812</v>
          </cell>
          <cell r="BB1607">
            <v>8</v>
          </cell>
        </row>
        <row r="1608">
          <cell r="A1608">
            <v>130813</v>
          </cell>
          <cell r="BB1608">
            <v>8</v>
          </cell>
        </row>
        <row r="1609">
          <cell r="A1609">
            <v>130814</v>
          </cell>
          <cell r="BB1609">
            <v>8</v>
          </cell>
        </row>
        <row r="1610">
          <cell r="A1610">
            <v>130815</v>
          </cell>
          <cell r="BB1610">
            <v>8</v>
          </cell>
        </row>
        <row r="1611">
          <cell r="A1611">
            <v>130816</v>
          </cell>
          <cell r="BB1611">
            <v>8</v>
          </cell>
        </row>
        <row r="1612">
          <cell r="A1612">
            <v>130817</v>
          </cell>
          <cell r="BB1612">
            <v>8</v>
          </cell>
        </row>
        <row r="1613">
          <cell r="A1613">
            <v>130818</v>
          </cell>
          <cell r="BB1613">
            <v>8</v>
          </cell>
        </row>
        <row r="1614">
          <cell r="A1614">
            <v>130819</v>
          </cell>
          <cell r="BB1614">
            <v>8</v>
          </cell>
        </row>
        <row r="1615">
          <cell r="A1615">
            <v>130820</v>
          </cell>
          <cell r="BB1615">
            <v>8</v>
          </cell>
        </row>
        <row r="1616">
          <cell r="A1616">
            <v>130821</v>
          </cell>
          <cell r="BB1616">
            <v>1</v>
          </cell>
        </row>
        <row r="1617">
          <cell r="A1617">
            <v>130822</v>
          </cell>
          <cell r="BB1617">
            <v>1</v>
          </cell>
        </row>
        <row r="1618">
          <cell r="A1618">
            <v>130823</v>
          </cell>
          <cell r="BB1618">
            <v>1</v>
          </cell>
        </row>
        <row r="1619">
          <cell r="A1619">
            <v>130824</v>
          </cell>
          <cell r="BB1619">
            <v>1</v>
          </cell>
        </row>
        <row r="1620">
          <cell r="A1620">
            <v>130825</v>
          </cell>
          <cell r="BB1620">
            <v>1</v>
          </cell>
        </row>
        <row r="1621">
          <cell r="A1621">
            <v>130826</v>
          </cell>
          <cell r="BB1621">
            <v>1</v>
          </cell>
        </row>
        <row r="1622">
          <cell r="A1622">
            <v>130827</v>
          </cell>
          <cell r="BB1622">
            <v>1</v>
          </cell>
        </row>
        <row r="1623">
          <cell r="A1623">
            <v>130828</v>
          </cell>
          <cell r="BB1623">
            <v>1</v>
          </cell>
        </row>
        <row r="1624">
          <cell r="A1624">
            <v>130829</v>
          </cell>
          <cell r="BB1624">
            <v>1</v>
          </cell>
        </row>
        <row r="1625">
          <cell r="A1625">
            <v>130830</v>
          </cell>
          <cell r="BB1625">
            <v>1</v>
          </cell>
        </row>
        <row r="1626">
          <cell r="A1626">
            <v>130831</v>
          </cell>
          <cell r="BB1626">
            <v>2</v>
          </cell>
        </row>
        <row r="1627">
          <cell r="A1627">
            <v>130832</v>
          </cell>
          <cell r="BB1627">
            <v>2</v>
          </cell>
        </row>
        <row r="1628">
          <cell r="A1628">
            <v>130833</v>
          </cell>
          <cell r="BB1628">
            <v>2</v>
          </cell>
        </row>
        <row r="1629">
          <cell r="A1629">
            <v>130834</v>
          </cell>
          <cell r="BB1629">
            <v>2</v>
          </cell>
        </row>
        <row r="1630">
          <cell r="A1630">
            <v>130835</v>
          </cell>
          <cell r="BB1630">
            <v>2</v>
          </cell>
        </row>
        <row r="1631">
          <cell r="A1631">
            <v>130836</v>
          </cell>
          <cell r="BB1631">
            <v>2</v>
          </cell>
        </row>
        <row r="1632">
          <cell r="A1632">
            <v>130837</v>
          </cell>
          <cell r="BB1632">
            <v>2</v>
          </cell>
        </row>
        <row r="1633">
          <cell r="A1633">
            <v>130838</v>
          </cell>
          <cell r="BB1633">
            <v>2</v>
          </cell>
        </row>
        <row r="1634">
          <cell r="A1634">
            <v>130839</v>
          </cell>
          <cell r="BB1634">
            <v>2</v>
          </cell>
        </row>
        <row r="1635">
          <cell r="A1635">
            <v>130840</v>
          </cell>
          <cell r="BB1635">
            <v>2</v>
          </cell>
        </row>
        <row r="1636">
          <cell r="A1636">
            <v>130841</v>
          </cell>
          <cell r="BB1636">
            <v>3</v>
          </cell>
        </row>
        <row r="1637">
          <cell r="A1637">
            <v>130842</v>
          </cell>
          <cell r="BB1637">
            <v>3</v>
          </cell>
        </row>
        <row r="1638">
          <cell r="A1638">
            <v>130843</v>
          </cell>
          <cell r="BB1638">
            <v>3</v>
          </cell>
        </row>
        <row r="1639">
          <cell r="A1639">
            <v>130844</v>
          </cell>
          <cell r="BB1639">
            <v>3</v>
          </cell>
        </row>
        <row r="1640">
          <cell r="A1640">
            <v>130845</v>
          </cell>
          <cell r="BB1640">
            <v>3</v>
          </cell>
        </row>
        <row r="1641">
          <cell r="A1641">
            <v>130846</v>
          </cell>
          <cell r="BB1641">
            <v>3</v>
          </cell>
        </row>
        <row r="1642">
          <cell r="A1642">
            <v>130847</v>
          </cell>
          <cell r="BB1642">
            <v>3</v>
          </cell>
        </row>
        <row r="1643">
          <cell r="A1643">
            <v>130848</v>
          </cell>
          <cell r="BB1643">
            <v>3</v>
          </cell>
        </row>
        <row r="1644">
          <cell r="A1644">
            <v>130849</v>
          </cell>
          <cell r="BB1644">
            <v>3</v>
          </cell>
        </row>
        <row r="1645">
          <cell r="A1645">
            <v>130850</v>
          </cell>
          <cell r="BB1645">
            <v>3</v>
          </cell>
        </row>
        <row r="1646">
          <cell r="A1646">
            <v>130851</v>
          </cell>
          <cell r="BB1646">
            <v>4</v>
          </cell>
        </row>
        <row r="1647">
          <cell r="A1647">
            <v>130852</v>
          </cell>
          <cell r="BB1647">
            <v>4</v>
          </cell>
        </row>
        <row r="1648">
          <cell r="A1648">
            <v>130853</v>
          </cell>
          <cell r="BB1648">
            <v>4</v>
          </cell>
        </row>
        <row r="1649">
          <cell r="A1649">
            <v>130854</v>
          </cell>
          <cell r="BB1649">
            <v>4</v>
          </cell>
        </row>
        <row r="1650">
          <cell r="A1650">
            <v>130855</v>
          </cell>
          <cell r="BB1650">
            <v>4</v>
          </cell>
        </row>
        <row r="1651">
          <cell r="A1651">
            <v>130856</v>
          </cell>
          <cell r="BB1651">
            <v>4</v>
          </cell>
        </row>
        <row r="1652">
          <cell r="A1652">
            <v>130857</v>
          </cell>
          <cell r="BB1652">
            <v>4</v>
          </cell>
        </row>
        <row r="1653">
          <cell r="A1653">
            <v>130858</v>
          </cell>
          <cell r="BB1653">
            <v>4</v>
          </cell>
        </row>
        <row r="1654">
          <cell r="A1654">
            <v>130859</v>
          </cell>
          <cell r="BB1654">
            <v>4</v>
          </cell>
        </row>
        <row r="1655">
          <cell r="A1655">
            <v>130860</v>
          </cell>
          <cell r="BB1655">
            <v>4</v>
          </cell>
        </row>
        <row r="1656">
          <cell r="A1656">
            <v>130861</v>
          </cell>
          <cell r="BB1656">
            <v>5</v>
          </cell>
        </row>
        <row r="1657">
          <cell r="A1657">
            <v>130862</v>
          </cell>
          <cell r="BB1657">
            <v>5</v>
          </cell>
        </row>
        <row r="1658">
          <cell r="A1658">
            <v>130863</v>
          </cell>
          <cell r="BB1658">
            <v>5</v>
          </cell>
        </row>
        <row r="1659">
          <cell r="A1659">
            <v>130864</v>
          </cell>
          <cell r="BB1659">
            <v>5</v>
          </cell>
        </row>
        <row r="1660">
          <cell r="A1660">
            <v>130865</v>
          </cell>
          <cell r="BB1660">
            <v>5</v>
          </cell>
        </row>
        <row r="1661">
          <cell r="A1661">
            <v>130866</v>
          </cell>
          <cell r="BB1661">
            <v>5</v>
          </cell>
        </row>
        <row r="1662">
          <cell r="A1662">
            <v>130867</v>
          </cell>
          <cell r="BB1662">
            <v>5</v>
          </cell>
        </row>
        <row r="1663">
          <cell r="A1663">
            <v>130868</v>
          </cell>
          <cell r="BB1663">
            <v>5</v>
          </cell>
        </row>
        <row r="1664">
          <cell r="A1664">
            <v>130869</v>
          </cell>
          <cell r="BB1664">
            <v>5</v>
          </cell>
        </row>
        <row r="1665">
          <cell r="A1665">
            <v>130870</v>
          </cell>
          <cell r="BB1665">
            <v>5</v>
          </cell>
        </row>
        <row r="1666">
          <cell r="A1666">
            <v>130871</v>
          </cell>
          <cell r="BB1666">
            <v>6</v>
          </cell>
        </row>
        <row r="1667">
          <cell r="A1667">
            <v>130872</v>
          </cell>
          <cell r="BB1667">
            <v>6</v>
          </cell>
        </row>
        <row r="1668">
          <cell r="A1668">
            <v>130873</v>
          </cell>
          <cell r="BB1668">
            <v>6</v>
          </cell>
        </row>
        <row r="1669">
          <cell r="A1669">
            <v>130874</v>
          </cell>
          <cell r="BB1669">
            <v>6</v>
          </cell>
        </row>
        <row r="1670">
          <cell r="A1670">
            <v>130875</v>
          </cell>
          <cell r="BB1670">
            <v>6</v>
          </cell>
        </row>
        <row r="1671">
          <cell r="A1671">
            <v>130876</v>
          </cell>
          <cell r="BB1671">
            <v>6</v>
          </cell>
        </row>
        <row r="1672">
          <cell r="A1672">
            <v>130877</v>
          </cell>
          <cell r="BB1672">
            <v>6</v>
          </cell>
        </row>
        <row r="1673">
          <cell r="A1673">
            <v>130878</v>
          </cell>
          <cell r="BB1673">
            <v>6</v>
          </cell>
        </row>
        <row r="1674">
          <cell r="A1674">
            <v>130879</v>
          </cell>
          <cell r="BB1674">
            <v>6</v>
          </cell>
        </row>
        <row r="1675">
          <cell r="A1675">
            <v>130880</v>
          </cell>
          <cell r="BB1675">
            <v>6</v>
          </cell>
        </row>
        <row r="1676">
          <cell r="A1676">
            <v>130881</v>
          </cell>
          <cell r="BB1676">
            <v>7</v>
          </cell>
        </row>
        <row r="1677">
          <cell r="A1677">
            <v>130882</v>
          </cell>
          <cell r="BB1677">
            <v>7</v>
          </cell>
        </row>
        <row r="1678">
          <cell r="A1678">
            <v>130883</v>
          </cell>
          <cell r="BB1678">
            <v>7</v>
          </cell>
        </row>
        <row r="1679">
          <cell r="A1679">
            <v>130884</v>
          </cell>
          <cell r="BB1679">
            <v>7</v>
          </cell>
        </row>
        <row r="1680">
          <cell r="A1680">
            <v>130885</v>
          </cell>
          <cell r="BB1680">
            <v>7</v>
          </cell>
        </row>
        <row r="1681">
          <cell r="A1681">
            <v>130886</v>
          </cell>
          <cell r="BB1681">
            <v>7</v>
          </cell>
        </row>
        <row r="1682">
          <cell r="A1682">
            <v>130887</v>
          </cell>
          <cell r="BB1682">
            <v>7</v>
          </cell>
        </row>
        <row r="1683">
          <cell r="A1683">
            <v>130888</v>
          </cell>
          <cell r="BB1683">
            <v>7</v>
          </cell>
        </row>
        <row r="1684">
          <cell r="A1684">
            <v>130889</v>
          </cell>
          <cell r="BB1684">
            <v>7</v>
          </cell>
        </row>
        <row r="1685">
          <cell r="A1685">
            <v>130890</v>
          </cell>
          <cell r="BB1685">
            <v>7</v>
          </cell>
        </row>
        <row r="1686">
          <cell r="A1686">
            <v>130891</v>
          </cell>
          <cell r="BB1686">
            <v>8</v>
          </cell>
        </row>
        <row r="1687">
          <cell r="A1687">
            <v>130892</v>
          </cell>
          <cell r="BB1687">
            <v>8</v>
          </cell>
        </row>
        <row r="1688">
          <cell r="A1688">
            <v>130893</v>
          </cell>
          <cell r="BB1688">
            <v>8</v>
          </cell>
        </row>
        <row r="1689">
          <cell r="A1689">
            <v>130894</v>
          </cell>
          <cell r="BB1689">
            <v>8</v>
          </cell>
        </row>
        <row r="1690">
          <cell r="A1690">
            <v>130895</v>
          </cell>
          <cell r="BB1690">
            <v>8</v>
          </cell>
        </row>
        <row r="1691">
          <cell r="A1691">
            <v>130896</v>
          </cell>
          <cell r="BB1691">
            <v>8</v>
          </cell>
        </row>
        <row r="1692">
          <cell r="A1692">
            <v>130897</v>
          </cell>
          <cell r="BB1692">
            <v>8</v>
          </cell>
        </row>
        <row r="1693">
          <cell r="A1693">
            <v>130898</v>
          </cell>
          <cell r="BB1693">
            <v>8</v>
          </cell>
        </row>
        <row r="1694">
          <cell r="A1694">
            <v>130899</v>
          </cell>
          <cell r="BB1694">
            <v>8</v>
          </cell>
        </row>
        <row r="1695">
          <cell r="A1695">
            <v>130900</v>
          </cell>
          <cell r="BB1695">
            <v>8</v>
          </cell>
        </row>
        <row r="1696">
          <cell r="A1696">
            <v>130901</v>
          </cell>
          <cell r="BB1696">
            <v>9</v>
          </cell>
        </row>
        <row r="1697">
          <cell r="A1697">
            <v>130902</v>
          </cell>
          <cell r="BB1697">
            <v>9</v>
          </cell>
        </row>
        <row r="1698">
          <cell r="A1698">
            <v>130903</v>
          </cell>
          <cell r="BB1698">
            <v>9</v>
          </cell>
        </row>
        <row r="1699">
          <cell r="A1699">
            <v>130904</v>
          </cell>
          <cell r="BB1699">
            <v>9</v>
          </cell>
        </row>
        <row r="1700">
          <cell r="A1700">
            <v>130905</v>
          </cell>
          <cell r="BB1700">
            <v>9</v>
          </cell>
        </row>
        <row r="1701">
          <cell r="A1701">
            <v>130906</v>
          </cell>
          <cell r="BB1701">
            <v>9</v>
          </cell>
        </row>
        <row r="1702">
          <cell r="A1702">
            <v>130907</v>
          </cell>
          <cell r="BB1702">
            <v>9</v>
          </cell>
        </row>
        <row r="1703">
          <cell r="A1703">
            <v>130908</v>
          </cell>
          <cell r="BB1703">
            <v>9</v>
          </cell>
        </row>
        <row r="1704">
          <cell r="A1704">
            <v>130909</v>
          </cell>
          <cell r="BB1704">
            <v>9</v>
          </cell>
        </row>
        <row r="1705">
          <cell r="A1705">
            <v>130910</v>
          </cell>
          <cell r="BB1705">
            <v>9</v>
          </cell>
        </row>
        <row r="1706">
          <cell r="A1706">
            <v>130911</v>
          </cell>
          <cell r="BB1706">
            <v>10</v>
          </cell>
        </row>
        <row r="1707">
          <cell r="A1707">
            <v>130912</v>
          </cell>
          <cell r="BB1707">
            <v>10</v>
          </cell>
        </row>
        <row r="1708">
          <cell r="A1708">
            <v>130913</v>
          </cell>
          <cell r="BB1708">
            <v>10</v>
          </cell>
        </row>
        <row r="1709">
          <cell r="A1709">
            <v>130914</v>
          </cell>
          <cell r="BB1709">
            <v>10</v>
          </cell>
        </row>
        <row r="1710">
          <cell r="A1710">
            <v>130915</v>
          </cell>
          <cell r="BB1710">
            <v>10</v>
          </cell>
        </row>
        <row r="1711">
          <cell r="A1711">
            <v>130916</v>
          </cell>
          <cell r="BB1711">
            <v>10</v>
          </cell>
        </row>
        <row r="1712">
          <cell r="A1712">
            <v>130917</v>
          </cell>
          <cell r="BB1712">
            <v>10</v>
          </cell>
        </row>
        <row r="1713">
          <cell r="A1713">
            <v>130918</v>
          </cell>
          <cell r="BB1713">
            <v>10</v>
          </cell>
        </row>
        <row r="1714">
          <cell r="A1714">
            <v>130919</v>
          </cell>
          <cell r="BB1714">
            <v>10</v>
          </cell>
        </row>
        <row r="1715">
          <cell r="A1715">
            <v>130920</v>
          </cell>
          <cell r="BB1715">
            <v>10</v>
          </cell>
        </row>
        <row r="1716">
          <cell r="A1716">
            <v>130921</v>
          </cell>
          <cell r="BB1716">
            <v>11</v>
          </cell>
        </row>
        <row r="1717">
          <cell r="A1717">
            <v>130922</v>
          </cell>
          <cell r="BB1717">
            <v>11</v>
          </cell>
        </row>
        <row r="1718">
          <cell r="A1718">
            <v>130923</v>
          </cell>
          <cell r="BB1718">
            <v>11</v>
          </cell>
        </row>
        <row r="1719">
          <cell r="A1719">
            <v>130924</v>
          </cell>
          <cell r="BB1719">
            <v>11</v>
          </cell>
        </row>
        <row r="1720">
          <cell r="A1720">
            <v>130925</v>
          </cell>
          <cell r="BB1720">
            <v>11</v>
          </cell>
        </row>
        <row r="1721">
          <cell r="A1721">
            <v>120001</v>
          </cell>
          <cell r="BB1721">
            <v>1</v>
          </cell>
        </row>
        <row r="1722">
          <cell r="A1722">
            <v>120002</v>
          </cell>
          <cell r="BB1722">
            <v>1</v>
          </cell>
        </row>
        <row r="1723">
          <cell r="A1723">
            <v>120003</v>
          </cell>
          <cell r="BB1723">
            <v>1</v>
          </cell>
        </row>
        <row r="1724">
          <cell r="A1724">
            <v>120004</v>
          </cell>
          <cell r="BB1724">
            <v>1</v>
          </cell>
        </row>
        <row r="1725">
          <cell r="A1725">
            <v>120005</v>
          </cell>
          <cell r="BB1725">
            <v>1</v>
          </cell>
        </row>
        <row r="1726">
          <cell r="A1726">
            <v>120006</v>
          </cell>
          <cell r="BB1726">
            <v>1</v>
          </cell>
        </row>
        <row r="1727">
          <cell r="A1727">
            <v>120007</v>
          </cell>
          <cell r="BB1727">
            <v>1</v>
          </cell>
        </row>
        <row r="1728">
          <cell r="A1728">
            <v>120008</v>
          </cell>
          <cell r="BB1728">
            <v>1</v>
          </cell>
        </row>
        <row r="1729">
          <cell r="A1729">
            <v>120009</v>
          </cell>
          <cell r="BB1729">
            <v>1</v>
          </cell>
        </row>
        <row r="1730">
          <cell r="A1730">
            <v>120010</v>
          </cell>
          <cell r="BB1730">
            <v>1</v>
          </cell>
        </row>
        <row r="1731">
          <cell r="A1731">
            <v>120011</v>
          </cell>
          <cell r="BB1731">
            <v>2</v>
          </cell>
        </row>
        <row r="1732">
          <cell r="A1732">
            <v>120012</v>
          </cell>
          <cell r="BB1732">
            <v>2</v>
          </cell>
        </row>
        <row r="1733">
          <cell r="A1733">
            <v>120013</v>
          </cell>
          <cell r="BB1733">
            <v>2</v>
          </cell>
        </row>
        <row r="1734">
          <cell r="A1734">
            <v>120014</v>
          </cell>
          <cell r="BB1734">
            <v>2</v>
          </cell>
        </row>
        <row r="1735">
          <cell r="A1735">
            <v>120015</v>
          </cell>
          <cell r="BB1735">
            <v>2</v>
          </cell>
        </row>
        <row r="1736">
          <cell r="A1736">
            <v>120016</v>
          </cell>
          <cell r="BB1736">
            <v>2</v>
          </cell>
        </row>
        <row r="1737">
          <cell r="A1737">
            <v>120017</v>
          </cell>
          <cell r="BB1737">
            <v>2</v>
          </cell>
        </row>
        <row r="1738">
          <cell r="A1738">
            <v>120018</v>
          </cell>
          <cell r="BB1738">
            <v>2</v>
          </cell>
        </row>
        <row r="1739">
          <cell r="A1739">
            <v>120019</v>
          </cell>
          <cell r="BB1739">
            <v>2</v>
          </cell>
        </row>
        <row r="1740">
          <cell r="A1740">
            <v>120020</v>
          </cell>
          <cell r="BB1740">
            <v>2</v>
          </cell>
        </row>
        <row r="1741">
          <cell r="A1741">
            <v>120021</v>
          </cell>
          <cell r="BB1741">
            <v>3</v>
          </cell>
        </row>
        <row r="1742">
          <cell r="A1742">
            <v>120022</v>
          </cell>
          <cell r="BB1742">
            <v>3</v>
          </cell>
        </row>
        <row r="1743">
          <cell r="A1743">
            <v>120023</v>
          </cell>
          <cell r="BB1743">
            <v>3</v>
          </cell>
        </row>
        <row r="1744">
          <cell r="A1744">
            <v>120024</v>
          </cell>
          <cell r="BB1744">
            <v>3</v>
          </cell>
        </row>
        <row r="1745">
          <cell r="A1745">
            <v>120025</v>
          </cell>
          <cell r="BB1745">
            <v>3</v>
          </cell>
        </row>
        <row r="1746">
          <cell r="A1746">
            <v>120026</v>
          </cell>
          <cell r="BB1746">
            <v>3</v>
          </cell>
        </row>
        <row r="1747">
          <cell r="A1747">
            <v>120027</v>
          </cell>
          <cell r="BB1747">
            <v>3</v>
          </cell>
        </row>
        <row r="1748">
          <cell r="A1748">
            <v>120028</v>
          </cell>
          <cell r="BB1748">
            <v>3</v>
          </cell>
        </row>
        <row r="1749">
          <cell r="A1749">
            <v>120029</v>
          </cell>
          <cell r="BB1749">
            <v>3</v>
          </cell>
        </row>
        <row r="1750">
          <cell r="A1750">
            <v>120030</v>
          </cell>
          <cell r="BB1750">
            <v>3</v>
          </cell>
        </row>
        <row r="1751">
          <cell r="A1751">
            <v>120031</v>
          </cell>
          <cell r="BB1751">
            <v>4</v>
          </cell>
        </row>
        <row r="1752">
          <cell r="A1752">
            <v>120032</v>
          </cell>
          <cell r="BB1752">
            <v>4</v>
          </cell>
        </row>
        <row r="1753">
          <cell r="A1753">
            <v>120033</v>
          </cell>
          <cell r="BB1753">
            <v>4</v>
          </cell>
        </row>
        <row r="1754">
          <cell r="A1754">
            <v>120034</v>
          </cell>
          <cell r="BB1754">
            <v>4</v>
          </cell>
        </row>
        <row r="1755">
          <cell r="A1755">
            <v>120035</v>
          </cell>
          <cell r="BB1755">
            <v>4</v>
          </cell>
        </row>
        <row r="1756">
          <cell r="A1756">
            <v>120036</v>
          </cell>
          <cell r="BB1756">
            <v>4</v>
          </cell>
        </row>
        <row r="1757">
          <cell r="A1757">
            <v>120037</v>
          </cell>
          <cell r="BB1757">
            <v>4</v>
          </cell>
        </row>
        <row r="1758">
          <cell r="A1758">
            <v>120038</v>
          </cell>
          <cell r="BB1758">
            <v>4</v>
          </cell>
        </row>
        <row r="1759">
          <cell r="A1759">
            <v>120039</v>
          </cell>
          <cell r="BB1759">
            <v>4</v>
          </cell>
        </row>
        <row r="1760">
          <cell r="A1760">
            <v>120040</v>
          </cell>
          <cell r="BB1760">
            <v>4</v>
          </cell>
        </row>
        <row r="1761">
          <cell r="A1761">
            <v>120041</v>
          </cell>
          <cell r="BB1761">
            <v>5</v>
          </cell>
        </row>
        <row r="1762">
          <cell r="A1762">
            <v>120042</v>
          </cell>
          <cell r="BB1762">
            <v>5</v>
          </cell>
        </row>
        <row r="1763">
          <cell r="A1763">
            <v>120043</v>
          </cell>
          <cell r="BB1763">
            <v>5</v>
          </cell>
        </row>
        <row r="1764">
          <cell r="A1764">
            <v>120044</v>
          </cell>
          <cell r="BB1764">
            <v>5</v>
          </cell>
        </row>
        <row r="1765">
          <cell r="A1765">
            <v>120045</v>
          </cell>
          <cell r="BB1765">
            <v>5</v>
          </cell>
        </row>
        <row r="1766">
          <cell r="A1766">
            <v>120046</v>
          </cell>
          <cell r="BB1766">
            <v>5</v>
          </cell>
        </row>
        <row r="1767">
          <cell r="A1767">
            <v>120047</v>
          </cell>
          <cell r="BB1767">
            <v>5</v>
          </cell>
        </row>
        <row r="1768">
          <cell r="A1768">
            <v>120048</v>
          </cell>
          <cell r="BB1768">
            <v>5</v>
          </cell>
        </row>
        <row r="1769">
          <cell r="A1769">
            <v>120049</v>
          </cell>
          <cell r="BB1769">
            <v>5</v>
          </cell>
        </row>
        <row r="1770">
          <cell r="A1770">
            <v>120050</v>
          </cell>
          <cell r="BB1770">
            <v>5</v>
          </cell>
        </row>
        <row r="1771">
          <cell r="A1771">
            <v>120051</v>
          </cell>
          <cell r="BB1771">
            <v>6</v>
          </cell>
        </row>
        <row r="1772">
          <cell r="A1772">
            <v>120052</v>
          </cell>
          <cell r="BB1772">
            <v>6</v>
          </cell>
        </row>
        <row r="1773">
          <cell r="A1773">
            <v>120053</v>
          </cell>
          <cell r="BB1773">
            <v>6</v>
          </cell>
        </row>
        <row r="1774">
          <cell r="A1774">
            <v>120054</v>
          </cell>
          <cell r="BB1774">
            <v>6</v>
          </cell>
        </row>
        <row r="1775">
          <cell r="A1775">
            <v>120055</v>
          </cell>
          <cell r="BB1775">
            <v>6</v>
          </cell>
        </row>
        <row r="1776">
          <cell r="A1776">
            <v>120056</v>
          </cell>
          <cell r="BB1776">
            <v>6</v>
          </cell>
        </row>
        <row r="1777">
          <cell r="A1777">
            <v>120057</v>
          </cell>
          <cell r="BB1777">
            <v>6</v>
          </cell>
        </row>
        <row r="1778">
          <cell r="A1778">
            <v>120058</v>
          </cell>
          <cell r="BB1778">
            <v>6</v>
          </cell>
        </row>
        <row r="1779">
          <cell r="A1779">
            <v>120059</v>
          </cell>
          <cell r="BB1779">
            <v>6</v>
          </cell>
        </row>
        <row r="1780">
          <cell r="A1780">
            <v>120060</v>
          </cell>
          <cell r="BB1780">
            <v>6</v>
          </cell>
        </row>
        <row r="1781">
          <cell r="A1781">
            <v>120061</v>
          </cell>
          <cell r="BB1781">
            <v>7</v>
          </cell>
        </row>
        <row r="1782">
          <cell r="A1782">
            <v>120062</v>
          </cell>
          <cell r="BB1782">
            <v>7</v>
          </cell>
        </row>
        <row r="1783">
          <cell r="A1783">
            <v>120063</v>
          </cell>
          <cell r="BB1783">
            <v>7</v>
          </cell>
        </row>
        <row r="1784">
          <cell r="A1784">
            <v>120064</v>
          </cell>
          <cell r="BB1784">
            <v>7</v>
          </cell>
        </row>
        <row r="1785">
          <cell r="A1785">
            <v>120065</v>
          </cell>
          <cell r="BB1785">
            <v>7</v>
          </cell>
        </row>
        <row r="1786">
          <cell r="A1786">
            <v>120066</v>
          </cell>
          <cell r="BB1786">
            <v>7</v>
          </cell>
        </row>
        <row r="1787">
          <cell r="A1787">
            <v>120067</v>
          </cell>
          <cell r="BB1787">
            <v>7</v>
          </cell>
        </row>
        <row r="1788">
          <cell r="A1788">
            <v>120068</v>
          </cell>
          <cell r="BB1788">
            <v>7</v>
          </cell>
        </row>
        <row r="1789">
          <cell r="A1789">
            <v>120069</v>
          </cell>
          <cell r="BB1789">
            <v>7</v>
          </cell>
        </row>
        <row r="1790">
          <cell r="A1790">
            <v>120070</v>
          </cell>
          <cell r="BB1790">
            <v>7</v>
          </cell>
        </row>
        <row r="1791">
          <cell r="A1791">
            <v>120071</v>
          </cell>
          <cell r="BB1791">
            <v>8</v>
          </cell>
        </row>
        <row r="1792">
          <cell r="A1792">
            <v>120072</v>
          </cell>
          <cell r="BB1792">
            <v>8</v>
          </cell>
        </row>
        <row r="1793">
          <cell r="A1793">
            <v>120073</v>
          </cell>
          <cell r="BB1793">
            <v>8</v>
          </cell>
        </row>
        <row r="1794">
          <cell r="A1794">
            <v>120074</v>
          </cell>
          <cell r="BB1794">
            <v>8</v>
          </cell>
        </row>
        <row r="1795">
          <cell r="A1795">
            <v>120075</v>
          </cell>
          <cell r="BB1795">
            <v>8</v>
          </cell>
        </row>
        <row r="1796">
          <cell r="A1796">
            <v>120076</v>
          </cell>
          <cell r="BB1796">
            <v>8</v>
          </cell>
        </row>
        <row r="1797">
          <cell r="A1797">
            <v>120077</v>
          </cell>
          <cell r="BB1797">
            <v>8</v>
          </cell>
        </row>
        <row r="1798">
          <cell r="A1798">
            <v>120078</v>
          </cell>
          <cell r="BB1798">
            <v>8</v>
          </cell>
        </row>
        <row r="1799">
          <cell r="A1799">
            <v>120079</v>
          </cell>
          <cell r="BB1799">
            <v>8</v>
          </cell>
        </row>
        <row r="1800">
          <cell r="A1800">
            <v>120080</v>
          </cell>
          <cell r="BB1800">
            <v>8</v>
          </cell>
        </row>
        <row r="1801">
          <cell r="A1801">
            <v>120081</v>
          </cell>
          <cell r="BB1801">
            <v>1</v>
          </cell>
        </row>
        <row r="1802">
          <cell r="A1802">
            <v>120082</v>
          </cell>
          <cell r="BB1802">
            <v>1</v>
          </cell>
        </row>
        <row r="1803">
          <cell r="A1803">
            <v>120083</v>
          </cell>
          <cell r="BB1803">
            <v>1</v>
          </cell>
        </row>
        <row r="1804">
          <cell r="A1804">
            <v>120084</v>
          </cell>
          <cell r="BB1804">
            <v>1</v>
          </cell>
        </row>
        <row r="1805">
          <cell r="A1805">
            <v>120085</v>
          </cell>
          <cell r="BB1805">
            <v>1</v>
          </cell>
        </row>
        <row r="1806">
          <cell r="A1806">
            <v>120086</v>
          </cell>
          <cell r="BB1806">
            <v>1</v>
          </cell>
        </row>
        <row r="1807">
          <cell r="A1807">
            <v>120087</v>
          </cell>
          <cell r="BB1807">
            <v>1</v>
          </cell>
        </row>
        <row r="1808">
          <cell r="A1808">
            <v>120088</v>
          </cell>
          <cell r="BB1808">
            <v>1</v>
          </cell>
        </row>
        <row r="1809">
          <cell r="A1809">
            <v>120089</v>
          </cell>
          <cell r="BB1809">
            <v>1</v>
          </cell>
        </row>
        <row r="1810">
          <cell r="A1810">
            <v>120090</v>
          </cell>
          <cell r="BB1810">
            <v>1</v>
          </cell>
        </row>
        <row r="1811">
          <cell r="A1811">
            <v>120091</v>
          </cell>
          <cell r="BB1811">
            <v>2</v>
          </cell>
        </row>
        <row r="1812">
          <cell r="A1812">
            <v>120092</v>
          </cell>
          <cell r="BB1812">
            <v>2</v>
          </cell>
        </row>
        <row r="1813">
          <cell r="A1813">
            <v>120093</v>
          </cell>
          <cell r="BB1813">
            <v>2</v>
          </cell>
        </row>
        <row r="1814">
          <cell r="A1814">
            <v>120094</v>
          </cell>
          <cell r="BB1814">
            <v>2</v>
          </cell>
        </row>
        <row r="1815">
          <cell r="A1815">
            <v>120095</v>
          </cell>
          <cell r="BB1815">
            <v>2</v>
          </cell>
        </row>
        <row r="1816">
          <cell r="A1816">
            <v>120096</v>
          </cell>
          <cell r="BB1816">
            <v>2</v>
          </cell>
        </row>
        <row r="1817">
          <cell r="A1817">
            <v>120097</v>
          </cell>
          <cell r="BB1817">
            <v>2</v>
          </cell>
        </row>
        <row r="1818">
          <cell r="A1818">
            <v>120098</v>
          </cell>
          <cell r="BB1818">
            <v>2</v>
          </cell>
        </row>
        <row r="1819">
          <cell r="A1819">
            <v>120099</v>
          </cell>
          <cell r="BB1819">
            <v>2</v>
          </cell>
        </row>
        <row r="1820">
          <cell r="A1820">
            <v>120100</v>
          </cell>
          <cell r="BB1820">
            <v>2</v>
          </cell>
        </row>
        <row r="1821">
          <cell r="A1821">
            <v>120101</v>
          </cell>
          <cell r="BB1821">
            <v>3</v>
          </cell>
        </row>
        <row r="1822">
          <cell r="A1822">
            <v>120102</v>
          </cell>
          <cell r="BB1822">
            <v>3</v>
          </cell>
        </row>
        <row r="1823">
          <cell r="A1823">
            <v>120103</v>
          </cell>
          <cell r="BB1823">
            <v>3</v>
          </cell>
        </row>
        <row r="1824">
          <cell r="A1824">
            <v>120104</v>
          </cell>
          <cell r="BB1824">
            <v>3</v>
          </cell>
        </row>
        <row r="1825">
          <cell r="A1825">
            <v>120105</v>
          </cell>
          <cell r="BB1825">
            <v>3</v>
          </cell>
        </row>
        <row r="1826">
          <cell r="A1826">
            <v>120106</v>
          </cell>
          <cell r="BB1826">
            <v>3</v>
          </cell>
        </row>
        <row r="1827">
          <cell r="A1827">
            <v>120107</v>
          </cell>
          <cell r="BB1827">
            <v>3</v>
          </cell>
        </row>
        <row r="1828">
          <cell r="A1828">
            <v>120108</v>
          </cell>
          <cell r="BB1828">
            <v>3</v>
          </cell>
        </row>
        <row r="1829">
          <cell r="A1829">
            <v>120109</v>
          </cell>
          <cell r="BB1829">
            <v>3</v>
          </cell>
        </row>
        <row r="1830">
          <cell r="A1830">
            <v>120110</v>
          </cell>
          <cell r="BB1830">
            <v>3</v>
          </cell>
        </row>
        <row r="1831">
          <cell r="A1831">
            <v>120111</v>
          </cell>
          <cell r="BB1831">
            <v>4</v>
          </cell>
        </row>
        <row r="1832">
          <cell r="A1832">
            <v>120112</v>
          </cell>
          <cell r="BB1832">
            <v>4</v>
          </cell>
        </row>
        <row r="1833">
          <cell r="A1833">
            <v>120113</v>
          </cell>
          <cell r="BB1833">
            <v>4</v>
          </cell>
        </row>
        <row r="1834">
          <cell r="A1834">
            <v>120114</v>
          </cell>
          <cell r="BB1834">
            <v>4</v>
          </cell>
        </row>
        <row r="1835">
          <cell r="A1835">
            <v>120115</v>
          </cell>
          <cell r="BB1835">
            <v>4</v>
          </cell>
        </row>
        <row r="1836">
          <cell r="A1836">
            <v>120116</v>
          </cell>
          <cell r="BB1836">
            <v>4</v>
          </cell>
        </row>
        <row r="1837">
          <cell r="A1837">
            <v>120117</v>
          </cell>
          <cell r="BB1837">
            <v>4</v>
          </cell>
        </row>
        <row r="1838">
          <cell r="A1838">
            <v>120118</v>
          </cell>
          <cell r="BB1838">
            <v>4</v>
          </cell>
        </row>
        <row r="1839">
          <cell r="A1839">
            <v>120119</v>
          </cell>
          <cell r="BB1839">
            <v>4</v>
          </cell>
        </row>
        <row r="1840">
          <cell r="A1840">
            <v>120120</v>
          </cell>
          <cell r="BB1840">
            <v>4</v>
          </cell>
        </row>
        <row r="1841">
          <cell r="A1841">
            <v>120121</v>
          </cell>
          <cell r="BB1841">
            <v>5</v>
          </cell>
        </row>
        <row r="1842">
          <cell r="A1842">
            <v>120122</v>
          </cell>
          <cell r="BB1842">
            <v>5</v>
          </cell>
        </row>
        <row r="1843">
          <cell r="A1843">
            <v>120123</v>
          </cell>
          <cell r="BB1843">
            <v>5</v>
          </cell>
        </row>
        <row r="1844">
          <cell r="A1844">
            <v>120124</v>
          </cell>
          <cell r="BB1844">
            <v>5</v>
          </cell>
        </row>
        <row r="1845">
          <cell r="A1845">
            <v>120125</v>
          </cell>
          <cell r="BB1845">
            <v>5</v>
          </cell>
        </row>
        <row r="1846">
          <cell r="A1846">
            <v>120126</v>
          </cell>
          <cell r="BB1846">
            <v>5</v>
          </cell>
        </row>
        <row r="1847">
          <cell r="A1847">
            <v>120127</v>
          </cell>
          <cell r="BB1847">
            <v>5</v>
          </cell>
        </row>
        <row r="1848">
          <cell r="A1848">
            <v>120128</v>
          </cell>
          <cell r="BB1848">
            <v>5</v>
          </cell>
        </row>
        <row r="1849">
          <cell r="A1849">
            <v>120129</v>
          </cell>
          <cell r="BB1849">
            <v>5</v>
          </cell>
        </row>
        <row r="1850">
          <cell r="A1850">
            <v>120130</v>
          </cell>
          <cell r="BB1850">
            <v>5</v>
          </cell>
        </row>
        <row r="1851">
          <cell r="A1851">
            <v>120131</v>
          </cell>
          <cell r="BB1851">
            <v>6</v>
          </cell>
        </row>
        <row r="1852">
          <cell r="A1852">
            <v>120132</v>
          </cell>
          <cell r="BB1852">
            <v>6</v>
          </cell>
        </row>
        <row r="1853">
          <cell r="A1853">
            <v>120133</v>
          </cell>
          <cell r="BB1853">
            <v>6</v>
          </cell>
        </row>
        <row r="1854">
          <cell r="A1854">
            <v>120134</v>
          </cell>
          <cell r="BB1854">
            <v>6</v>
          </cell>
        </row>
        <row r="1855">
          <cell r="A1855">
            <v>120135</v>
          </cell>
          <cell r="BB1855">
            <v>6</v>
          </cell>
        </row>
        <row r="1856">
          <cell r="A1856">
            <v>120136</v>
          </cell>
          <cell r="BB1856">
            <v>6</v>
          </cell>
        </row>
        <row r="1857">
          <cell r="A1857">
            <v>120137</v>
          </cell>
          <cell r="BB1857">
            <v>6</v>
          </cell>
        </row>
        <row r="1858">
          <cell r="A1858">
            <v>120138</v>
          </cell>
          <cell r="BB1858">
            <v>6</v>
          </cell>
        </row>
        <row r="1859">
          <cell r="A1859">
            <v>120139</v>
          </cell>
          <cell r="BB1859">
            <v>6</v>
          </cell>
        </row>
        <row r="1860">
          <cell r="A1860">
            <v>120140</v>
          </cell>
          <cell r="BB1860">
            <v>6</v>
          </cell>
        </row>
        <row r="1861">
          <cell r="A1861">
            <v>120141</v>
          </cell>
          <cell r="BB1861">
            <v>7</v>
          </cell>
        </row>
        <row r="1862">
          <cell r="A1862">
            <v>120142</v>
          </cell>
          <cell r="BB1862">
            <v>7</v>
          </cell>
        </row>
        <row r="1863">
          <cell r="A1863">
            <v>120143</v>
          </cell>
          <cell r="BB1863">
            <v>7</v>
          </cell>
        </row>
        <row r="1864">
          <cell r="A1864">
            <v>120144</v>
          </cell>
          <cell r="BB1864">
            <v>7</v>
          </cell>
        </row>
        <row r="1865">
          <cell r="A1865">
            <v>120145</v>
          </cell>
          <cell r="BB1865">
            <v>7</v>
          </cell>
        </row>
        <row r="1866">
          <cell r="A1866">
            <v>120146</v>
          </cell>
          <cell r="BB1866">
            <v>7</v>
          </cell>
        </row>
        <row r="1867">
          <cell r="A1867">
            <v>120147</v>
          </cell>
          <cell r="BB1867">
            <v>7</v>
          </cell>
        </row>
        <row r="1868">
          <cell r="A1868">
            <v>120148</v>
          </cell>
          <cell r="BB1868">
            <v>7</v>
          </cell>
        </row>
        <row r="1869">
          <cell r="A1869">
            <v>120149</v>
          </cell>
          <cell r="BB1869">
            <v>7</v>
          </cell>
        </row>
        <row r="1870">
          <cell r="A1870">
            <v>120150</v>
          </cell>
          <cell r="BB1870">
            <v>7</v>
          </cell>
        </row>
        <row r="1871">
          <cell r="A1871">
            <v>120151</v>
          </cell>
          <cell r="BB1871">
            <v>8</v>
          </cell>
        </row>
        <row r="1872">
          <cell r="A1872">
            <v>120152</v>
          </cell>
          <cell r="BB1872">
            <v>8</v>
          </cell>
        </row>
        <row r="1873">
          <cell r="A1873">
            <v>120153</v>
          </cell>
          <cell r="BB1873">
            <v>8</v>
          </cell>
        </row>
        <row r="1874">
          <cell r="A1874">
            <v>120154</v>
          </cell>
          <cell r="BB1874">
            <v>8</v>
          </cell>
        </row>
        <row r="1875">
          <cell r="A1875">
            <v>120155</v>
          </cell>
          <cell r="BB1875">
            <v>8</v>
          </cell>
        </row>
        <row r="1876">
          <cell r="A1876">
            <v>120156</v>
          </cell>
          <cell r="BB1876">
            <v>8</v>
          </cell>
        </row>
        <row r="1877">
          <cell r="A1877">
            <v>120157</v>
          </cell>
          <cell r="BB1877">
            <v>8</v>
          </cell>
        </row>
        <row r="1878">
          <cell r="A1878">
            <v>120158</v>
          </cell>
          <cell r="BB1878">
            <v>8</v>
          </cell>
        </row>
        <row r="1879">
          <cell r="A1879">
            <v>120159</v>
          </cell>
          <cell r="BB1879">
            <v>8</v>
          </cell>
        </row>
        <row r="1880">
          <cell r="A1880">
            <v>120160</v>
          </cell>
          <cell r="BB1880">
            <v>8</v>
          </cell>
        </row>
        <row r="1881">
          <cell r="A1881">
            <v>120161</v>
          </cell>
          <cell r="BB1881">
            <v>9</v>
          </cell>
        </row>
        <row r="1882">
          <cell r="A1882">
            <v>120162</v>
          </cell>
          <cell r="BB1882">
            <v>9</v>
          </cell>
        </row>
        <row r="1883">
          <cell r="A1883">
            <v>120163</v>
          </cell>
          <cell r="BB1883">
            <v>9</v>
          </cell>
        </row>
        <row r="1884">
          <cell r="A1884">
            <v>120164</v>
          </cell>
          <cell r="BB1884">
            <v>9</v>
          </cell>
        </row>
        <row r="1885">
          <cell r="A1885">
            <v>120165</v>
          </cell>
          <cell r="BB1885">
            <v>9</v>
          </cell>
        </row>
        <row r="1886">
          <cell r="A1886">
            <v>120166</v>
          </cell>
          <cell r="BB1886">
            <v>9</v>
          </cell>
        </row>
        <row r="1887">
          <cell r="A1887">
            <v>120167</v>
          </cell>
          <cell r="BB1887">
            <v>9</v>
          </cell>
        </row>
        <row r="1888">
          <cell r="A1888">
            <v>120168</v>
          </cell>
          <cell r="BB1888">
            <v>9</v>
          </cell>
        </row>
        <row r="1889">
          <cell r="A1889">
            <v>120169</v>
          </cell>
          <cell r="BB1889">
            <v>9</v>
          </cell>
        </row>
        <row r="1890">
          <cell r="A1890">
            <v>120170</v>
          </cell>
          <cell r="BB1890">
            <v>9</v>
          </cell>
        </row>
        <row r="1891">
          <cell r="A1891">
            <v>120171</v>
          </cell>
          <cell r="BB1891">
            <v>10</v>
          </cell>
        </row>
        <row r="1892">
          <cell r="A1892">
            <v>120172</v>
          </cell>
          <cell r="BB1892">
            <v>10</v>
          </cell>
        </row>
        <row r="1893">
          <cell r="A1893">
            <v>120173</v>
          </cell>
          <cell r="BB1893">
            <v>10</v>
          </cell>
        </row>
        <row r="1894">
          <cell r="A1894">
            <v>120174</v>
          </cell>
          <cell r="BB1894">
            <v>10</v>
          </cell>
        </row>
        <row r="1895">
          <cell r="A1895">
            <v>120175</v>
          </cell>
          <cell r="BB1895">
            <v>10</v>
          </cell>
        </row>
        <row r="1896">
          <cell r="A1896">
            <v>120176</v>
          </cell>
          <cell r="BB1896">
            <v>10</v>
          </cell>
        </row>
        <row r="1897">
          <cell r="A1897">
            <v>120177</v>
          </cell>
          <cell r="BB1897">
            <v>10</v>
          </cell>
        </row>
        <row r="1898">
          <cell r="A1898">
            <v>120178</v>
          </cell>
          <cell r="BB1898">
            <v>10</v>
          </cell>
        </row>
        <row r="1899">
          <cell r="A1899">
            <v>120179</v>
          </cell>
          <cell r="BB1899">
            <v>10</v>
          </cell>
        </row>
        <row r="1900">
          <cell r="A1900">
            <v>120180</v>
          </cell>
          <cell r="BB1900">
            <v>10</v>
          </cell>
        </row>
        <row r="1901">
          <cell r="A1901">
            <v>120181</v>
          </cell>
          <cell r="BB1901">
            <v>11</v>
          </cell>
        </row>
        <row r="1902">
          <cell r="A1902">
            <v>120182</v>
          </cell>
          <cell r="BB1902">
            <v>11</v>
          </cell>
        </row>
        <row r="1903">
          <cell r="A1903">
            <v>120183</v>
          </cell>
          <cell r="BB1903">
            <v>11</v>
          </cell>
        </row>
        <row r="1904">
          <cell r="A1904">
            <v>120184</v>
          </cell>
          <cell r="BB1904">
            <v>11</v>
          </cell>
        </row>
        <row r="1905">
          <cell r="A1905">
            <v>120185</v>
          </cell>
          <cell r="BB1905">
            <v>11</v>
          </cell>
        </row>
        <row r="1906">
          <cell r="A1906">
            <v>120186</v>
          </cell>
          <cell r="BB1906">
            <v>1</v>
          </cell>
        </row>
        <row r="1907">
          <cell r="A1907">
            <v>120187</v>
          </cell>
          <cell r="BB1907">
            <v>1</v>
          </cell>
        </row>
        <row r="1908">
          <cell r="A1908">
            <v>120188</v>
          </cell>
          <cell r="BB1908">
            <v>1</v>
          </cell>
        </row>
        <row r="1909">
          <cell r="A1909">
            <v>120189</v>
          </cell>
          <cell r="BB1909">
            <v>1</v>
          </cell>
        </row>
        <row r="1910">
          <cell r="A1910">
            <v>120190</v>
          </cell>
          <cell r="BB1910">
            <v>1</v>
          </cell>
        </row>
        <row r="1911">
          <cell r="A1911">
            <v>120191</v>
          </cell>
          <cell r="BB1911">
            <v>1</v>
          </cell>
        </row>
        <row r="1912">
          <cell r="A1912">
            <v>120192</v>
          </cell>
          <cell r="BB1912">
            <v>1</v>
          </cell>
        </row>
        <row r="1913">
          <cell r="A1913">
            <v>120193</v>
          </cell>
          <cell r="BB1913">
            <v>1</v>
          </cell>
        </row>
        <row r="1914">
          <cell r="A1914">
            <v>120194</v>
          </cell>
          <cell r="BB1914">
            <v>1</v>
          </cell>
        </row>
        <row r="1915">
          <cell r="A1915">
            <v>120195</v>
          </cell>
          <cell r="BB1915">
            <v>1</v>
          </cell>
        </row>
        <row r="1916">
          <cell r="A1916">
            <v>120196</v>
          </cell>
          <cell r="BB1916">
            <v>2</v>
          </cell>
        </row>
        <row r="1917">
          <cell r="A1917">
            <v>120197</v>
          </cell>
          <cell r="BB1917">
            <v>2</v>
          </cell>
        </row>
        <row r="1918">
          <cell r="A1918">
            <v>120198</v>
          </cell>
          <cell r="BB1918">
            <v>2</v>
          </cell>
        </row>
        <row r="1919">
          <cell r="A1919">
            <v>120199</v>
          </cell>
          <cell r="BB1919">
            <v>2</v>
          </cell>
        </row>
        <row r="1920">
          <cell r="A1920">
            <v>120200</v>
          </cell>
          <cell r="BB1920">
            <v>2</v>
          </cell>
        </row>
        <row r="1921">
          <cell r="A1921">
            <v>120201</v>
          </cell>
          <cell r="BB1921">
            <v>2</v>
          </cell>
        </row>
        <row r="1922">
          <cell r="A1922">
            <v>120202</v>
          </cell>
          <cell r="BB1922">
            <v>2</v>
          </cell>
        </row>
        <row r="1923">
          <cell r="A1923">
            <v>120203</v>
          </cell>
          <cell r="BB1923">
            <v>2</v>
          </cell>
        </row>
        <row r="1924">
          <cell r="A1924">
            <v>120204</v>
          </cell>
          <cell r="BB1924">
            <v>2</v>
          </cell>
        </row>
        <row r="1925">
          <cell r="A1925">
            <v>120205</v>
          </cell>
          <cell r="BB1925">
            <v>2</v>
          </cell>
        </row>
        <row r="1926">
          <cell r="A1926">
            <v>120206</v>
          </cell>
          <cell r="BB1926">
            <v>3</v>
          </cell>
        </row>
        <row r="1927">
          <cell r="A1927">
            <v>120207</v>
          </cell>
          <cell r="BB1927">
            <v>3</v>
          </cell>
        </row>
        <row r="1928">
          <cell r="A1928">
            <v>120208</v>
          </cell>
          <cell r="BB1928">
            <v>3</v>
          </cell>
        </row>
        <row r="1929">
          <cell r="A1929">
            <v>120209</v>
          </cell>
          <cell r="BB1929">
            <v>3</v>
          </cell>
        </row>
        <row r="1930">
          <cell r="A1930">
            <v>120210</v>
          </cell>
          <cell r="BB1930">
            <v>3</v>
          </cell>
        </row>
        <row r="1931">
          <cell r="A1931">
            <v>120211</v>
          </cell>
          <cell r="BB1931">
            <v>3</v>
          </cell>
        </row>
        <row r="1932">
          <cell r="A1932">
            <v>120212</v>
          </cell>
          <cell r="BB1932">
            <v>3</v>
          </cell>
        </row>
        <row r="1933">
          <cell r="A1933">
            <v>120213</v>
          </cell>
          <cell r="BB1933">
            <v>3</v>
          </cell>
        </row>
        <row r="1934">
          <cell r="A1934">
            <v>120214</v>
          </cell>
          <cell r="BB1934">
            <v>3</v>
          </cell>
        </row>
        <row r="1935">
          <cell r="A1935">
            <v>120215</v>
          </cell>
          <cell r="BB1935">
            <v>3</v>
          </cell>
        </row>
        <row r="1936">
          <cell r="A1936">
            <v>120216</v>
          </cell>
          <cell r="BB1936">
            <v>4</v>
          </cell>
        </row>
        <row r="1937">
          <cell r="A1937">
            <v>120217</v>
          </cell>
          <cell r="BB1937">
            <v>4</v>
          </cell>
        </row>
        <row r="1938">
          <cell r="A1938">
            <v>120218</v>
          </cell>
          <cell r="BB1938">
            <v>4</v>
          </cell>
        </row>
        <row r="1939">
          <cell r="A1939">
            <v>120219</v>
          </cell>
          <cell r="BB1939">
            <v>4</v>
          </cell>
        </row>
        <row r="1940">
          <cell r="A1940">
            <v>120220</v>
          </cell>
          <cell r="BB1940">
            <v>4</v>
          </cell>
        </row>
        <row r="1941">
          <cell r="A1941">
            <v>120221</v>
          </cell>
          <cell r="BB1941">
            <v>4</v>
          </cell>
        </row>
        <row r="1942">
          <cell r="A1942">
            <v>120222</v>
          </cell>
          <cell r="BB1942">
            <v>4</v>
          </cell>
        </row>
        <row r="1943">
          <cell r="A1943">
            <v>120223</v>
          </cell>
          <cell r="BB1943">
            <v>4</v>
          </cell>
        </row>
        <row r="1944">
          <cell r="A1944">
            <v>120224</v>
          </cell>
          <cell r="BB1944">
            <v>4</v>
          </cell>
        </row>
        <row r="1945">
          <cell r="A1945">
            <v>120225</v>
          </cell>
          <cell r="BB1945">
            <v>4</v>
          </cell>
        </row>
        <row r="1946">
          <cell r="A1946">
            <v>120226</v>
          </cell>
          <cell r="BB1946">
            <v>5</v>
          </cell>
        </row>
        <row r="1947">
          <cell r="A1947">
            <v>120227</v>
          </cell>
          <cell r="BB1947">
            <v>5</v>
          </cell>
        </row>
        <row r="1948">
          <cell r="A1948">
            <v>120228</v>
          </cell>
          <cell r="BB1948">
            <v>5</v>
          </cell>
        </row>
        <row r="1949">
          <cell r="A1949">
            <v>120229</v>
          </cell>
          <cell r="BB1949">
            <v>5</v>
          </cell>
        </row>
        <row r="1950">
          <cell r="A1950">
            <v>120230</v>
          </cell>
          <cell r="BB1950">
            <v>5</v>
          </cell>
        </row>
        <row r="1951">
          <cell r="A1951">
            <v>120231</v>
          </cell>
          <cell r="BB1951">
            <v>5</v>
          </cell>
        </row>
        <row r="1952">
          <cell r="A1952">
            <v>120232</v>
          </cell>
          <cell r="BB1952">
            <v>5</v>
          </cell>
        </row>
        <row r="1953">
          <cell r="A1953">
            <v>120233</v>
          </cell>
          <cell r="BB1953">
            <v>5</v>
          </cell>
        </row>
        <row r="1954">
          <cell r="A1954">
            <v>120234</v>
          </cell>
          <cell r="BB1954">
            <v>5</v>
          </cell>
        </row>
        <row r="1955">
          <cell r="A1955">
            <v>120235</v>
          </cell>
          <cell r="BB1955">
            <v>5</v>
          </cell>
        </row>
        <row r="1956">
          <cell r="A1956">
            <v>120236</v>
          </cell>
          <cell r="BB1956">
            <v>6</v>
          </cell>
        </row>
        <row r="1957">
          <cell r="A1957">
            <v>120237</v>
          </cell>
          <cell r="BB1957">
            <v>6</v>
          </cell>
        </row>
        <row r="1958">
          <cell r="A1958">
            <v>120238</v>
          </cell>
          <cell r="BB1958">
            <v>6</v>
          </cell>
        </row>
        <row r="1959">
          <cell r="A1959">
            <v>120239</v>
          </cell>
          <cell r="BB1959">
            <v>6</v>
          </cell>
        </row>
        <row r="1960">
          <cell r="A1960">
            <v>120240</v>
          </cell>
          <cell r="BB1960">
            <v>6</v>
          </cell>
        </row>
        <row r="1961">
          <cell r="A1961">
            <v>120241</v>
          </cell>
          <cell r="BB1961">
            <v>6</v>
          </cell>
        </row>
        <row r="1962">
          <cell r="A1962">
            <v>120242</v>
          </cell>
          <cell r="BB1962">
            <v>6</v>
          </cell>
        </row>
        <row r="1963">
          <cell r="A1963">
            <v>120243</v>
          </cell>
          <cell r="BB1963">
            <v>6</v>
          </cell>
        </row>
        <row r="1964">
          <cell r="A1964">
            <v>120244</v>
          </cell>
          <cell r="BB1964">
            <v>6</v>
          </cell>
        </row>
        <row r="1965">
          <cell r="A1965">
            <v>120245</v>
          </cell>
          <cell r="BB1965">
            <v>6</v>
          </cell>
        </row>
        <row r="1966">
          <cell r="A1966">
            <v>120246</v>
          </cell>
          <cell r="BB1966">
            <v>7</v>
          </cell>
        </row>
        <row r="1967">
          <cell r="A1967">
            <v>120247</v>
          </cell>
          <cell r="BB1967">
            <v>7</v>
          </cell>
        </row>
        <row r="1968">
          <cell r="A1968">
            <v>120248</v>
          </cell>
          <cell r="BB1968">
            <v>7</v>
          </cell>
        </row>
        <row r="1969">
          <cell r="A1969">
            <v>120249</v>
          </cell>
          <cell r="BB1969">
            <v>7</v>
          </cell>
        </row>
        <row r="1970">
          <cell r="A1970">
            <v>120250</v>
          </cell>
          <cell r="BB1970">
            <v>7</v>
          </cell>
        </row>
        <row r="1971">
          <cell r="A1971">
            <v>120251</v>
          </cell>
          <cell r="BB1971">
            <v>7</v>
          </cell>
        </row>
        <row r="1972">
          <cell r="A1972">
            <v>120252</v>
          </cell>
          <cell r="BB1972">
            <v>7</v>
          </cell>
        </row>
        <row r="1973">
          <cell r="A1973">
            <v>120253</v>
          </cell>
          <cell r="BB1973">
            <v>7</v>
          </cell>
        </row>
        <row r="1974">
          <cell r="A1974">
            <v>120254</v>
          </cell>
          <cell r="BB1974">
            <v>7</v>
          </cell>
        </row>
        <row r="1975">
          <cell r="A1975">
            <v>120255</v>
          </cell>
          <cell r="BB1975">
            <v>7</v>
          </cell>
        </row>
        <row r="1976">
          <cell r="A1976">
            <v>120256</v>
          </cell>
          <cell r="BB1976">
            <v>8</v>
          </cell>
        </row>
        <row r="1977">
          <cell r="A1977">
            <v>120257</v>
          </cell>
          <cell r="BB1977">
            <v>8</v>
          </cell>
        </row>
        <row r="1978">
          <cell r="A1978">
            <v>120258</v>
          </cell>
          <cell r="BB1978">
            <v>8</v>
          </cell>
        </row>
        <row r="1979">
          <cell r="A1979">
            <v>120259</v>
          </cell>
          <cell r="BB1979">
            <v>8</v>
          </cell>
        </row>
        <row r="1980">
          <cell r="A1980">
            <v>120260</v>
          </cell>
          <cell r="BB1980">
            <v>8</v>
          </cell>
        </row>
        <row r="1981">
          <cell r="A1981">
            <v>120261</v>
          </cell>
          <cell r="BB1981">
            <v>8</v>
          </cell>
        </row>
        <row r="1982">
          <cell r="A1982">
            <v>120262</v>
          </cell>
          <cell r="BB1982">
            <v>8</v>
          </cell>
        </row>
        <row r="1983">
          <cell r="A1983">
            <v>120263</v>
          </cell>
          <cell r="BB1983">
            <v>8</v>
          </cell>
        </row>
        <row r="1984">
          <cell r="A1984">
            <v>120264</v>
          </cell>
          <cell r="BB1984">
            <v>8</v>
          </cell>
        </row>
        <row r="1985">
          <cell r="A1985">
            <v>120265</v>
          </cell>
          <cell r="BB1985">
            <v>8</v>
          </cell>
        </row>
        <row r="1986">
          <cell r="A1986">
            <v>120266</v>
          </cell>
          <cell r="BB1986">
            <v>1</v>
          </cell>
        </row>
        <row r="1987">
          <cell r="A1987">
            <v>120267</v>
          </cell>
          <cell r="BB1987">
            <v>1</v>
          </cell>
        </row>
        <row r="1988">
          <cell r="A1988">
            <v>120268</v>
          </cell>
          <cell r="BB1988">
            <v>1</v>
          </cell>
        </row>
        <row r="1989">
          <cell r="A1989">
            <v>120269</v>
          </cell>
          <cell r="BB1989">
            <v>1</v>
          </cell>
        </row>
        <row r="1990">
          <cell r="A1990">
            <v>120270</v>
          </cell>
          <cell r="BB1990">
            <v>1</v>
          </cell>
        </row>
        <row r="1991">
          <cell r="A1991">
            <v>120271</v>
          </cell>
          <cell r="BB1991">
            <v>1</v>
          </cell>
        </row>
        <row r="1992">
          <cell r="A1992">
            <v>120272</v>
          </cell>
          <cell r="BB1992">
            <v>1</v>
          </cell>
        </row>
        <row r="1993">
          <cell r="A1993">
            <v>120273</v>
          </cell>
          <cell r="BB1993">
            <v>1</v>
          </cell>
        </row>
        <row r="1994">
          <cell r="A1994">
            <v>120274</v>
          </cell>
          <cell r="BB1994">
            <v>1</v>
          </cell>
        </row>
        <row r="1995">
          <cell r="A1995">
            <v>120275</v>
          </cell>
          <cell r="BB1995">
            <v>1</v>
          </cell>
        </row>
        <row r="1996">
          <cell r="A1996">
            <v>120276</v>
          </cell>
          <cell r="BB1996">
            <v>2</v>
          </cell>
        </row>
        <row r="1997">
          <cell r="A1997">
            <v>120277</v>
          </cell>
          <cell r="BB1997">
            <v>2</v>
          </cell>
        </row>
        <row r="1998">
          <cell r="A1998">
            <v>120278</v>
          </cell>
          <cell r="BB1998">
            <v>2</v>
          </cell>
        </row>
        <row r="1999">
          <cell r="A1999">
            <v>120279</v>
          </cell>
          <cell r="BB1999">
            <v>2</v>
          </cell>
        </row>
        <row r="2000">
          <cell r="A2000">
            <v>120280</v>
          </cell>
          <cell r="BB2000">
            <v>2</v>
          </cell>
        </row>
        <row r="2001">
          <cell r="A2001">
            <v>120281</v>
          </cell>
          <cell r="BB2001">
            <v>2</v>
          </cell>
        </row>
        <row r="2002">
          <cell r="A2002">
            <v>120282</v>
          </cell>
          <cell r="BB2002">
            <v>2</v>
          </cell>
        </row>
        <row r="2003">
          <cell r="A2003">
            <v>120283</v>
          </cell>
          <cell r="BB2003">
            <v>2</v>
          </cell>
        </row>
        <row r="2004">
          <cell r="A2004">
            <v>120284</v>
          </cell>
          <cell r="BB2004">
            <v>2</v>
          </cell>
        </row>
        <row r="2005">
          <cell r="A2005">
            <v>120285</v>
          </cell>
          <cell r="BB2005">
            <v>2</v>
          </cell>
        </row>
        <row r="2006">
          <cell r="A2006">
            <v>120286</v>
          </cell>
          <cell r="BB2006">
            <v>3</v>
          </cell>
        </row>
        <row r="2007">
          <cell r="A2007">
            <v>120287</v>
          </cell>
          <cell r="BB2007">
            <v>3</v>
          </cell>
        </row>
        <row r="2008">
          <cell r="A2008">
            <v>120288</v>
          </cell>
          <cell r="BB2008">
            <v>3</v>
          </cell>
        </row>
        <row r="2009">
          <cell r="A2009">
            <v>120289</v>
          </cell>
          <cell r="BB2009">
            <v>3</v>
          </cell>
        </row>
        <row r="2010">
          <cell r="A2010">
            <v>120290</v>
          </cell>
          <cell r="BB2010">
            <v>3</v>
          </cell>
        </row>
        <row r="2011">
          <cell r="A2011">
            <v>120291</v>
          </cell>
          <cell r="BB2011">
            <v>3</v>
          </cell>
        </row>
        <row r="2012">
          <cell r="A2012">
            <v>120292</v>
          </cell>
          <cell r="BB2012">
            <v>3</v>
          </cell>
        </row>
        <row r="2013">
          <cell r="A2013">
            <v>120293</v>
          </cell>
          <cell r="BB2013">
            <v>3</v>
          </cell>
        </row>
        <row r="2014">
          <cell r="A2014">
            <v>120294</v>
          </cell>
          <cell r="BB2014">
            <v>3</v>
          </cell>
        </row>
        <row r="2015">
          <cell r="A2015">
            <v>120295</v>
          </cell>
          <cell r="BB2015">
            <v>3</v>
          </cell>
        </row>
        <row r="2016">
          <cell r="A2016">
            <v>120296</v>
          </cell>
          <cell r="BB2016">
            <v>4</v>
          </cell>
        </row>
        <row r="2017">
          <cell r="A2017">
            <v>120297</v>
          </cell>
          <cell r="BB2017">
            <v>4</v>
          </cell>
        </row>
        <row r="2018">
          <cell r="A2018">
            <v>120298</v>
          </cell>
          <cell r="BB2018">
            <v>4</v>
          </cell>
        </row>
        <row r="2019">
          <cell r="A2019">
            <v>120299</v>
          </cell>
          <cell r="BB2019">
            <v>4</v>
          </cell>
        </row>
        <row r="2020">
          <cell r="A2020">
            <v>120300</v>
          </cell>
          <cell r="BB2020">
            <v>4</v>
          </cell>
        </row>
        <row r="2021">
          <cell r="A2021">
            <v>120301</v>
          </cell>
          <cell r="BB2021">
            <v>4</v>
          </cell>
        </row>
        <row r="2022">
          <cell r="A2022">
            <v>120302</v>
          </cell>
          <cell r="BB2022">
            <v>4</v>
          </cell>
        </row>
        <row r="2023">
          <cell r="A2023">
            <v>120303</v>
          </cell>
          <cell r="BB2023">
            <v>4</v>
          </cell>
        </row>
        <row r="2024">
          <cell r="A2024">
            <v>120304</v>
          </cell>
          <cell r="BB2024">
            <v>4</v>
          </cell>
        </row>
        <row r="2025">
          <cell r="A2025">
            <v>120305</v>
          </cell>
          <cell r="BB2025">
            <v>4</v>
          </cell>
        </row>
        <row r="2026">
          <cell r="A2026">
            <v>120306</v>
          </cell>
          <cell r="BB2026">
            <v>5</v>
          </cell>
        </row>
        <row r="2027">
          <cell r="A2027">
            <v>120307</v>
          </cell>
          <cell r="BB2027">
            <v>5</v>
          </cell>
        </row>
        <row r="2028">
          <cell r="A2028">
            <v>120308</v>
          </cell>
          <cell r="BB2028">
            <v>5</v>
          </cell>
        </row>
        <row r="2029">
          <cell r="A2029">
            <v>120309</v>
          </cell>
          <cell r="BB2029">
            <v>5</v>
          </cell>
        </row>
        <row r="2030">
          <cell r="A2030">
            <v>120310</v>
          </cell>
          <cell r="BB2030">
            <v>5</v>
          </cell>
        </row>
        <row r="2031">
          <cell r="A2031">
            <v>120311</v>
          </cell>
          <cell r="BB2031">
            <v>5</v>
          </cell>
        </row>
        <row r="2032">
          <cell r="A2032">
            <v>120312</v>
          </cell>
          <cell r="BB2032">
            <v>5</v>
          </cell>
        </row>
        <row r="2033">
          <cell r="A2033">
            <v>120313</v>
          </cell>
          <cell r="BB2033">
            <v>5</v>
          </cell>
        </row>
        <row r="2034">
          <cell r="A2034">
            <v>120314</v>
          </cell>
          <cell r="BB2034">
            <v>5</v>
          </cell>
        </row>
        <row r="2035">
          <cell r="A2035">
            <v>120315</v>
          </cell>
          <cell r="BB2035">
            <v>5</v>
          </cell>
        </row>
        <row r="2036">
          <cell r="A2036">
            <v>120316</v>
          </cell>
          <cell r="BB2036">
            <v>6</v>
          </cell>
        </row>
        <row r="2037">
          <cell r="A2037">
            <v>120317</v>
          </cell>
          <cell r="BB2037">
            <v>6</v>
          </cell>
        </row>
        <row r="2038">
          <cell r="A2038">
            <v>120318</v>
          </cell>
          <cell r="BB2038">
            <v>6</v>
          </cell>
        </row>
        <row r="2039">
          <cell r="A2039">
            <v>120319</v>
          </cell>
          <cell r="BB2039">
            <v>6</v>
          </cell>
        </row>
        <row r="2040">
          <cell r="A2040">
            <v>120320</v>
          </cell>
          <cell r="BB2040">
            <v>6</v>
          </cell>
        </row>
        <row r="2041">
          <cell r="A2041">
            <v>120321</v>
          </cell>
          <cell r="BB2041">
            <v>6</v>
          </cell>
        </row>
        <row r="2042">
          <cell r="A2042">
            <v>120322</v>
          </cell>
          <cell r="BB2042">
            <v>6</v>
          </cell>
        </row>
        <row r="2043">
          <cell r="A2043">
            <v>120323</v>
          </cell>
          <cell r="BB2043">
            <v>6</v>
          </cell>
        </row>
        <row r="2044">
          <cell r="A2044">
            <v>120324</v>
          </cell>
          <cell r="BB2044">
            <v>6</v>
          </cell>
        </row>
        <row r="2045">
          <cell r="A2045">
            <v>120325</v>
          </cell>
          <cell r="BB2045">
            <v>6</v>
          </cell>
        </row>
        <row r="2046">
          <cell r="A2046">
            <v>120326</v>
          </cell>
          <cell r="BB2046">
            <v>7</v>
          </cell>
        </row>
        <row r="2047">
          <cell r="A2047">
            <v>120327</v>
          </cell>
          <cell r="BB2047">
            <v>7</v>
          </cell>
        </row>
        <row r="2048">
          <cell r="A2048">
            <v>120328</v>
          </cell>
          <cell r="BB2048">
            <v>7</v>
          </cell>
        </row>
        <row r="2049">
          <cell r="A2049">
            <v>120329</v>
          </cell>
          <cell r="BB2049">
            <v>7</v>
          </cell>
        </row>
        <row r="2050">
          <cell r="A2050">
            <v>120330</v>
          </cell>
          <cell r="BB2050">
            <v>7</v>
          </cell>
        </row>
        <row r="2051">
          <cell r="A2051">
            <v>120331</v>
          </cell>
          <cell r="BB2051">
            <v>7</v>
          </cell>
        </row>
        <row r="2052">
          <cell r="A2052">
            <v>120332</v>
          </cell>
          <cell r="BB2052">
            <v>7</v>
          </cell>
        </row>
        <row r="2053">
          <cell r="A2053">
            <v>120333</v>
          </cell>
          <cell r="BB2053">
            <v>7</v>
          </cell>
        </row>
        <row r="2054">
          <cell r="A2054">
            <v>120334</v>
          </cell>
          <cell r="BB2054">
            <v>7</v>
          </cell>
        </row>
        <row r="2055">
          <cell r="A2055">
            <v>120335</v>
          </cell>
          <cell r="BB2055">
            <v>7</v>
          </cell>
        </row>
        <row r="2056">
          <cell r="A2056">
            <v>120336</v>
          </cell>
          <cell r="BB2056">
            <v>8</v>
          </cell>
        </row>
        <row r="2057">
          <cell r="A2057">
            <v>120337</v>
          </cell>
          <cell r="BB2057">
            <v>8</v>
          </cell>
        </row>
        <row r="2058">
          <cell r="A2058">
            <v>120338</v>
          </cell>
          <cell r="BB2058">
            <v>8</v>
          </cell>
        </row>
        <row r="2059">
          <cell r="A2059">
            <v>120339</v>
          </cell>
          <cell r="BB2059">
            <v>8</v>
          </cell>
        </row>
        <row r="2060">
          <cell r="A2060">
            <v>120340</v>
          </cell>
          <cell r="BB2060">
            <v>8</v>
          </cell>
        </row>
        <row r="2061">
          <cell r="A2061">
            <v>120341</v>
          </cell>
          <cell r="BB2061">
            <v>8</v>
          </cell>
        </row>
        <row r="2062">
          <cell r="A2062">
            <v>120342</v>
          </cell>
          <cell r="BB2062">
            <v>8</v>
          </cell>
        </row>
        <row r="2063">
          <cell r="A2063">
            <v>120343</v>
          </cell>
          <cell r="BB2063">
            <v>8</v>
          </cell>
        </row>
        <row r="2064">
          <cell r="A2064">
            <v>120344</v>
          </cell>
          <cell r="BB2064">
            <v>8</v>
          </cell>
        </row>
        <row r="2065">
          <cell r="A2065">
            <v>120345</v>
          </cell>
          <cell r="BB2065">
            <v>8</v>
          </cell>
        </row>
        <row r="2066">
          <cell r="A2066">
            <v>120346</v>
          </cell>
          <cell r="BB2066">
            <v>9</v>
          </cell>
        </row>
        <row r="2067">
          <cell r="A2067">
            <v>120347</v>
          </cell>
          <cell r="BB2067">
            <v>9</v>
          </cell>
        </row>
        <row r="2068">
          <cell r="A2068">
            <v>120348</v>
          </cell>
          <cell r="BB2068">
            <v>9</v>
          </cell>
        </row>
        <row r="2069">
          <cell r="A2069">
            <v>120349</v>
          </cell>
          <cell r="BB2069">
            <v>9</v>
          </cell>
        </row>
        <row r="2070">
          <cell r="A2070">
            <v>120350</v>
          </cell>
          <cell r="BB2070">
            <v>9</v>
          </cell>
        </row>
        <row r="2071">
          <cell r="A2071">
            <v>120351</v>
          </cell>
          <cell r="BB2071">
            <v>9</v>
          </cell>
        </row>
        <row r="2072">
          <cell r="A2072">
            <v>120352</v>
          </cell>
          <cell r="BB2072">
            <v>9</v>
          </cell>
        </row>
        <row r="2073">
          <cell r="A2073">
            <v>120353</v>
          </cell>
          <cell r="BB2073">
            <v>9</v>
          </cell>
        </row>
        <row r="2074">
          <cell r="A2074">
            <v>120354</v>
          </cell>
          <cell r="BB2074">
            <v>9</v>
          </cell>
        </row>
        <row r="2075">
          <cell r="A2075">
            <v>120355</v>
          </cell>
          <cell r="BB2075">
            <v>9</v>
          </cell>
        </row>
        <row r="2076">
          <cell r="A2076">
            <v>120356</v>
          </cell>
          <cell r="BB2076">
            <v>10</v>
          </cell>
        </row>
        <row r="2077">
          <cell r="A2077">
            <v>120357</v>
          </cell>
          <cell r="BB2077">
            <v>10</v>
          </cell>
        </row>
        <row r="2078">
          <cell r="A2078">
            <v>120358</v>
          </cell>
          <cell r="BB2078">
            <v>10</v>
          </cell>
        </row>
        <row r="2079">
          <cell r="A2079">
            <v>120359</v>
          </cell>
          <cell r="BB2079">
            <v>10</v>
          </cell>
        </row>
        <row r="2080">
          <cell r="A2080">
            <v>120360</v>
          </cell>
          <cell r="BB2080">
            <v>10</v>
          </cell>
        </row>
        <row r="2081">
          <cell r="A2081">
            <v>120361</v>
          </cell>
          <cell r="BB2081">
            <v>10</v>
          </cell>
        </row>
        <row r="2082">
          <cell r="A2082">
            <v>120362</v>
          </cell>
          <cell r="BB2082">
            <v>10</v>
          </cell>
        </row>
        <row r="2083">
          <cell r="A2083">
            <v>120363</v>
          </cell>
          <cell r="BB2083">
            <v>10</v>
          </cell>
        </row>
        <row r="2084">
          <cell r="A2084">
            <v>120364</v>
          </cell>
          <cell r="BB2084">
            <v>10</v>
          </cell>
        </row>
        <row r="2085">
          <cell r="A2085">
            <v>120365</v>
          </cell>
          <cell r="BB2085">
            <v>10</v>
          </cell>
        </row>
        <row r="2086">
          <cell r="A2086">
            <v>120366</v>
          </cell>
          <cell r="BB2086">
            <v>11</v>
          </cell>
        </row>
        <row r="2087">
          <cell r="A2087">
            <v>120367</v>
          </cell>
          <cell r="BB2087">
            <v>11</v>
          </cell>
        </row>
        <row r="2088">
          <cell r="A2088">
            <v>120368</v>
          </cell>
          <cell r="BB2088">
            <v>11</v>
          </cell>
        </row>
        <row r="2089">
          <cell r="A2089">
            <v>120369</v>
          </cell>
          <cell r="BB2089">
            <v>11</v>
          </cell>
        </row>
        <row r="2090">
          <cell r="A2090">
            <v>120370</v>
          </cell>
          <cell r="BB2090">
            <v>11</v>
          </cell>
        </row>
        <row r="2091">
          <cell r="A2091">
            <v>120371</v>
          </cell>
          <cell r="BB2091">
            <v>1</v>
          </cell>
        </row>
        <row r="2092">
          <cell r="A2092">
            <v>120372</v>
          </cell>
          <cell r="BB2092">
            <v>1</v>
          </cell>
        </row>
        <row r="2093">
          <cell r="A2093">
            <v>120373</v>
          </cell>
          <cell r="BB2093">
            <v>1</v>
          </cell>
        </row>
        <row r="2094">
          <cell r="A2094">
            <v>120374</v>
          </cell>
          <cell r="BB2094">
            <v>1</v>
          </cell>
        </row>
        <row r="2095">
          <cell r="A2095">
            <v>120375</v>
          </cell>
          <cell r="BB2095">
            <v>1</v>
          </cell>
        </row>
        <row r="2096">
          <cell r="A2096">
            <v>120376</v>
          </cell>
          <cell r="BB2096">
            <v>1</v>
          </cell>
        </row>
        <row r="2097">
          <cell r="A2097">
            <v>120377</v>
          </cell>
          <cell r="BB2097">
            <v>1</v>
          </cell>
        </row>
        <row r="2098">
          <cell r="A2098">
            <v>120378</v>
          </cell>
          <cell r="BB2098">
            <v>1</v>
          </cell>
        </row>
        <row r="2099">
          <cell r="A2099">
            <v>120379</v>
          </cell>
          <cell r="BB2099">
            <v>1</v>
          </cell>
        </row>
        <row r="2100">
          <cell r="A2100">
            <v>120380</v>
          </cell>
          <cell r="BB2100">
            <v>1</v>
          </cell>
        </row>
        <row r="2101">
          <cell r="A2101">
            <v>120381</v>
          </cell>
          <cell r="BB2101">
            <v>2</v>
          </cell>
        </row>
        <row r="2102">
          <cell r="A2102">
            <v>120382</v>
          </cell>
          <cell r="BB2102">
            <v>2</v>
          </cell>
        </row>
        <row r="2103">
          <cell r="A2103">
            <v>120383</v>
          </cell>
          <cell r="BB2103">
            <v>2</v>
          </cell>
        </row>
        <row r="2104">
          <cell r="A2104">
            <v>120384</v>
          </cell>
          <cell r="BB2104">
            <v>2</v>
          </cell>
        </row>
        <row r="2105">
          <cell r="A2105">
            <v>120385</v>
          </cell>
          <cell r="BB2105">
            <v>2</v>
          </cell>
        </row>
        <row r="2106">
          <cell r="A2106">
            <v>120386</v>
          </cell>
          <cell r="BB2106">
            <v>2</v>
          </cell>
        </row>
        <row r="2107">
          <cell r="A2107">
            <v>120387</v>
          </cell>
          <cell r="BB2107">
            <v>2</v>
          </cell>
        </row>
        <row r="2108">
          <cell r="A2108">
            <v>120388</v>
          </cell>
          <cell r="BB2108">
            <v>2</v>
          </cell>
        </row>
        <row r="2109">
          <cell r="A2109">
            <v>120389</v>
          </cell>
          <cell r="BB2109">
            <v>2</v>
          </cell>
        </row>
        <row r="2110">
          <cell r="A2110">
            <v>120390</v>
          </cell>
          <cell r="BB2110">
            <v>2</v>
          </cell>
        </row>
        <row r="2111">
          <cell r="A2111">
            <v>120391</v>
          </cell>
          <cell r="BB2111">
            <v>3</v>
          </cell>
        </row>
        <row r="2112">
          <cell r="A2112">
            <v>120392</v>
          </cell>
          <cell r="BB2112">
            <v>3</v>
          </cell>
        </row>
        <row r="2113">
          <cell r="A2113">
            <v>120393</v>
          </cell>
          <cell r="BB2113">
            <v>3</v>
          </cell>
        </row>
        <row r="2114">
          <cell r="A2114">
            <v>120394</v>
          </cell>
          <cell r="BB2114">
            <v>3</v>
          </cell>
        </row>
        <row r="2115">
          <cell r="A2115">
            <v>120395</v>
          </cell>
          <cell r="BB2115">
            <v>3</v>
          </cell>
        </row>
        <row r="2116">
          <cell r="A2116">
            <v>120396</v>
          </cell>
          <cell r="BB2116">
            <v>3</v>
          </cell>
        </row>
        <row r="2117">
          <cell r="A2117">
            <v>120397</v>
          </cell>
          <cell r="BB2117">
            <v>3</v>
          </cell>
        </row>
        <row r="2118">
          <cell r="A2118">
            <v>120398</v>
          </cell>
          <cell r="BB2118">
            <v>3</v>
          </cell>
        </row>
        <row r="2119">
          <cell r="A2119">
            <v>120399</v>
          </cell>
          <cell r="BB2119">
            <v>3</v>
          </cell>
        </row>
        <row r="2120">
          <cell r="A2120">
            <v>120400</v>
          </cell>
          <cell r="BB2120">
            <v>3</v>
          </cell>
        </row>
        <row r="2121">
          <cell r="A2121">
            <v>120401</v>
          </cell>
          <cell r="BB2121">
            <v>4</v>
          </cell>
        </row>
        <row r="2122">
          <cell r="A2122">
            <v>120402</v>
          </cell>
          <cell r="BB2122">
            <v>4</v>
          </cell>
        </row>
        <row r="2123">
          <cell r="A2123">
            <v>120403</v>
          </cell>
          <cell r="BB2123">
            <v>4</v>
          </cell>
        </row>
        <row r="2124">
          <cell r="A2124">
            <v>120404</v>
          </cell>
          <cell r="BB2124">
            <v>4</v>
          </cell>
        </row>
        <row r="2125">
          <cell r="A2125">
            <v>120405</v>
          </cell>
          <cell r="BB2125">
            <v>4</v>
          </cell>
        </row>
        <row r="2126">
          <cell r="A2126">
            <v>120406</v>
          </cell>
          <cell r="BB2126">
            <v>4</v>
          </cell>
        </row>
        <row r="2127">
          <cell r="A2127">
            <v>120407</v>
          </cell>
          <cell r="BB2127">
            <v>4</v>
          </cell>
        </row>
        <row r="2128">
          <cell r="A2128">
            <v>120408</v>
          </cell>
          <cell r="BB2128">
            <v>4</v>
          </cell>
        </row>
        <row r="2129">
          <cell r="A2129">
            <v>120409</v>
          </cell>
          <cell r="BB2129">
            <v>4</v>
          </cell>
        </row>
        <row r="2130">
          <cell r="A2130">
            <v>120410</v>
          </cell>
          <cell r="BB2130">
            <v>4</v>
          </cell>
        </row>
        <row r="2131">
          <cell r="A2131">
            <v>120411</v>
          </cell>
          <cell r="BB2131">
            <v>5</v>
          </cell>
        </row>
        <row r="2132">
          <cell r="A2132">
            <v>120412</v>
          </cell>
          <cell r="BB2132">
            <v>5</v>
          </cell>
        </row>
        <row r="2133">
          <cell r="A2133">
            <v>120413</v>
          </cell>
          <cell r="BB2133">
            <v>5</v>
          </cell>
        </row>
        <row r="2134">
          <cell r="A2134">
            <v>120414</v>
          </cell>
          <cell r="BB2134">
            <v>5</v>
          </cell>
        </row>
        <row r="2135">
          <cell r="A2135">
            <v>120415</v>
          </cell>
          <cell r="BB2135">
            <v>5</v>
          </cell>
        </row>
        <row r="2136">
          <cell r="A2136">
            <v>120416</v>
          </cell>
          <cell r="BB2136">
            <v>5</v>
          </cell>
        </row>
        <row r="2137">
          <cell r="A2137">
            <v>120417</v>
          </cell>
          <cell r="BB2137">
            <v>5</v>
          </cell>
        </row>
        <row r="2138">
          <cell r="A2138">
            <v>120418</v>
          </cell>
          <cell r="BB2138">
            <v>5</v>
          </cell>
        </row>
        <row r="2139">
          <cell r="A2139">
            <v>120419</v>
          </cell>
          <cell r="BB2139">
            <v>5</v>
          </cell>
        </row>
        <row r="2140">
          <cell r="A2140">
            <v>120420</v>
          </cell>
          <cell r="BB2140">
            <v>5</v>
          </cell>
        </row>
        <row r="2141">
          <cell r="A2141">
            <v>120421</v>
          </cell>
          <cell r="BB2141">
            <v>6</v>
          </cell>
        </row>
        <row r="2142">
          <cell r="A2142">
            <v>120422</v>
          </cell>
          <cell r="BB2142">
            <v>6</v>
          </cell>
        </row>
        <row r="2143">
          <cell r="A2143">
            <v>120423</v>
          </cell>
          <cell r="BB2143">
            <v>6</v>
          </cell>
        </row>
        <row r="2144">
          <cell r="A2144">
            <v>120424</v>
          </cell>
          <cell r="BB2144">
            <v>6</v>
          </cell>
        </row>
        <row r="2145">
          <cell r="A2145">
            <v>120425</v>
          </cell>
          <cell r="BB2145">
            <v>6</v>
          </cell>
        </row>
        <row r="2146">
          <cell r="A2146">
            <v>120426</v>
          </cell>
          <cell r="BB2146">
            <v>6</v>
          </cell>
        </row>
        <row r="2147">
          <cell r="A2147">
            <v>120427</v>
          </cell>
          <cell r="BB2147">
            <v>6</v>
          </cell>
        </row>
        <row r="2148">
          <cell r="A2148">
            <v>120428</v>
          </cell>
          <cell r="BB2148">
            <v>6</v>
          </cell>
        </row>
        <row r="2149">
          <cell r="A2149">
            <v>120429</v>
          </cell>
          <cell r="BB2149">
            <v>6</v>
          </cell>
        </row>
        <row r="2150">
          <cell r="A2150">
            <v>120430</v>
          </cell>
          <cell r="BB2150">
            <v>6</v>
          </cell>
        </row>
        <row r="2151">
          <cell r="A2151">
            <v>120431</v>
          </cell>
          <cell r="BB2151">
            <v>7</v>
          </cell>
        </row>
        <row r="2152">
          <cell r="A2152">
            <v>120432</v>
          </cell>
          <cell r="BB2152">
            <v>7</v>
          </cell>
        </row>
        <row r="2153">
          <cell r="A2153">
            <v>120433</v>
          </cell>
          <cell r="BB2153">
            <v>7</v>
          </cell>
        </row>
        <row r="2154">
          <cell r="A2154">
            <v>120434</v>
          </cell>
          <cell r="BB2154">
            <v>7</v>
          </cell>
        </row>
        <row r="2155">
          <cell r="A2155">
            <v>120435</v>
          </cell>
          <cell r="BB2155">
            <v>7</v>
          </cell>
        </row>
        <row r="2156">
          <cell r="A2156">
            <v>120436</v>
          </cell>
          <cell r="BB2156">
            <v>7</v>
          </cell>
        </row>
        <row r="2157">
          <cell r="A2157">
            <v>120437</v>
          </cell>
          <cell r="BB2157">
            <v>7</v>
          </cell>
        </row>
        <row r="2158">
          <cell r="A2158">
            <v>120438</v>
          </cell>
          <cell r="BB2158">
            <v>7</v>
          </cell>
        </row>
        <row r="2159">
          <cell r="A2159">
            <v>120439</v>
          </cell>
          <cell r="BB2159">
            <v>7</v>
          </cell>
        </row>
        <row r="2160">
          <cell r="A2160">
            <v>120440</v>
          </cell>
          <cell r="BB2160">
            <v>7</v>
          </cell>
        </row>
        <row r="2161">
          <cell r="A2161">
            <v>120441</v>
          </cell>
          <cell r="BB2161">
            <v>8</v>
          </cell>
        </row>
        <row r="2162">
          <cell r="A2162">
            <v>120442</v>
          </cell>
          <cell r="BB2162">
            <v>8</v>
          </cell>
        </row>
        <row r="2163">
          <cell r="A2163">
            <v>120443</v>
          </cell>
          <cell r="BB2163">
            <v>8</v>
          </cell>
        </row>
        <row r="2164">
          <cell r="A2164">
            <v>120444</v>
          </cell>
          <cell r="BB2164">
            <v>8</v>
          </cell>
        </row>
        <row r="2165">
          <cell r="A2165">
            <v>120445</v>
          </cell>
          <cell r="BB2165">
            <v>8</v>
          </cell>
        </row>
        <row r="2166">
          <cell r="A2166">
            <v>120446</v>
          </cell>
          <cell r="BB2166">
            <v>8</v>
          </cell>
        </row>
        <row r="2167">
          <cell r="A2167">
            <v>120447</v>
          </cell>
          <cell r="BB2167">
            <v>8</v>
          </cell>
        </row>
        <row r="2168">
          <cell r="A2168">
            <v>120448</v>
          </cell>
          <cell r="BB2168">
            <v>8</v>
          </cell>
        </row>
        <row r="2169">
          <cell r="A2169">
            <v>120449</v>
          </cell>
          <cell r="BB2169">
            <v>8</v>
          </cell>
        </row>
        <row r="2170">
          <cell r="A2170">
            <v>120450</v>
          </cell>
          <cell r="BB2170">
            <v>8</v>
          </cell>
        </row>
        <row r="2171">
          <cell r="A2171">
            <v>120451</v>
          </cell>
          <cell r="BB2171">
            <v>9</v>
          </cell>
        </row>
        <row r="2172">
          <cell r="A2172">
            <v>120452</v>
          </cell>
          <cell r="BB2172">
            <v>9</v>
          </cell>
        </row>
        <row r="2173">
          <cell r="A2173">
            <v>120453</v>
          </cell>
          <cell r="BB2173">
            <v>9</v>
          </cell>
        </row>
        <row r="2174">
          <cell r="A2174">
            <v>120454</v>
          </cell>
          <cell r="BB2174">
            <v>9</v>
          </cell>
        </row>
        <row r="2175">
          <cell r="A2175">
            <v>120455</v>
          </cell>
          <cell r="BB2175">
            <v>9</v>
          </cell>
        </row>
        <row r="2176">
          <cell r="A2176">
            <v>120456</v>
          </cell>
          <cell r="BB2176">
            <v>9</v>
          </cell>
        </row>
        <row r="2177">
          <cell r="A2177">
            <v>120457</v>
          </cell>
          <cell r="BB2177">
            <v>9</v>
          </cell>
        </row>
        <row r="2178">
          <cell r="A2178">
            <v>120458</v>
          </cell>
          <cell r="BB2178">
            <v>9</v>
          </cell>
        </row>
        <row r="2179">
          <cell r="A2179">
            <v>120459</v>
          </cell>
          <cell r="BB2179">
            <v>9</v>
          </cell>
        </row>
        <row r="2180">
          <cell r="A2180">
            <v>120460</v>
          </cell>
          <cell r="BB2180">
            <v>9</v>
          </cell>
        </row>
        <row r="2181">
          <cell r="A2181">
            <v>120461</v>
          </cell>
          <cell r="BB2181">
            <v>10</v>
          </cell>
        </row>
        <row r="2182">
          <cell r="A2182">
            <v>120462</v>
          </cell>
          <cell r="BB2182">
            <v>10</v>
          </cell>
        </row>
        <row r="2183">
          <cell r="A2183">
            <v>120463</v>
          </cell>
          <cell r="BB2183">
            <v>10</v>
          </cell>
        </row>
        <row r="2184">
          <cell r="A2184">
            <v>120464</v>
          </cell>
          <cell r="BB2184">
            <v>10</v>
          </cell>
        </row>
        <row r="2185">
          <cell r="A2185">
            <v>120465</v>
          </cell>
          <cell r="BB2185">
            <v>10</v>
          </cell>
        </row>
        <row r="2186">
          <cell r="A2186">
            <v>120466</v>
          </cell>
          <cell r="BB2186">
            <v>10</v>
          </cell>
        </row>
        <row r="2187">
          <cell r="A2187">
            <v>120467</v>
          </cell>
          <cell r="BB2187">
            <v>10</v>
          </cell>
        </row>
        <row r="2188">
          <cell r="A2188">
            <v>120468</v>
          </cell>
          <cell r="BB2188">
            <v>10</v>
          </cell>
        </row>
        <row r="2189">
          <cell r="A2189">
            <v>120469</v>
          </cell>
          <cell r="BB2189">
            <v>10</v>
          </cell>
        </row>
        <row r="2190">
          <cell r="A2190">
            <v>120470</v>
          </cell>
          <cell r="BB2190">
            <v>10</v>
          </cell>
        </row>
        <row r="2191">
          <cell r="A2191">
            <v>120471</v>
          </cell>
          <cell r="BB2191">
            <v>11</v>
          </cell>
        </row>
        <row r="2192">
          <cell r="A2192">
            <v>120472</v>
          </cell>
          <cell r="BB2192">
            <v>11</v>
          </cell>
        </row>
        <row r="2193">
          <cell r="A2193">
            <v>120473</v>
          </cell>
          <cell r="BB2193">
            <v>11</v>
          </cell>
        </row>
        <row r="2194">
          <cell r="A2194">
            <v>120474</v>
          </cell>
          <cell r="BB2194">
            <v>11</v>
          </cell>
        </row>
        <row r="2195">
          <cell r="A2195">
            <v>120475</v>
          </cell>
          <cell r="BB2195">
            <v>11</v>
          </cell>
        </row>
        <row r="2196">
          <cell r="A2196">
            <v>120476</v>
          </cell>
          <cell r="BB2196">
            <v>11</v>
          </cell>
        </row>
        <row r="2197">
          <cell r="A2197">
            <v>120477</v>
          </cell>
          <cell r="BB2197">
            <v>11</v>
          </cell>
        </row>
        <row r="2198">
          <cell r="A2198">
            <v>120478</v>
          </cell>
          <cell r="BB2198">
            <v>11</v>
          </cell>
        </row>
        <row r="2199">
          <cell r="A2199">
            <v>120479</v>
          </cell>
          <cell r="BB2199">
            <v>11</v>
          </cell>
        </row>
        <row r="2200">
          <cell r="A2200">
            <v>120480</v>
          </cell>
          <cell r="BB2200">
            <v>11</v>
          </cell>
        </row>
        <row r="2201">
          <cell r="A2201">
            <v>120481</v>
          </cell>
          <cell r="BB2201">
            <v>12</v>
          </cell>
        </row>
        <row r="2202">
          <cell r="A2202">
            <v>120482</v>
          </cell>
          <cell r="BB2202">
            <v>12</v>
          </cell>
        </row>
        <row r="2203">
          <cell r="A2203">
            <v>120483</v>
          </cell>
          <cell r="BB2203">
            <v>12</v>
          </cell>
        </row>
        <row r="2204">
          <cell r="A2204">
            <v>120484</v>
          </cell>
          <cell r="BB2204">
            <v>12</v>
          </cell>
        </row>
        <row r="2205">
          <cell r="A2205">
            <v>120485</v>
          </cell>
          <cell r="BB2205">
            <v>12</v>
          </cell>
        </row>
        <row r="2206">
          <cell r="A2206">
            <v>120486</v>
          </cell>
          <cell r="BB2206">
            <v>12</v>
          </cell>
        </row>
        <row r="2207">
          <cell r="A2207">
            <v>120487</v>
          </cell>
          <cell r="BB2207">
            <v>12</v>
          </cell>
        </row>
        <row r="2208">
          <cell r="A2208">
            <v>120488</v>
          </cell>
          <cell r="BB2208">
            <v>12</v>
          </cell>
        </row>
        <row r="2209">
          <cell r="A2209">
            <v>120489</v>
          </cell>
          <cell r="BB2209">
            <v>12</v>
          </cell>
        </row>
        <row r="2210">
          <cell r="A2210">
            <v>120490</v>
          </cell>
          <cell r="BB2210">
            <v>12</v>
          </cell>
        </row>
        <row r="2211">
          <cell r="A2211">
            <v>120491</v>
          </cell>
          <cell r="BB2211">
            <v>1</v>
          </cell>
        </row>
        <row r="2212">
          <cell r="A2212">
            <v>120492</v>
          </cell>
          <cell r="BB2212">
            <v>1</v>
          </cell>
        </row>
        <row r="2213">
          <cell r="A2213">
            <v>120493</v>
          </cell>
          <cell r="BB2213">
            <v>1</v>
          </cell>
        </row>
        <row r="2214">
          <cell r="A2214">
            <v>120494</v>
          </cell>
          <cell r="BB2214">
            <v>1</v>
          </cell>
        </row>
        <row r="2215">
          <cell r="A2215">
            <v>120495</v>
          </cell>
          <cell r="BB2215">
            <v>1</v>
          </cell>
        </row>
        <row r="2216">
          <cell r="A2216">
            <v>120496</v>
          </cell>
          <cell r="BB2216">
            <v>13</v>
          </cell>
        </row>
        <row r="2217">
          <cell r="A2217">
            <v>120497</v>
          </cell>
          <cell r="BB2217">
            <v>13</v>
          </cell>
        </row>
        <row r="2218">
          <cell r="A2218">
            <v>120498</v>
          </cell>
          <cell r="BB2218">
            <v>13</v>
          </cell>
        </row>
        <row r="2219">
          <cell r="A2219">
            <v>120499</v>
          </cell>
          <cell r="BB2219">
            <v>13</v>
          </cell>
        </row>
        <row r="2220">
          <cell r="A2220">
            <v>120500</v>
          </cell>
          <cell r="BB2220">
            <v>13</v>
          </cell>
        </row>
        <row r="2221">
          <cell r="A2221">
            <v>120501</v>
          </cell>
          <cell r="BB2221">
            <v>2</v>
          </cell>
        </row>
        <row r="2222">
          <cell r="A2222">
            <v>120502</v>
          </cell>
          <cell r="BB2222">
            <v>2</v>
          </cell>
        </row>
        <row r="2223">
          <cell r="A2223">
            <v>120503</v>
          </cell>
          <cell r="BB2223">
            <v>2</v>
          </cell>
        </row>
        <row r="2224">
          <cell r="A2224">
            <v>120504</v>
          </cell>
          <cell r="BB2224">
            <v>2</v>
          </cell>
        </row>
        <row r="2225">
          <cell r="A2225">
            <v>120505</v>
          </cell>
          <cell r="BB2225">
            <v>2</v>
          </cell>
        </row>
        <row r="2226">
          <cell r="A2226">
            <v>120506</v>
          </cell>
          <cell r="BB2226">
            <v>14</v>
          </cell>
        </row>
        <row r="2227">
          <cell r="A2227">
            <v>120507</v>
          </cell>
          <cell r="BB2227">
            <v>14</v>
          </cell>
        </row>
        <row r="2228">
          <cell r="A2228">
            <v>120508</v>
          </cell>
          <cell r="BB2228">
            <v>14</v>
          </cell>
        </row>
        <row r="2229">
          <cell r="A2229">
            <v>120509</v>
          </cell>
          <cell r="BB2229">
            <v>14</v>
          </cell>
        </row>
        <row r="2230">
          <cell r="A2230">
            <v>120510</v>
          </cell>
          <cell r="BB2230">
            <v>14</v>
          </cell>
        </row>
        <row r="2231">
          <cell r="A2231">
            <v>120511</v>
          </cell>
          <cell r="BB2231">
            <v>3</v>
          </cell>
        </row>
        <row r="2232">
          <cell r="A2232">
            <v>120512</v>
          </cell>
          <cell r="BB2232">
            <v>3</v>
          </cell>
        </row>
        <row r="2233">
          <cell r="A2233">
            <v>120513</v>
          </cell>
          <cell r="BB2233">
            <v>3</v>
          </cell>
        </row>
        <row r="2234">
          <cell r="A2234">
            <v>120514</v>
          </cell>
          <cell r="BB2234">
            <v>3</v>
          </cell>
        </row>
        <row r="2235">
          <cell r="A2235">
            <v>120515</v>
          </cell>
          <cell r="BB2235">
            <v>3</v>
          </cell>
        </row>
        <row r="2236">
          <cell r="A2236">
            <v>120516</v>
          </cell>
          <cell r="BB2236">
            <v>15</v>
          </cell>
        </row>
        <row r="2237">
          <cell r="A2237">
            <v>120517</v>
          </cell>
          <cell r="BB2237">
            <v>15</v>
          </cell>
        </row>
        <row r="2238">
          <cell r="A2238">
            <v>120518</v>
          </cell>
          <cell r="BB2238">
            <v>15</v>
          </cell>
        </row>
        <row r="2239">
          <cell r="A2239">
            <v>120519</v>
          </cell>
          <cell r="BB2239">
            <v>15</v>
          </cell>
        </row>
        <row r="2240">
          <cell r="A2240">
            <v>120520</v>
          </cell>
          <cell r="BB2240">
            <v>15</v>
          </cell>
        </row>
        <row r="2241">
          <cell r="A2241">
            <v>120521</v>
          </cell>
          <cell r="BB2241">
            <v>4</v>
          </cell>
        </row>
        <row r="2242">
          <cell r="A2242">
            <v>120522</v>
          </cell>
          <cell r="BB2242">
            <v>4</v>
          </cell>
        </row>
        <row r="2243">
          <cell r="A2243">
            <v>120523</v>
          </cell>
          <cell r="BB2243">
            <v>4</v>
          </cell>
        </row>
        <row r="2244">
          <cell r="A2244">
            <v>120524</v>
          </cell>
          <cell r="BB2244">
            <v>4</v>
          </cell>
        </row>
        <row r="2245">
          <cell r="A2245">
            <v>120525</v>
          </cell>
          <cell r="BB2245">
            <v>4</v>
          </cell>
        </row>
        <row r="2246">
          <cell r="A2246">
            <v>120526</v>
          </cell>
          <cell r="BB2246">
            <v>16</v>
          </cell>
        </row>
        <row r="2247">
          <cell r="A2247">
            <v>120527</v>
          </cell>
          <cell r="BB2247">
            <v>16</v>
          </cell>
        </row>
        <row r="2248">
          <cell r="A2248">
            <v>120528</v>
          </cell>
          <cell r="BB2248">
            <v>16</v>
          </cell>
        </row>
        <row r="2249">
          <cell r="A2249">
            <v>120529</v>
          </cell>
          <cell r="BB2249">
            <v>16</v>
          </cell>
        </row>
        <row r="2250">
          <cell r="A2250">
            <v>120530</v>
          </cell>
          <cell r="BB2250">
            <v>16</v>
          </cell>
        </row>
        <row r="2251">
          <cell r="A2251">
            <v>120531</v>
          </cell>
          <cell r="BB2251">
            <v>5</v>
          </cell>
        </row>
        <row r="2252">
          <cell r="A2252">
            <v>120532</v>
          </cell>
          <cell r="BB2252">
            <v>5</v>
          </cell>
        </row>
        <row r="2253">
          <cell r="A2253">
            <v>120533</v>
          </cell>
          <cell r="BB2253">
            <v>5</v>
          </cell>
        </row>
        <row r="2254">
          <cell r="A2254">
            <v>120534</v>
          </cell>
          <cell r="BB2254">
            <v>5</v>
          </cell>
        </row>
        <row r="2255">
          <cell r="A2255">
            <v>120535</v>
          </cell>
          <cell r="BB2255">
            <v>5</v>
          </cell>
        </row>
        <row r="2256">
          <cell r="A2256">
            <v>120536</v>
          </cell>
          <cell r="BB2256">
            <v>17</v>
          </cell>
        </row>
        <row r="2257">
          <cell r="A2257">
            <v>120537</v>
          </cell>
          <cell r="BB2257">
            <v>17</v>
          </cell>
        </row>
        <row r="2258">
          <cell r="A2258">
            <v>120538</v>
          </cell>
          <cell r="BB2258">
            <v>17</v>
          </cell>
        </row>
        <row r="2259">
          <cell r="A2259">
            <v>120539</v>
          </cell>
          <cell r="BB2259">
            <v>17</v>
          </cell>
        </row>
        <row r="2260">
          <cell r="A2260">
            <v>120540</v>
          </cell>
          <cell r="BB2260">
            <v>17</v>
          </cell>
        </row>
        <row r="2261">
          <cell r="A2261">
            <v>120541</v>
          </cell>
          <cell r="BB2261">
            <v>6</v>
          </cell>
        </row>
        <row r="2262">
          <cell r="A2262">
            <v>120542</v>
          </cell>
          <cell r="BB2262">
            <v>6</v>
          </cell>
        </row>
        <row r="2263">
          <cell r="A2263">
            <v>120543</v>
          </cell>
          <cell r="BB2263">
            <v>6</v>
          </cell>
        </row>
        <row r="2264">
          <cell r="A2264">
            <v>120544</v>
          </cell>
          <cell r="BB2264">
            <v>6</v>
          </cell>
        </row>
        <row r="2265">
          <cell r="A2265">
            <v>120545</v>
          </cell>
          <cell r="BB2265">
            <v>6</v>
          </cell>
        </row>
        <row r="2266">
          <cell r="A2266">
            <v>120546</v>
          </cell>
          <cell r="BB2266">
            <v>18</v>
          </cell>
        </row>
        <row r="2267">
          <cell r="A2267">
            <v>120547</v>
          </cell>
          <cell r="BB2267">
            <v>18</v>
          </cell>
        </row>
        <row r="2268">
          <cell r="A2268">
            <v>120548</v>
          </cell>
          <cell r="BB2268">
            <v>18</v>
          </cell>
        </row>
        <row r="2269">
          <cell r="A2269">
            <v>120549</v>
          </cell>
          <cell r="BB2269">
            <v>18</v>
          </cell>
        </row>
        <row r="2270">
          <cell r="A2270">
            <v>120550</v>
          </cell>
          <cell r="BB2270">
            <v>18</v>
          </cell>
        </row>
        <row r="2271">
          <cell r="A2271">
            <v>120551</v>
          </cell>
          <cell r="BB2271">
            <v>7</v>
          </cell>
        </row>
        <row r="2272">
          <cell r="A2272">
            <v>120552</v>
          </cell>
          <cell r="BB2272">
            <v>7</v>
          </cell>
        </row>
        <row r="2273">
          <cell r="A2273">
            <v>120553</v>
          </cell>
          <cell r="BB2273">
            <v>7</v>
          </cell>
        </row>
        <row r="2274">
          <cell r="A2274">
            <v>120554</v>
          </cell>
          <cell r="BB2274">
            <v>7</v>
          </cell>
        </row>
        <row r="2275">
          <cell r="A2275">
            <v>120555</v>
          </cell>
          <cell r="BB2275">
            <v>7</v>
          </cell>
        </row>
        <row r="2276">
          <cell r="A2276">
            <v>120556</v>
          </cell>
          <cell r="BB2276">
            <v>1</v>
          </cell>
        </row>
        <row r="2277">
          <cell r="A2277">
            <v>120557</v>
          </cell>
          <cell r="BB2277">
            <v>1</v>
          </cell>
        </row>
        <row r="2278">
          <cell r="A2278">
            <v>120558</v>
          </cell>
          <cell r="BB2278">
            <v>1</v>
          </cell>
        </row>
        <row r="2279">
          <cell r="A2279">
            <v>120559</v>
          </cell>
          <cell r="BB2279">
            <v>1</v>
          </cell>
        </row>
        <row r="2280">
          <cell r="A2280">
            <v>120560</v>
          </cell>
          <cell r="BB2280">
            <v>1</v>
          </cell>
        </row>
        <row r="2281">
          <cell r="A2281">
            <v>120561</v>
          </cell>
          <cell r="BB2281">
            <v>1</v>
          </cell>
        </row>
        <row r="2282">
          <cell r="A2282">
            <v>120562</v>
          </cell>
          <cell r="BB2282">
            <v>1</v>
          </cell>
        </row>
        <row r="2283">
          <cell r="A2283">
            <v>120563</v>
          </cell>
          <cell r="BB2283">
            <v>1</v>
          </cell>
        </row>
        <row r="2284">
          <cell r="A2284">
            <v>120564</v>
          </cell>
          <cell r="BB2284">
            <v>1</v>
          </cell>
        </row>
        <row r="2285">
          <cell r="A2285">
            <v>120565</v>
          </cell>
          <cell r="BB2285">
            <v>1</v>
          </cell>
        </row>
        <row r="2286">
          <cell r="A2286">
            <v>120566</v>
          </cell>
          <cell r="BB2286">
            <v>2</v>
          </cell>
        </row>
        <row r="2287">
          <cell r="A2287">
            <v>120567</v>
          </cell>
          <cell r="BB2287">
            <v>2</v>
          </cell>
        </row>
        <row r="2288">
          <cell r="A2288">
            <v>120568</v>
          </cell>
          <cell r="BB2288">
            <v>2</v>
          </cell>
        </row>
        <row r="2289">
          <cell r="A2289">
            <v>120569</v>
          </cell>
          <cell r="BB2289">
            <v>2</v>
          </cell>
        </row>
        <row r="2290">
          <cell r="A2290">
            <v>120570</v>
          </cell>
          <cell r="BB2290">
            <v>2</v>
          </cell>
        </row>
        <row r="2291">
          <cell r="A2291">
            <v>120571</v>
          </cell>
          <cell r="BB2291">
            <v>2</v>
          </cell>
        </row>
        <row r="2292">
          <cell r="A2292">
            <v>120572</v>
          </cell>
          <cell r="BB2292">
            <v>2</v>
          </cell>
        </row>
        <row r="2293">
          <cell r="A2293">
            <v>120573</v>
          </cell>
          <cell r="BB2293">
            <v>2</v>
          </cell>
        </row>
        <row r="2294">
          <cell r="A2294">
            <v>120574</v>
          </cell>
          <cell r="BB2294">
            <v>2</v>
          </cell>
        </row>
        <row r="2295">
          <cell r="A2295">
            <v>120575</v>
          </cell>
          <cell r="BB2295">
            <v>2</v>
          </cell>
        </row>
        <row r="2296">
          <cell r="A2296">
            <v>120576</v>
          </cell>
          <cell r="BB2296">
            <v>3</v>
          </cell>
        </row>
        <row r="2297">
          <cell r="A2297">
            <v>120577</v>
          </cell>
          <cell r="BB2297">
            <v>3</v>
          </cell>
        </row>
        <row r="2298">
          <cell r="A2298">
            <v>120578</v>
          </cell>
          <cell r="BB2298">
            <v>3</v>
          </cell>
        </row>
        <row r="2299">
          <cell r="A2299">
            <v>120579</v>
          </cell>
          <cell r="BB2299">
            <v>3</v>
          </cell>
        </row>
        <row r="2300">
          <cell r="A2300">
            <v>120580</v>
          </cell>
          <cell r="BB2300">
            <v>3</v>
          </cell>
        </row>
        <row r="2301">
          <cell r="A2301">
            <v>120581</v>
          </cell>
          <cell r="BB2301">
            <v>3</v>
          </cell>
        </row>
        <row r="2302">
          <cell r="A2302">
            <v>120582</v>
          </cell>
          <cell r="BB2302">
            <v>3</v>
          </cell>
        </row>
        <row r="2303">
          <cell r="A2303">
            <v>120583</v>
          </cell>
          <cell r="BB2303">
            <v>3</v>
          </cell>
        </row>
        <row r="2304">
          <cell r="A2304">
            <v>120584</v>
          </cell>
          <cell r="BB2304">
            <v>3</v>
          </cell>
        </row>
        <row r="2305">
          <cell r="A2305">
            <v>120585</v>
          </cell>
          <cell r="BB2305">
            <v>3</v>
          </cell>
        </row>
        <row r="2306">
          <cell r="A2306">
            <v>120586</v>
          </cell>
          <cell r="BB2306">
            <v>4</v>
          </cell>
        </row>
        <row r="2307">
          <cell r="A2307">
            <v>120587</v>
          </cell>
          <cell r="BB2307">
            <v>4</v>
          </cell>
        </row>
        <row r="2308">
          <cell r="A2308">
            <v>120588</v>
          </cell>
          <cell r="BB2308">
            <v>4</v>
          </cell>
        </row>
        <row r="2309">
          <cell r="A2309">
            <v>120589</v>
          </cell>
          <cell r="BB2309">
            <v>4</v>
          </cell>
        </row>
        <row r="2310">
          <cell r="A2310">
            <v>120590</v>
          </cell>
          <cell r="BB2310">
            <v>4</v>
          </cell>
        </row>
        <row r="2311">
          <cell r="A2311">
            <v>120591</v>
          </cell>
          <cell r="BB2311">
            <v>4</v>
          </cell>
        </row>
        <row r="2312">
          <cell r="A2312">
            <v>120592</v>
          </cell>
          <cell r="BB2312">
            <v>4</v>
          </cell>
        </row>
        <row r="2313">
          <cell r="A2313">
            <v>120593</v>
          </cell>
          <cell r="BB2313">
            <v>4</v>
          </cell>
        </row>
        <row r="2314">
          <cell r="A2314">
            <v>120594</v>
          </cell>
          <cell r="BB2314">
            <v>4</v>
          </cell>
        </row>
        <row r="2315">
          <cell r="A2315">
            <v>120595</v>
          </cell>
          <cell r="BB2315">
            <v>4</v>
          </cell>
        </row>
        <row r="2316">
          <cell r="A2316">
            <v>120596</v>
          </cell>
          <cell r="BB2316">
            <v>5</v>
          </cell>
        </row>
        <row r="2317">
          <cell r="A2317">
            <v>120597</v>
          </cell>
          <cell r="BB2317">
            <v>5</v>
          </cell>
        </row>
        <row r="2318">
          <cell r="A2318">
            <v>120598</v>
          </cell>
          <cell r="BB2318">
            <v>5</v>
          </cell>
        </row>
        <row r="2319">
          <cell r="A2319">
            <v>120599</v>
          </cell>
          <cell r="BB2319">
            <v>5</v>
          </cell>
        </row>
        <row r="2320">
          <cell r="A2320">
            <v>120600</v>
          </cell>
          <cell r="BB2320">
            <v>5</v>
          </cell>
        </row>
        <row r="2321">
          <cell r="A2321">
            <v>120601</v>
          </cell>
          <cell r="BB2321">
            <v>5</v>
          </cell>
        </row>
        <row r="2322">
          <cell r="A2322">
            <v>120602</v>
          </cell>
          <cell r="BB2322">
            <v>5</v>
          </cell>
        </row>
        <row r="2323">
          <cell r="A2323">
            <v>120603</v>
          </cell>
          <cell r="BB2323">
            <v>5</v>
          </cell>
        </row>
        <row r="2324">
          <cell r="A2324">
            <v>120604</v>
          </cell>
          <cell r="BB2324">
            <v>5</v>
          </cell>
        </row>
        <row r="2325">
          <cell r="A2325">
            <v>120605</v>
          </cell>
          <cell r="BB2325">
            <v>5</v>
          </cell>
        </row>
        <row r="2326">
          <cell r="A2326">
            <v>120606</v>
          </cell>
          <cell r="BB2326">
            <v>6</v>
          </cell>
        </row>
        <row r="2327">
          <cell r="A2327">
            <v>120607</v>
          </cell>
          <cell r="BB2327">
            <v>6</v>
          </cell>
        </row>
        <row r="2328">
          <cell r="A2328">
            <v>120608</v>
          </cell>
          <cell r="BB2328">
            <v>6</v>
          </cell>
        </row>
        <row r="2329">
          <cell r="A2329">
            <v>120609</v>
          </cell>
          <cell r="BB2329">
            <v>6</v>
          </cell>
        </row>
        <row r="2330">
          <cell r="A2330">
            <v>120610</v>
          </cell>
          <cell r="BB2330">
            <v>6</v>
          </cell>
        </row>
        <row r="2331">
          <cell r="A2331">
            <v>120611</v>
          </cell>
          <cell r="BB2331">
            <v>6</v>
          </cell>
        </row>
        <row r="2332">
          <cell r="A2332">
            <v>120612</v>
          </cell>
          <cell r="BB2332">
            <v>6</v>
          </cell>
        </row>
        <row r="2333">
          <cell r="A2333">
            <v>120613</v>
          </cell>
          <cell r="BB2333">
            <v>6</v>
          </cell>
        </row>
        <row r="2334">
          <cell r="A2334">
            <v>120614</v>
          </cell>
          <cell r="BB2334">
            <v>6</v>
          </cell>
        </row>
        <row r="2335">
          <cell r="A2335">
            <v>120615</v>
          </cell>
          <cell r="BB2335">
            <v>6</v>
          </cell>
        </row>
        <row r="2336">
          <cell r="A2336">
            <v>120616</v>
          </cell>
          <cell r="BB2336">
            <v>7</v>
          </cell>
        </row>
        <row r="2337">
          <cell r="A2337">
            <v>120617</v>
          </cell>
          <cell r="BB2337">
            <v>7</v>
          </cell>
        </row>
        <row r="2338">
          <cell r="A2338">
            <v>120618</v>
          </cell>
          <cell r="BB2338">
            <v>7</v>
          </cell>
        </row>
        <row r="2339">
          <cell r="A2339">
            <v>120619</v>
          </cell>
          <cell r="BB2339">
            <v>7</v>
          </cell>
        </row>
        <row r="2340">
          <cell r="A2340">
            <v>120620</v>
          </cell>
          <cell r="BB2340">
            <v>7</v>
          </cell>
        </row>
        <row r="2341">
          <cell r="A2341">
            <v>120621</v>
          </cell>
          <cell r="BB2341">
            <v>7</v>
          </cell>
        </row>
        <row r="2342">
          <cell r="A2342">
            <v>120622</v>
          </cell>
          <cell r="BB2342">
            <v>7</v>
          </cell>
        </row>
        <row r="2343">
          <cell r="A2343">
            <v>120623</v>
          </cell>
          <cell r="BB2343">
            <v>7</v>
          </cell>
        </row>
        <row r="2344">
          <cell r="A2344">
            <v>120624</v>
          </cell>
          <cell r="BB2344">
            <v>7</v>
          </cell>
        </row>
        <row r="2345">
          <cell r="A2345">
            <v>120625</v>
          </cell>
          <cell r="BB2345">
            <v>7</v>
          </cell>
        </row>
        <row r="2346">
          <cell r="A2346">
            <v>120626</v>
          </cell>
          <cell r="BB2346">
            <v>8</v>
          </cell>
        </row>
        <row r="2347">
          <cell r="A2347">
            <v>120627</v>
          </cell>
          <cell r="BB2347">
            <v>8</v>
          </cell>
        </row>
        <row r="2348">
          <cell r="A2348">
            <v>120628</v>
          </cell>
          <cell r="BB2348">
            <v>8</v>
          </cell>
        </row>
        <row r="2349">
          <cell r="A2349">
            <v>120629</v>
          </cell>
          <cell r="BB2349">
            <v>8</v>
          </cell>
        </row>
        <row r="2350">
          <cell r="A2350">
            <v>120630</v>
          </cell>
          <cell r="BB2350">
            <v>8</v>
          </cell>
        </row>
        <row r="2351">
          <cell r="A2351">
            <v>120631</v>
          </cell>
          <cell r="BB2351">
            <v>8</v>
          </cell>
        </row>
        <row r="2352">
          <cell r="A2352">
            <v>120632</v>
          </cell>
          <cell r="BB2352">
            <v>8</v>
          </cell>
        </row>
        <row r="2353">
          <cell r="A2353">
            <v>120633</v>
          </cell>
          <cell r="BB2353">
            <v>8</v>
          </cell>
        </row>
        <row r="2354">
          <cell r="A2354">
            <v>120634</v>
          </cell>
          <cell r="BB2354">
            <v>8</v>
          </cell>
        </row>
        <row r="2355">
          <cell r="A2355">
            <v>120635</v>
          </cell>
          <cell r="BB2355">
            <v>8</v>
          </cell>
        </row>
        <row r="2356">
          <cell r="A2356">
            <v>120636</v>
          </cell>
          <cell r="BB2356">
            <v>1</v>
          </cell>
        </row>
        <row r="2357">
          <cell r="A2357">
            <v>120637</v>
          </cell>
          <cell r="BB2357">
            <v>1</v>
          </cell>
        </row>
        <row r="2358">
          <cell r="A2358">
            <v>120638</v>
          </cell>
          <cell r="BB2358">
            <v>1</v>
          </cell>
        </row>
        <row r="2359">
          <cell r="A2359">
            <v>120639</v>
          </cell>
          <cell r="BB2359">
            <v>1</v>
          </cell>
        </row>
        <row r="2360">
          <cell r="A2360">
            <v>120640</v>
          </cell>
          <cell r="BB2360">
            <v>1</v>
          </cell>
        </row>
        <row r="2361">
          <cell r="A2361">
            <v>120641</v>
          </cell>
          <cell r="BB2361">
            <v>1</v>
          </cell>
        </row>
        <row r="2362">
          <cell r="A2362">
            <v>120642</v>
          </cell>
          <cell r="BB2362">
            <v>1</v>
          </cell>
        </row>
        <row r="2363">
          <cell r="A2363">
            <v>120643</v>
          </cell>
          <cell r="BB2363">
            <v>1</v>
          </cell>
        </row>
        <row r="2364">
          <cell r="A2364">
            <v>120644</v>
          </cell>
          <cell r="BB2364">
            <v>1</v>
          </cell>
        </row>
        <row r="2365">
          <cell r="A2365">
            <v>120645</v>
          </cell>
          <cell r="BB2365">
            <v>1</v>
          </cell>
        </row>
        <row r="2366">
          <cell r="A2366">
            <v>120646</v>
          </cell>
          <cell r="BB2366">
            <v>2</v>
          </cell>
        </row>
        <row r="2367">
          <cell r="A2367">
            <v>120647</v>
          </cell>
          <cell r="BB2367">
            <v>2</v>
          </cell>
        </row>
        <row r="2368">
          <cell r="A2368">
            <v>120648</v>
          </cell>
          <cell r="BB2368">
            <v>2</v>
          </cell>
        </row>
        <row r="2369">
          <cell r="A2369">
            <v>120649</v>
          </cell>
          <cell r="BB2369">
            <v>2</v>
          </cell>
        </row>
        <row r="2370">
          <cell r="A2370">
            <v>120650</v>
          </cell>
          <cell r="BB2370">
            <v>2</v>
          </cell>
        </row>
        <row r="2371">
          <cell r="A2371">
            <v>120651</v>
          </cell>
          <cell r="BB2371">
            <v>2</v>
          </cell>
        </row>
        <row r="2372">
          <cell r="A2372">
            <v>120652</v>
          </cell>
          <cell r="BB2372">
            <v>2</v>
          </cell>
        </row>
        <row r="2373">
          <cell r="A2373">
            <v>120653</v>
          </cell>
          <cell r="BB2373">
            <v>2</v>
          </cell>
        </row>
        <row r="2374">
          <cell r="A2374">
            <v>120654</v>
          </cell>
          <cell r="BB2374">
            <v>2</v>
          </cell>
        </row>
        <row r="2375">
          <cell r="A2375">
            <v>120655</v>
          </cell>
          <cell r="BB2375">
            <v>2</v>
          </cell>
        </row>
        <row r="2376">
          <cell r="A2376">
            <v>120656</v>
          </cell>
          <cell r="BB2376">
            <v>3</v>
          </cell>
        </row>
        <row r="2377">
          <cell r="A2377">
            <v>120657</v>
          </cell>
          <cell r="BB2377">
            <v>3</v>
          </cell>
        </row>
        <row r="2378">
          <cell r="A2378">
            <v>120658</v>
          </cell>
          <cell r="BB2378">
            <v>3</v>
          </cell>
        </row>
        <row r="2379">
          <cell r="A2379">
            <v>120659</v>
          </cell>
          <cell r="BB2379">
            <v>3</v>
          </cell>
        </row>
        <row r="2380">
          <cell r="A2380">
            <v>120660</v>
          </cell>
          <cell r="BB2380">
            <v>3</v>
          </cell>
        </row>
        <row r="2381">
          <cell r="A2381">
            <v>120661</v>
          </cell>
          <cell r="BB2381">
            <v>3</v>
          </cell>
        </row>
        <row r="2382">
          <cell r="A2382">
            <v>120662</v>
          </cell>
          <cell r="BB2382">
            <v>3</v>
          </cell>
        </row>
        <row r="2383">
          <cell r="A2383">
            <v>120663</v>
          </cell>
          <cell r="BB2383">
            <v>3</v>
          </cell>
        </row>
        <row r="2384">
          <cell r="A2384">
            <v>120664</v>
          </cell>
          <cell r="BB2384">
            <v>3</v>
          </cell>
        </row>
        <row r="2385">
          <cell r="A2385">
            <v>120665</v>
          </cell>
          <cell r="BB2385">
            <v>3</v>
          </cell>
        </row>
        <row r="2386">
          <cell r="A2386">
            <v>120666</v>
          </cell>
          <cell r="BB2386">
            <v>4</v>
          </cell>
        </row>
        <row r="2387">
          <cell r="A2387">
            <v>120667</v>
          </cell>
          <cell r="BB2387">
            <v>4</v>
          </cell>
        </row>
        <row r="2388">
          <cell r="A2388">
            <v>120668</v>
          </cell>
          <cell r="BB2388">
            <v>4</v>
          </cell>
        </row>
        <row r="2389">
          <cell r="A2389">
            <v>120669</v>
          </cell>
          <cell r="BB2389">
            <v>4</v>
          </cell>
        </row>
        <row r="2390">
          <cell r="A2390">
            <v>120670</v>
          </cell>
          <cell r="BB2390">
            <v>4</v>
          </cell>
        </row>
        <row r="2391">
          <cell r="A2391">
            <v>120671</v>
          </cell>
          <cell r="BB2391">
            <v>4</v>
          </cell>
        </row>
        <row r="2392">
          <cell r="A2392">
            <v>120672</v>
          </cell>
          <cell r="BB2392">
            <v>4</v>
          </cell>
        </row>
        <row r="2393">
          <cell r="A2393">
            <v>120673</v>
          </cell>
          <cell r="BB2393">
            <v>4</v>
          </cell>
        </row>
        <row r="2394">
          <cell r="A2394">
            <v>120674</v>
          </cell>
          <cell r="BB2394">
            <v>4</v>
          </cell>
        </row>
        <row r="2395">
          <cell r="A2395">
            <v>120675</v>
          </cell>
          <cell r="BB2395">
            <v>4</v>
          </cell>
        </row>
        <row r="2396">
          <cell r="A2396">
            <v>120676</v>
          </cell>
          <cell r="BB2396">
            <v>5</v>
          </cell>
        </row>
        <row r="2397">
          <cell r="A2397">
            <v>120677</v>
          </cell>
          <cell r="BB2397">
            <v>5</v>
          </cell>
        </row>
        <row r="2398">
          <cell r="A2398">
            <v>120678</v>
          </cell>
          <cell r="BB2398">
            <v>5</v>
          </cell>
        </row>
        <row r="2399">
          <cell r="A2399">
            <v>120679</v>
          </cell>
          <cell r="BB2399">
            <v>5</v>
          </cell>
        </row>
        <row r="2400">
          <cell r="A2400">
            <v>120680</v>
          </cell>
          <cell r="BB2400">
            <v>5</v>
          </cell>
        </row>
        <row r="2401">
          <cell r="A2401">
            <v>120681</v>
          </cell>
          <cell r="BB2401">
            <v>5</v>
          </cell>
        </row>
        <row r="2402">
          <cell r="A2402">
            <v>120682</v>
          </cell>
          <cell r="BB2402">
            <v>5</v>
          </cell>
        </row>
        <row r="2403">
          <cell r="A2403">
            <v>120683</v>
          </cell>
          <cell r="BB2403">
            <v>5</v>
          </cell>
        </row>
        <row r="2404">
          <cell r="A2404">
            <v>120684</v>
          </cell>
          <cell r="BB2404">
            <v>5</v>
          </cell>
        </row>
        <row r="2405">
          <cell r="A2405">
            <v>120685</v>
          </cell>
          <cell r="BB2405">
            <v>5</v>
          </cell>
        </row>
        <row r="2406">
          <cell r="A2406">
            <v>120686</v>
          </cell>
          <cell r="BB2406">
            <v>6</v>
          </cell>
        </row>
        <row r="2407">
          <cell r="A2407">
            <v>120687</v>
          </cell>
          <cell r="BB2407">
            <v>6</v>
          </cell>
        </row>
        <row r="2408">
          <cell r="A2408">
            <v>120688</v>
          </cell>
          <cell r="BB2408">
            <v>6</v>
          </cell>
        </row>
        <row r="2409">
          <cell r="A2409">
            <v>120689</v>
          </cell>
          <cell r="BB2409">
            <v>6</v>
          </cell>
        </row>
        <row r="2410">
          <cell r="A2410">
            <v>120690</v>
          </cell>
          <cell r="BB2410">
            <v>6</v>
          </cell>
        </row>
        <row r="2411">
          <cell r="A2411">
            <v>120691</v>
          </cell>
          <cell r="BB2411">
            <v>6</v>
          </cell>
        </row>
        <row r="2412">
          <cell r="A2412">
            <v>120692</v>
          </cell>
          <cell r="BB2412">
            <v>6</v>
          </cell>
        </row>
        <row r="2413">
          <cell r="A2413">
            <v>120693</v>
          </cell>
          <cell r="BB2413">
            <v>6</v>
          </cell>
        </row>
        <row r="2414">
          <cell r="A2414">
            <v>120694</v>
          </cell>
          <cell r="BB2414">
            <v>6</v>
          </cell>
        </row>
        <row r="2415">
          <cell r="A2415">
            <v>120695</v>
          </cell>
          <cell r="BB2415">
            <v>6</v>
          </cell>
        </row>
        <row r="2416">
          <cell r="A2416">
            <v>120696</v>
          </cell>
          <cell r="BB2416">
            <v>7</v>
          </cell>
        </row>
        <row r="2417">
          <cell r="A2417">
            <v>120697</v>
          </cell>
          <cell r="BB2417">
            <v>7</v>
          </cell>
        </row>
        <row r="2418">
          <cell r="A2418">
            <v>120698</v>
          </cell>
          <cell r="BB2418">
            <v>7</v>
          </cell>
        </row>
        <row r="2419">
          <cell r="A2419">
            <v>120699</v>
          </cell>
          <cell r="BB2419">
            <v>7</v>
          </cell>
        </row>
        <row r="2420">
          <cell r="A2420">
            <v>120700</v>
          </cell>
          <cell r="BB2420">
            <v>7</v>
          </cell>
        </row>
        <row r="2421">
          <cell r="A2421">
            <v>120701</v>
          </cell>
          <cell r="BB2421">
            <v>7</v>
          </cell>
        </row>
        <row r="2422">
          <cell r="A2422">
            <v>120702</v>
          </cell>
          <cell r="BB2422">
            <v>7</v>
          </cell>
        </row>
        <row r="2423">
          <cell r="A2423">
            <v>120703</v>
          </cell>
          <cell r="BB2423">
            <v>7</v>
          </cell>
        </row>
        <row r="2424">
          <cell r="A2424">
            <v>120704</v>
          </cell>
          <cell r="BB2424">
            <v>7</v>
          </cell>
        </row>
        <row r="2425">
          <cell r="A2425">
            <v>120705</v>
          </cell>
          <cell r="BB2425">
            <v>7</v>
          </cell>
        </row>
        <row r="2426">
          <cell r="A2426">
            <v>120706</v>
          </cell>
          <cell r="BB2426">
            <v>8</v>
          </cell>
        </row>
        <row r="2427">
          <cell r="A2427">
            <v>120707</v>
          </cell>
          <cell r="BB2427">
            <v>8</v>
          </cell>
        </row>
        <row r="2428">
          <cell r="A2428">
            <v>120708</v>
          </cell>
          <cell r="BB2428">
            <v>8</v>
          </cell>
        </row>
        <row r="2429">
          <cell r="A2429">
            <v>120709</v>
          </cell>
          <cell r="BB2429">
            <v>8</v>
          </cell>
        </row>
        <row r="2430">
          <cell r="A2430">
            <v>120710</v>
          </cell>
          <cell r="BB2430">
            <v>8</v>
          </cell>
        </row>
        <row r="2431">
          <cell r="A2431">
            <v>120711</v>
          </cell>
          <cell r="BB2431">
            <v>8</v>
          </cell>
        </row>
        <row r="2432">
          <cell r="A2432">
            <v>120712</v>
          </cell>
          <cell r="BB2432">
            <v>8</v>
          </cell>
        </row>
        <row r="2433">
          <cell r="A2433">
            <v>120713</v>
          </cell>
          <cell r="BB2433">
            <v>8</v>
          </cell>
        </row>
        <row r="2434">
          <cell r="A2434">
            <v>120714</v>
          </cell>
          <cell r="BB2434">
            <v>8</v>
          </cell>
        </row>
        <row r="2435">
          <cell r="A2435">
            <v>120715</v>
          </cell>
          <cell r="BB2435">
            <v>8</v>
          </cell>
        </row>
        <row r="2436">
          <cell r="A2436">
            <v>120716</v>
          </cell>
          <cell r="BB2436">
            <v>1</v>
          </cell>
        </row>
        <row r="2437">
          <cell r="A2437">
            <v>120717</v>
          </cell>
          <cell r="BB2437">
            <v>1</v>
          </cell>
        </row>
        <row r="2438">
          <cell r="A2438">
            <v>120718</v>
          </cell>
          <cell r="BB2438">
            <v>1</v>
          </cell>
        </row>
        <row r="2439">
          <cell r="A2439">
            <v>120719</v>
          </cell>
          <cell r="BB2439">
            <v>1</v>
          </cell>
        </row>
        <row r="2440">
          <cell r="A2440">
            <v>120720</v>
          </cell>
          <cell r="BB2440">
            <v>1</v>
          </cell>
        </row>
        <row r="2441">
          <cell r="A2441">
            <v>120721</v>
          </cell>
          <cell r="BB2441">
            <v>1</v>
          </cell>
        </row>
        <row r="2442">
          <cell r="A2442">
            <v>120722</v>
          </cell>
          <cell r="BB2442">
            <v>1</v>
          </cell>
        </row>
        <row r="2443">
          <cell r="A2443">
            <v>120723</v>
          </cell>
          <cell r="BB2443">
            <v>1</v>
          </cell>
        </row>
        <row r="2444">
          <cell r="A2444">
            <v>120724</v>
          </cell>
          <cell r="BB2444">
            <v>1</v>
          </cell>
        </row>
        <row r="2445">
          <cell r="A2445">
            <v>120725</v>
          </cell>
          <cell r="BB2445">
            <v>1</v>
          </cell>
        </row>
        <row r="2446">
          <cell r="A2446">
            <v>120726</v>
          </cell>
          <cell r="BB2446">
            <v>2</v>
          </cell>
        </row>
        <row r="2447">
          <cell r="A2447">
            <v>120727</v>
          </cell>
          <cell r="BB2447">
            <v>2</v>
          </cell>
        </row>
        <row r="2448">
          <cell r="A2448">
            <v>120728</v>
          </cell>
          <cell r="BB2448">
            <v>2</v>
          </cell>
        </row>
        <row r="2449">
          <cell r="A2449">
            <v>120729</v>
          </cell>
          <cell r="BB2449">
            <v>2</v>
          </cell>
        </row>
        <row r="2450">
          <cell r="A2450">
            <v>120730</v>
          </cell>
          <cell r="BB2450">
            <v>2</v>
          </cell>
        </row>
        <row r="2451">
          <cell r="A2451">
            <v>120731</v>
          </cell>
          <cell r="BB2451">
            <v>2</v>
          </cell>
        </row>
        <row r="2452">
          <cell r="A2452">
            <v>120732</v>
          </cell>
          <cell r="BB2452">
            <v>2</v>
          </cell>
        </row>
        <row r="2453">
          <cell r="A2453">
            <v>120733</v>
          </cell>
          <cell r="BB2453">
            <v>2</v>
          </cell>
        </row>
        <row r="2454">
          <cell r="A2454">
            <v>120734</v>
          </cell>
          <cell r="BB2454">
            <v>2</v>
          </cell>
        </row>
        <row r="2455">
          <cell r="A2455">
            <v>120735</v>
          </cell>
          <cell r="BB2455">
            <v>2</v>
          </cell>
        </row>
        <row r="2456">
          <cell r="A2456">
            <v>120736</v>
          </cell>
          <cell r="BB2456">
            <v>3</v>
          </cell>
        </row>
        <row r="2457">
          <cell r="A2457">
            <v>120737</v>
          </cell>
          <cell r="BB2457">
            <v>3</v>
          </cell>
        </row>
        <row r="2458">
          <cell r="A2458">
            <v>120738</v>
          </cell>
          <cell r="BB2458">
            <v>3</v>
          </cell>
        </row>
        <row r="2459">
          <cell r="A2459">
            <v>120739</v>
          </cell>
          <cell r="BB2459">
            <v>3</v>
          </cell>
        </row>
        <row r="2460">
          <cell r="A2460">
            <v>120740</v>
          </cell>
          <cell r="BB2460">
            <v>3</v>
          </cell>
        </row>
        <row r="2461">
          <cell r="A2461">
            <v>120741</v>
          </cell>
          <cell r="BB2461">
            <v>1</v>
          </cell>
        </row>
        <row r="2462">
          <cell r="A2462">
            <v>120742</v>
          </cell>
          <cell r="BB2462">
            <v>1</v>
          </cell>
        </row>
        <row r="2463">
          <cell r="A2463">
            <v>120743</v>
          </cell>
          <cell r="BB2463">
            <v>1</v>
          </cell>
        </row>
        <row r="2464">
          <cell r="A2464">
            <v>120744</v>
          </cell>
          <cell r="BB2464">
            <v>1</v>
          </cell>
        </row>
        <row r="2465">
          <cell r="A2465">
            <v>120745</v>
          </cell>
          <cell r="BB2465">
            <v>1</v>
          </cell>
        </row>
        <row r="2466">
          <cell r="A2466">
            <v>120746</v>
          </cell>
          <cell r="BB2466">
            <v>1</v>
          </cell>
        </row>
        <row r="2467">
          <cell r="A2467">
            <v>120747</v>
          </cell>
          <cell r="BB2467">
            <v>1</v>
          </cell>
        </row>
        <row r="2468">
          <cell r="A2468">
            <v>120748</v>
          </cell>
          <cell r="BB2468">
            <v>1</v>
          </cell>
        </row>
        <row r="2469">
          <cell r="A2469">
            <v>120749</v>
          </cell>
          <cell r="BB2469">
            <v>1</v>
          </cell>
        </row>
        <row r="2470">
          <cell r="A2470">
            <v>120750</v>
          </cell>
          <cell r="BB2470">
            <v>1</v>
          </cell>
        </row>
        <row r="2471">
          <cell r="A2471">
            <v>120751</v>
          </cell>
          <cell r="BB2471">
            <v>2</v>
          </cell>
        </row>
        <row r="2472">
          <cell r="A2472">
            <v>120752</v>
          </cell>
          <cell r="BB2472">
            <v>2</v>
          </cell>
        </row>
        <row r="2473">
          <cell r="A2473">
            <v>120753</v>
          </cell>
          <cell r="BB2473">
            <v>2</v>
          </cell>
        </row>
        <row r="2474">
          <cell r="A2474">
            <v>120754</v>
          </cell>
          <cell r="BB2474">
            <v>2</v>
          </cell>
        </row>
        <row r="2475">
          <cell r="A2475">
            <v>120755</v>
          </cell>
          <cell r="BB2475">
            <v>2</v>
          </cell>
        </row>
        <row r="2476">
          <cell r="A2476">
            <v>120756</v>
          </cell>
          <cell r="BB2476">
            <v>2</v>
          </cell>
        </row>
        <row r="2477">
          <cell r="A2477">
            <v>120757</v>
          </cell>
          <cell r="BB2477">
            <v>2</v>
          </cell>
        </row>
        <row r="2478">
          <cell r="A2478">
            <v>120758</v>
          </cell>
          <cell r="BB2478">
            <v>2</v>
          </cell>
        </row>
        <row r="2479">
          <cell r="A2479">
            <v>120759</v>
          </cell>
          <cell r="BB2479">
            <v>2</v>
          </cell>
        </row>
        <row r="2480">
          <cell r="A2480">
            <v>120760</v>
          </cell>
          <cell r="BB2480">
            <v>2</v>
          </cell>
        </row>
        <row r="2481">
          <cell r="A2481">
            <v>120761</v>
          </cell>
          <cell r="BB2481">
            <v>3</v>
          </cell>
        </row>
        <row r="2482">
          <cell r="A2482">
            <v>120762</v>
          </cell>
          <cell r="BB2482">
            <v>3</v>
          </cell>
        </row>
        <row r="2483">
          <cell r="A2483">
            <v>120763</v>
          </cell>
          <cell r="BB2483">
            <v>3</v>
          </cell>
        </row>
        <row r="2484">
          <cell r="A2484">
            <v>120764</v>
          </cell>
          <cell r="BB2484">
            <v>3</v>
          </cell>
        </row>
        <row r="2485">
          <cell r="A2485">
            <v>120765</v>
          </cell>
          <cell r="BB2485">
            <v>3</v>
          </cell>
        </row>
        <row r="2486">
          <cell r="A2486">
            <v>120766</v>
          </cell>
          <cell r="BB2486">
            <v>3</v>
          </cell>
        </row>
        <row r="2487">
          <cell r="A2487">
            <v>120767</v>
          </cell>
          <cell r="BB2487">
            <v>3</v>
          </cell>
        </row>
        <row r="2488">
          <cell r="A2488">
            <v>120768</v>
          </cell>
          <cell r="BB2488">
            <v>3</v>
          </cell>
        </row>
        <row r="2489">
          <cell r="A2489">
            <v>120769</v>
          </cell>
          <cell r="BB2489">
            <v>3</v>
          </cell>
        </row>
        <row r="2490">
          <cell r="A2490">
            <v>120770</v>
          </cell>
          <cell r="BB2490">
            <v>3</v>
          </cell>
        </row>
        <row r="2491">
          <cell r="A2491">
            <v>120771</v>
          </cell>
          <cell r="BB2491">
            <v>4</v>
          </cell>
        </row>
        <row r="2492">
          <cell r="A2492">
            <v>120772</v>
          </cell>
          <cell r="BB2492">
            <v>4</v>
          </cell>
        </row>
        <row r="2493">
          <cell r="A2493">
            <v>120773</v>
          </cell>
          <cell r="BB2493">
            <v>4</v>
          </cell>
        </row>
        <row r="2494">
          <cell r="A2494">
            <v>120774</v>
          </cell>
          <cell r="BB2494">
            <v>4</v>
          </cell>
        </row>
        <row r="2495">
          <cell r="A2495">
            <v>120775</v>
          </cell>
          <cell r="BB2495">
            <v>4</v>
          </cell>
        </row>
        <row r="2496">
          <cell r="A2496">
            <v>120776</v>
          </cell>
          <cell r="BB2496">
            <v>4</v>
          </cell>
        </row>
        <row r="2497">
          <cell r="A2497">
            <v>120777</v>
          </cell>
          <cell r="BB2497">
            <v>4</v>
          </cell>
        </row>
        <row r="2498">
          <cell r="A2498">
            <v>120778</v>
          </cell>
          <cell r="BB2498">
            <v>4</v>
          </cell>
        </row>
        <row r="2499">
          <cell r="A2499">
            <v>120779</v>
          </cell>
          <cell r="BB2499">
            <v>4</v>
          </cell>
        </row>
        <row r="2500">
          <cell r="A2500">
            <v>120780</v>
          </cell>
          <cell r="BB2500">
            <v>4</v>
          </cell>
        </row>
        <row r="2501">
          <cell r="A2501">
            <v>120781</v>
          </cell>
          <cell r="BB2501">
            <v>5</v>
          </cell>
        </row>
        <row r="2502">
          <cell r="A2502">
            <v>120782</v>
          </cell>
          <cell r="BB2502">
            <v>5</v>
          </cell>
        </row>
        <row r="2503">
          <cell r="A2503">
            <v>120783</v>
          </cell>
          <cell r="BB2503">
            <v>5</v>
          </cell>
        </row>
        <row r="2504">
          <cell r="A2504">
            <v>120784</v>
          </cell>
          <cell r="BB2504">
            <v>5</v>
          </cell>
        </row>
        <row r="2505">
          <cell r="A2505">
            <v>120785</v>
          </cell>
          <cell r="BB2505">
            <v>5</v>
          </cell>
        </row>
        <row r="2506">
          <cell r="A2506">
            <v>120786</v>
          </cell>
          <cell r="BB2506">
            <v>5</v>
          </cell>
        </row>
        <row r="2507">
          <cell r="A2507">
            <v>120787</v>
          </cell>
          <cell r="BB2507">
            <v>5</v>
          </cell>
        </row>
        <row r="2508">
          <cell r="A2508">
            <v>120788</v>
          </cell>
          <cell r="BB2508">
            <v>5</v>
          </cell>
        </row>
        <row r="2509">
          <cell r="A2509">
            <v>120789</v>
          </cell>
          <cell r="BB2509">
            <v>5</v>
          </cell>
        </row>
        <row r="2510">
          <cell r="A2510">
            <v>120790</v>
          </cell>
          <cell r="BB2510">
            <v>5</v>
          </cell>
        </row>
        <row r="2511">
          <cell r="A2511">
            <v>120791</v>
          </cell>
          <cell r="BB2511">
            <v>6</v>
          </cell>
        </row>
        <row r="2512">
          <cell r="A2512">
            <v>120792</v>
          </cell>
          <cell r="BB2512">
            <v>6</v>
          </cell>
        </row>
        <row r="2513">
          <cell r="A2513">
            <v>120793</v>
          </cell>
          <cell r="BB2513">
            <v>6</v>
          </cell>
        </row>
        <row r="2514">
          <cell r="A2514">
            <v>120794</v>
          </cell>
          <cell r="BB2514">
            <v>6</v>
          </cell>
        </row>
        <row r="2515">
          <cell r="A2515">
            <v>120795</v>
          </cell>
          <cell r="BB2515">
            <v>6</v>
          </cell>
        </row>
        <row r="2516">
          <cell r="A2516">
            <v>120796</v>
          </cell>
          <cell r="BB2516">
            <v>6</v>
          </cell>
        </row>
        <row r="2517">
          <cell r="A2517">
            <v>120797</v>
          </cell>
          <cell r="BB2517">
            <v>6</v>
          </cell>
        </row>
        <row r="2518">
          <cell r="A2518">
            <v>120798</v>
          </cell>
          <cell r="BB2518">
            <v>6</v>
          </cell>
        </row>
        <row r="2519">
          <cell r="A2519">
            <v>120799</v>
          </cell>
          <cell r="BB2519">
            <v>6</v>
          </cell>
        </row>
        <row r="2520">
          <cell r="A2520">
            <v>120800</v>
          </cell>
          <cell r="BB2520">
            <v>6</v>
          </cell>
        </row>
        <row r="2521">
          <cell r="A2521">
            <v>120801</v>
          </cell>
          <cell r="BB2521">
            <v>7</v>
          </cell>
        </row>
        <row r="2522">
          <cell r="A2522">
            <v>120802</v>
          </cell>
          <cell r="BB2522">
            <v>7</v>
          </cell>
        </row>
        <row r="2523">
          <cell r="A2523">
            <v>120803</v>
          </cell>
          <cell r="BB2523">
            <v>7</v>
          </cell>
        </row>
        <row r="2524">
          <cell r="A2524">
            <v>120804</v>
          </cell>
          <cell r="BB2524">
            <v>7</v>
          </cell>
        </row>
        <row r="2525">
          <cell r="A2525">
            <v>120805</v>
          </cell>
          <cell r="BB2525">
            <v>7</v>
          </cell>
        </row>
        <row r="2526">
          <cell r="A2526">
            <v>120806</v>
          </cell>
          <cell r="BB2526">
            <v>7</v>
          </cell>
        </row>
        <row r="2527">
          <cell r="A2527">
            <v>120807</v>
          </cell>
          <cell r="BB2527">
            <v>7</v>
          </cell>
        </row>
        <row r="2528">
          <cell r="A2528">
            <v>120808</v>
          </cell>
          <cell r="BB2528">
            <v>7</v>
          </cell>
        </row>
        <row r="2529">
          <cell r="A2529">
            <v>120809</v>
          </cell>
          <cell r="BB2529">
            <v>7</v>
          </cell>
        </row>
        <row r="2530">
          <cell r="A2530">
            <v>120810</v>
          </cell>
          <cell r="BB2530">
            <v>7</v>
          </cell>
        </row>
        <row r="2531">
          <cell r="A2531">
            <v>120811</v>
          </cell>
          <cell r="BB2531">
            <v>8</v>
          </cell>
        </row>
        <row r="2532">
          <cell r="A2532">
            <v>120812</v>
          </cell>
          <cell r="BB2532">
            <v>8</v>
          </cell>
        </row>
        <row r="2533">
          <cell r="A2533">
            <v>120813</v>
          </cell>
          <cell r="BB2533">
            <v>8</v>
          </cell>
        </row>
        <row r="2534">
          <cell r="A2534">
            <v>120814</v>
          </cell>
          <cell r="BB2534">
            <v>8</v>
          </cell>
        </row>
        <row r="2535">
          <cell r="A2535">
            <v>120815</v>
          </cell>
          <cell r="BB2535">
            <v>8</v>
          </cell>
        </row>
        <row r="2536">
          <cell r="A2536">
            <v>120816</v>
          </cell>
          <cell r="BB2536">
            <v>8</v>
          </cell>
        </row>
        <row r="2537">
          <cell r="A2537">
            <v>120817</v>
          </cell>
          <cell r="BB2537">
            <v>8</v>
          </cell>
        </row>
        <row r="2538">
          <cell r="A2538">
            <v>120818</v>
          </cell>
          <cell r="BB2538">
            <v>8</v>
          </cell>
        </row>
        <row r="2539">
          <cell r="A2539">
            <v>120819</v>
          </cell>
          <cell r="BB2539">
            <v>8</v>
          </cell>
        </row>
        <row r="2540">
          <cell r="A2540">
            <v>120820</v>
          </cell>
          <cell r="BB2540">
            <v>8</v>
          </cell>
        </row>
        <row r="2541">
          <cell r="A2541">
            <v>120821</v>
          </cell>
          <cell r="BB2541">
            <v>1</v>
          </cell>
        </row>
        <row r="2542">
          <cell r="A2542">
            <v>120822</v>
          </cell>
          <cell r="BB2542">
            <v>1</v>
          </cell>
        </row>
        <row r="2543">
          <cell r="A2543">
            <v>120823</v>
          </cell>
          <cell r="BB2543">
            <v>1</v>
          </cell>
        </row>
        <row r="2544">
          <cell r="A2544">
            <v>120824</v>
          </cell>
          <cell r="BB2544">
            <v>1</v>
          </cell>
        </row>
        <row r="2545">
          <cell r="A2545">
            <v>120825</v>
          </cell>
          <cell r="BB2545">
            <v>1</v>
          </cell>
        </row>
        <row r="2546">
          <cell r="A2546">
            <v>120826</v>
          </cell>
          <cell r="BB2546">
            <v>1</v>
          </cell>
        </row>
        <row r="2547">
          <cell r="A2547">
            <v>120827</v>
          </cell>
          <cell r="BB2547">
            <v>1</v>
          </cell>
        </row>
        <row r="2548">
          <cell r="A2548">
            <v>120828</v>
          </cell>
          <cell r="BB2548">
            <v>1</v>
          </cell>
        </row>
        <row r="2549">
          <cell r="A2549">
            <v>120829</v>
          </cell>
          <cell r="BB2549">
            <v>1</v>
          </cell>
        </row>
        <row r="2550">
          <cell r="A2550">
            <v>120830</v>
          </cell>
          <cell r="BB2550">
            <v>1</v>
          </cell>
        </row>
        <row r="2551">
          <cell r="A2551">
            <v>120831</v>
          </cell>
          <cell r="BB2551">
            <v>2</v>
          </cell>
        </row>
        <row r="2552">
          <cell r="A2552">
            <v>120832</v>
          </cell>
          <cell r="BB2552">
            <v>2</v>
          </cell>
        </row>
        <row r="2553">
          <cell r="A2553">
            <v>120833</v>
          </cell>
          <cell r="BB2553">
            <v>2</v>
          </cell>
        </row>
        <row r="2554">
          <cell r="A2554">
            <v>120834</v>
          </cell>
          <cell r="BB2554">
            <v>2</v>
          </cell>
        </row>
        <row r="2555">
          <cell r="A2555">
            <v>120835</v>
          </cell>
          <cell r="BB2555">
            <v>2</v>
          </cell>
        </row>
        <row r="2556">
          <cell r="A2556">
            <v>120836</v>
          </cell>
          <cell r="BB2556">
            <v>2</v>
          </cell>
        </row>
        <row r="2557">
          <cell r="A2557">
            <v>120837</v>
          </cell>
          <cell r="BB2557">
            <v>2</v>
          </cell>
        </row>
        <row r="2558">
          <cell r="A2558">
            <v>120838</v>
          </cell>
          <cell r="BB2558">
            <v>2</v>
          </cell>
        </row>
        <row r="2559">
          <cell r="A2559">
            <v>120839</v>
          </cell>
          <cell r="BB2559">
            <v>2</v>
          </cell>
        </row>
        <row r="2560">
          <cell r="A2560">
            <v>120840</v>
          </cell>
          <cell r="BB2560">
            <v>2</v>
          </cell>
        </row>
        <row r="2561">
          <cell r="A2561">
            <v>120841</v>
          </cell>
          <cell r="BB2561">
            <v>3</v>
          </cell>
        </row>
        <row r="2562">
          <cell r="A2562">
            <v>120842</v>
          </cell>
          <cell r="BB2562">
            <v>3</v>
          </cell>
        </row>
        <row r="2563">
          <cell r="A2563">
            <v>120843</v>
          </cell>
          <cell r="BB2563">
            <v>3</v>
          </cell>
        </row>
        <row r="2564">
          <cell r="A2564">
            <v>120844</v>
          </cell>
          <cell r="BB2564">
            <v>3</v>
          </cell>
        </row>
        <row r="2565">
          <cell r="A2565">
            <v>120845</v>
          </cell>
          <cell r="BB2565">
            <v>3</v>
          </cell>
        </row>
        <row r="2566">
          <cell r="A2566">
            <v>120846</v>
          </cell>
          <cell r="BB2566">
            <v>3</v>
          </cell>
        </row>
        <row r="2567">
          <cell r="A2567">
            <v>120847</v>
          </cell>
          <cell r="BB2567">
            <v>3</v>
          </cell>
        </row>
        <row r="2568">
          <cell r="A2568">
            <v>120848</v>
          </cell>
          <cell r="BB2568">
            <v>3</v>
          </cell>
        </row>
        <row r="2569">
          <cell r="A2569">
            <v>120849</v>
          </cell>
          <cell r="BB2569">
            <v>3</v>
          </cell>
        </row>
        <row r="2570">
          <cell r="A2570">
            <v>120850</v>
          </cell>
          <cell r="BB2570">
            <v>3</v>
          </cell>
        </row>
        <row r="2571">
          <cell r="A2571">
            <v>120851</v>
          </cell>
          <cell r="BB2571">
            <v>4</v>
          </cell>
        </row>
        <row r="2572">
          <cell r="A2572">
            <v>120852</v>
          </cell>
          <cell r="BB2572">
            <v>4</v>
          </cell>
        </row>
        <row r="2573">
          <cell r="A2573">
            <v>120853</v>
          </cell>
          <cell r="BB2573">
            <v>4</v>
          </cell>
        </row>
        <row r="2574">
          <cell r="A2574">
            <v>120854</v>
          </cell>
          <cell r="BB2574">
            <v>4</v>
          </cell>
        </row>
        <row r="2575">
          <cell r="A2575">
            <v>120855</v>
          </cell>
          <cell r="BB2575">
            <v>4</v>
          </cell>
        </row>
        <row r="2576">
          <cell r="A2576">
            <v>120856</v>
          </cell>
          <cell r="BB2576">
            <v>4</v>
          </cell>
        </row>
        <row r="2577">
          <cell r="A2577">
            <v>120857</v>
          </cell>
          <cell r="BB2577">
            <v>4</v>
          </cell>
        </row>
        <row r="2578">
          <cell r="A2578">
            <v>120858</v>
          </cell>
          <cell r="BB2578">
            <v>4</v>
          </cell>
        </row>
        <row r="2579">
          <cell r="A2579">
            <v>120859</v>
          </cell>
          <cell r="BB2579">
            <v>4</v>
          </cell>
        </row>
        <row r="2580">
          <cell r="A2580">
            <v>120860</v>
          </cell>
          <cell r="BB2580">
            <v>4</v>
          </cell>
        </row>
        <row r="2581">
          <cell r="A2581">
            <v>120861</v>
          </cell>
          <cell r="BB2581">
            <v>5</v>
          </cell>
        </row>
        <row r="2582">
          <cell r="A2582">
            <v>120862</v>
          </cell>
          <cell r="BB2582">
            <v>5</v>
          </cell>
        </row>
        <row r="2583">
          <cell r="A2583">
            <v>120863</v>
          </cell>
          <cell r="BB2583">
            <v>5</v>
          </cell>
        </row>
        <row r="2584">
          <cell r="A2584">
            <v>120864</v>
          </cell>
          <cell r="BB2584">
            <v>5</v>
          </cell>
        </row>
        <row r="2585">
          <cell r="A2585">
            <v>120865</v>
          </cell>
          <cell r="BB2585">
            <v>5</v>
          </cell>
        </row>
        <row r="2586">
          <cell r="A2586">
            <v>120866</v>
          </cell>
          <cell r="BB2586">
            <v>5</v>
          </cell>
        </row>
        <row r="2587">
          <cell r="A2587">
            <v>120867</v>
          </cell>
          <cell r="BB2587">
            <v>5</v>
          </cell>
        </row>
        <row r="2588">
          <cell r="A2588">
            <v>120868</v>
          </cell>
          <cell r="BB2588">
            <v>5</v>
          </cell>
        </row>
        <row r="2589">
          <cell r="A2589">
            <v>120869</v>
          </cell>
          <cell r="BB2589">
            <v>5</v>
          </cell>
        </row>
        <row r="2590">
          <cell r="A2590">
            <v>120870</v>
          </cell>
          <cell r="BB2590">
            <v>5</v>
          </cell>
        </row>
        <row r="2591">
          <cell r="A2591">
            <v>120871</v>
          </cell>
          <cell r="BB2591">
            <v>6</v>
          </cell>
        </row>
        <row r="2592">
          <cell r="A2592">
            <v>120872</v>
          </cell>
          <cell r="BB2592">
            <v>6</v>
          </cell>
        </row>
        <row r="2593">
          <cell r="A2593">
            <v>120873</v>
          </cell>
          <cell r="BB2593">
            <v>6</v>
          </cell>
        </row>
        <row r="2594">
          <cell r="A2594">
            <v>120874</v>
          </cell>
          <cell r="BB2594">
            <v>6</v>
          </cell>
        </row>
        <row r="2595">
          <cell r="A2595">
            <v>120875</v>
          </cell>
          <cell r="BB2595">
            <v>6</v>
          </cell>
        </row>
        <row r="2596">
          <cell r="A2596">
            <v>120876</v>
          </cell>
          <cell r="BB2596">
            <v>6</v>
          </cell>
        </row>
        <row r="2597">
          <cell r="A2597">
            <v>120877</v>
          </cell>
          <cell r="BB2597">
            <v>6</v>
          </cell>
        </row>
        <row r="2598">
          <cell r="A2598">
            <v>120878</v>
          </cell>
          <cell r="BB2598">
            <v>6</v>
          </cell>
        </row>
        <row r="2599">
          <cell r="A2599">
            <v>120879</v>
          </cell>
          <cell r="BB2599">
            <v>6</v>
          </cell>
        </row>
        <row r="2600">
          <cell r="A2600">
            <v>120880</v>
          </cell>
          <cell r="BB2600">
            <v>6</v>
          </cell>
        </row>
        <row r="2601">
          <cell r="A2601">
            <v>120881</v>
          </cell>
          <cell r="BB2601">
            <v>7</v>
          </cell>
        </row>
        <row r="2602">
          <cell r="A2602">
            <v>120882</v>
          </cell>
          <cell r="BB2602">
            <v>7</v>
          </cell>
        </row>
        <row r="2603">
          <cell r="A2603">
            <v>120883</v>
          </cell>
          <cell r="BB2603">
            <v>7</v>
          </cell>
        </row>
        <row r="2604">
          <cell r="A2604">
            <v>120884</v>
          </cell>
          <cell r="BB2604">
            <v>7</v>
          </cell>
        </row>
        <row r="2605">
          <cell r="A2605">
            <v>120885</v>
          </cell>
          <cell r="BB2605">
            <v>7</v>
          </cell>
        </row>
        <row r="2606">
          <cell r="A2606">
            <v>120886</v>
          </cell>
          <cell r="BB2606">
            <v>7</v>
          </cell>
        </row>
        <row r="2607">
          <cell r="A2607">
            <v>120887</v>
          </cell>
          <cell r="BB2607">
            <v>7</v>
          </cell>
        </row>
        <row r="2608">
          <cell r="A2608">
            <v>120888</v>
          </cell>
          <cell r="BB2608">
            <v>7</v>
          </cell>
        </row>
        <row r="2609">
          <cell r="A2609">
            <v>120889</v>
          </cell>
          <cell r="BB2609">
            <v>7</v>
          </cell>
        </row>
        <row r="2610">
          <cell r="A2610">
            <v>120890</v>
          </cell>
          <cell r="BB2610">
            <v>7</v>
          </cell>
        </row>
        <row r="2611">
          <cell r="A2611">
            <v>120891</v>
          </cell>
          <cell r="BB2611">
            <v>8</v>
          </cell>
        </row>
        <row r="2612">
          <cell r="A2612">
            <v>120892</v>
          </cell>
          <cell r="BB2612">
            <v>8</v>
          </cell>
        </row>
        <row r="2613">
          <cell r="A2613">
            <v>120893</v>
          </cell>
          <cell r="BB2613">
            <v>8</v>
          </cell>
        </row>
        <row r="2614">
          <cell r="A2614">
            <v>120894</v>
          </cell>
          <cell r="BB2614">
            <v>8</v>
          </cell>
        </row>
        <row r="2615">
          <cell r="A2615">
            <v>120895</v>
          </cell>
          <cell r="BB2615">
            <v>8</v>
          </cell>
        </row>
        <row r="2616">
          <cell r="A2616">
            <v>120896</v>
          </cell>
          <cell r="BB2616">
            <v>8</v>
          </cell>
        </row>
        <row r="2617">
          <cell r="A2617">
            <v>120897</v>
          </cell>
          <cell r="BB2617">
            <v>8</v>
          </cell>
        </row>
        <row r="2618">
          <cell r="A2618">
            <v>120898</v>
          </cell>
          <cell r="BB2618">
            <v>8</v>
          </cell>
        </row>
        <row r="2619">
          <cell r="A2619">
            <v>120899</v>
          </cell>
          <cell r="BB2619">
            <v>8</v>
          </cell>
        </row>
        <row r="2620">
          <cell r="A2620">
            <v>120900</v>
          </cell>
          <cell r="BB2620">
            <v>8</v>
          </cell>
        </row>
        <row r="2621">
          <cell r="A2621">
            <v>120901</v>
          </cell>
          <cell r="BB2621">
            <v>9</v>
          </cell>
        </row>
        <row r="2622">
          <cell r="A2622">
            <v>120902</v>
          </cell>
          <cell r="BB2622">
            <v>9</v>
          </cell>
        </row>
        <row r="2623">
          <cell r="A2623">
            <v>120903</v>
          </cell>
          <cell r="BB2623">
            <v>9</v>
          </cell>
        </row>
        <row r="2624">
          <cell r="A2624">
            <v>120904</v>
          </cell>
          <cell r="BB2624">
            <v>9</v>
          </cell>
        </row>
        <row r="2625">
          <cell r="A2625">
            <v>120905</v>
          </cell>
          <cell r="BB2625">
            <v>9</v>
          </cell>
        </row>
        <row r="2626">
          <cell r="A2626">
            <v>120906</v>
          </cell>
          <cell r="BB2626">
            <v>9</v>
          </cell>
        </row>
        <row r="2627">
          <cell r="A2627">
            <v>120907</v>
          </cell>
          <cell r="BB2627">
            <v>9</v>
          </cell>
        </row>
        <row r="2628">
          <cell r="A2628">
            <v>120908</v>
          </cell>
          <cell r="BB2628">
            <v>9</v>
          </cell>
        </row>
        <row r="2629">
          <cell r="A2629">
            <v>120909</v>
          </cell>
          <cell r="BB2629">
            <v>9</v>
          </cell>
        </row>
        <row r="2630">
          <cell r="A2630">
            <v>120910</v>
          </cell>
          <cell r="BB2630">
            <v>9</v>
          </cell>
        </row>
        <row r="2631">
          <cell r="A2631">
            <v>120911</v>
          </cell>
          <cell r="BB2631">
            <v>10</v>
          </cell>
        </row>
        <row r="2632">
          <cell r="A2632">
            <v>120912</v>
          </cell>
          <cell r="BB2632">
            <v>10</v>
          </cell>
        </row>
        <row r="2633">
          <cell r="A2633">
            <v>120913</v>
          </cell>
          <cell r="BB2633">
            <v>10</v>
          </cell>
        </row>
        <row r="2634">
          <cell r="A2634">
            <v>120914</v>
          </cell>
          <cell r="BB2634">
            <v>10</v>
          </cell>
        </row>
        <row r="2635">
          <cell r="A2635">
            <v>120915</v>
          </cell>
          <cell r="BB2635">
            <v>10</v>
          </cell>
        </row>
        <row r="2636">
          <cell r="A2636">
            <v>120916</v>
          </cell>
          <cell r="BB2636">
            <v>10</v>
          </cell>
        </row>
        <row r="2637">
          <cell r="A2637">
            <v>120917</v>
          </cell>
          <cell r="BB2637">
            <v>10</v>
          </cell>
        </row>
        <row r="2638">
          <cell r="A2638">
            <v>120918</v>
          </cell>
          <cell r="BB2638">
            <v>10</v>
          </cell>
        </row>
        <row r="2639">
          <cell r="A2639">
            <v>120919</v>
          </cell>
          <cell r="BB2639">
            <v>10</v>
          </cell>
        </row>
        <row r="2640">
          <cell r="A2640">
            <v>120920</v>
          </cell>
          <cell r="BB2640">
            <v>10</v>
          </cell>
        </row>
        <row r="2641">
          <cell r="A2641">
            <v>120921</v>
          </cell>
          <cell r="BB2641">
            <v>11</v>
          </cell>
        </row>
        <row r="2642">
          <cell r="A2642">
            <v>120922</v>
          </cell>
          <cell r="BB2642">
            <v>11</v>
          </cell>
        </row>
        <row r="2643">
          <cell r="A2643">
            <v>120923</v>
          </cell>
          <cell r="BB2643">
            <v>11</v>
          </cell>
        </row>
        <row r="2644">
          <cell r="A2644">
            <v>120924</v>
          </cell>
          <cell r="BB2644">
            <v>11</v>
          </cell>
        </row>
        <row r="2645">
          <cell r="A2645">
            <v>120925</v>
          </cell>
          <cell r="BB2645">
            <v>11</v>
          </cell>
        </row>
        <row r="2646">
          <cell r="A2646">
            <v>110001</v>
          </cell>
          <cell r="BB2646">
            <v>1</v>
          </cell>
        </row>
        <row r="2647">
          <cell r="A2647">
            <v>110002</v>
          </cell>
          <cell r="BB2647">
            <v>1</v>
          </cell>
        </row>
        <row r="2648">
          <cell r="A2648">
            <v>110003</v>
          </cell>
          <cell r="BB2648">
            <v>1</v>
          </cell>
        </row>
        <row r="2649">
          <cell r="A2649">
            <v>110004</v>
          </cell>
          <cell r="BB2649">
            <v>1</v>
          </cell>
        </row>
        <row r="2650">
          <cell r="A2650">
            <v>110005</v>
          </cell>
          <cell r="BB2650">
            <v>1</v>
          </cell>
        </row>
        <row r="2651">
          <cell r="A2651">
            <v>110006</v>
          </cell>
          <cell r="BB2651">
            <v>1</v>
          </cell>
        </row>
        <row r="2652">
          <cell r="A2652">
            <v>110007</v>
          </cell>
          <cell r="BB2652">
            <v>1</v>
          </cell>
        </row>
        <row r="2653">
          <cell r="A2653">
            <v>110008</v>
          </cell>
          <cell r="BB2653">
            <v>1</v>
          </cell>
        </row>
        <row r="2654">
          <cell r="A2654">
            <v>110009</v>
          </cell>
          <cell r="BB2654">
            <v>1</v>
          </cell>
        </row>
        <row r="2655">
          <cell r="A2655">
            <v>110010</v>
          </cell>
          <cell r="BB2655">
            <v>1</v>
          </cell>
        </row>
        <row r="2656">
          <cell r="A2656">
            <v>110011</v>
          </cell>
          <cell r="BB2656">
            <v>2</v>
          </cell>
        </row>
        <row r="2657">
          <cell r="A2657">
            <v>110012</v>
          </cell>
          <cell r="BB2657">
            <v>2</v>
          </cell>
        </row>
        <row r="2658">
          <cell r="A2658">
            <v>110013</v>
          </cell>
          <cell r="BB2658">
            <v>2</v>
          </cell>
        </row>
        <row r="2659">
          <cell r="A2659">
            <v>110014</v>
          </cell>
          <cell r="BB2659">
            <v>2</v>
          </cell>
        </row>
        <row r="2660">
          <cell r="A2660">
            <v>110015</v>
          </cell>
          <cell r="BB2660">
            <v>2</v>
          </cell>
        </row>
        <row r="2661">
          <cell r="A2661">
            <v>110016</v>
          </cell>
          <cell r="BB2661">
            <v>2</v>
          </cell>
        </row>
        <row r="2662">
          <cell r="A2662">
            <v>110017</v>
          </cell>
          <cell r="BB2662">
            <v>2</v>
          </cell>
        </row>
        <row r="2663">
          <cell r="A2663">
            <v>110018</v>
          </cell>
          <cell r="BB2663">
            <v>2</v>
          </cell>
        </row>
        <row r="2664">
          <cell r="A2664">
            <v>110019</v>
          </cell>
          <cell r="BB2664">
            <v>2</v>
          </cell>
        </row>
        <row r="2665">
          <cell r="A2665">
            <v>110020</v>
          </cell>
          <cell r="BB2665">
            <v>2</v>
          </cell>
        </row>
        <row r="2666">
          <cell r="A2666">
            <v>110021</v>
          </cell>
          <cell r="BB2666">
            <v>3</v>
          </cell>
        </row>
        <row r="2667">
          <cell r="A2667">
            <v>110022</v>
          </cell>
          <cell r="BB2667">
            <v>3</v>
          </cell>
        </row>
        <row r="2668">
          <cell r="A2668">
            <v>110023</v>
          </cell>
          <cell r="BB2668">
            <v>3</v>
          </cell>
        </row>
        <row r="2669">
          <cell r="A2669">
            <v>110024</v>
          </cell>
          <cell r="BB2669">
            <v>3</v>
          </cell>
        </row>
        <row r="2670">
          <cell r="A2670">
            <v>110025</v>
          </cell>
          <cell r="BB2670">
            <v>3</v>
          </cell>
        </row>
        <row r="2671">
          <cell r="A2671">
            <v>110026</v>
          </cell>
          <cell r="BB2671">
            <v>3</v>
          </cell>
        </row>
        <row r="2672">
          <cell r="A2672">
            <v>110027</v>
          </cell>
          <cell r="BB2672">
            <v>3</v>
          </cell>
        </row>
        <row r="2673">
          <cell r="A2673">
            <v>110028</v>
          </cell>
          <cell r="BB2673">
            <v>3</v>
          </cell>
        </row>
        <row r="2674">
          <cell r="A2674">
            <v>110029</v>
          </cell>
          <cell r="BB2674">
            <v>3</v>
          </cell>
        </row>
        <row r="2675">
          <cell r="A2675">
            <v>110030</v>
          </cell>
          <cell r="BB2675">
            <v>3</v>
          </cell>
        </row>
        <row r="2676">
          <cell r="A2676">
            <v>110031</v>
          </cell>
          <cell r="BB2676">
            <v>4</v>
          </cell>
        </row>
        <row r="2677">
          <cell r="A2677">
            <v>110032</v>
          </cell>
          <cell r="BB2677">
            <v>4</v>
          </cell>
        </row>
        <row r="2678">
          <cell r="A2678">
            <v>110033</v>
          </cell>
          <cell r="BB2678">
            <v>4</v>
          </cell>
        </row>
        <row r="2679">
          <cell r="A2679">
            <v>110034</v>
          </cell>
          <cell r="BB2679">
            <v>4</v>
          </cell>
        </row>
        <row r="2680">
          <cell r="A2680">
            <v>110035</v>
          </cell>
          <cell r="BB2680">
            <v>4</v>
          </cell>
        </row>
        <row r="2681">
          <cell r="A2681">
            <v>110036</v>
          </cell>
          <cell r="BB2681">
            <v>4</v>
          </cell>
        </row>
        <row r="2682">
          <cell r="A2682">
            <v>110037</v>
          </cell>
          <cell r="BB2682">
            <v>4</v>
          </cell>
        </row>
        <row r="2683">
          <cell r="A2683">
            <v>110038</v>
          </cell>
          <cell r="BB2683">
            <v>4</v>
          </cell>
        </row>
        <row r="2684">
          <cell r="A2684">
            <v>110039</v>
          </cell>
          <cell r="BB2684">
            <v>4</v>
          </cell>
        </row>
        <row r="2685">
          <cell r="A2685">
            <v>110040</v>
          </cell>
          <cell r="BB2685">
            <v>4</v>
          </cell>
        </row>
        <row r="2686">
          <cell r="A2686">
            <v>110041</v>
          </cell>
          <cell r="BB2686">
            <v>5</v>
          </cell>
        </row>
        <row r="2687">
          <cell r="A2687">
            <v>110042</v>
          </cell>
          <cell r="BB2687">
            <v>5</v>
          </cell>
        </row>
        <row r="2688">
          <cell r="A2688">
            <v>110043</v>
          </cell>
          <cell r="BB2688">
            <v>5</v>
          </cell>
        </row>
        <row r="2689">
          <cell r="A2689">
            <v>110044</v>
          </cell>
          <cell r="BB2689">
            <v>5</v>
          </cell>
        </row>
        <row r="2690">
          <cell r="A2690">
            <v>110045</v>
          </cell>
          <cell r="BB2690">
            <v>5</v>
          </cell>
        </row>
        <row r="2691">
          <cell r="A2691">
            <v>110046</v>
          </cell>
          <cell r="BB2691">
            <v>5</v>
          </cell>
        </row>
        <row r="2692">
          <cell r="A2692">
            <v>110047</v>
          </cell>
          <cell r="BB2692">
            <v>5</v>
          </cell>
        </row>
        <row r="2693">
          <cell r="A2693">
            <v>110048</v>
          </cell>
          <cell r="BB2693">
            <v>5</v>
          </cell>
        </row>
        <row r="2694">
          <cell r="A2694">
            <v>110049</v>
          </cell>
          <cell r="BB2694">
            <v>5</v>
          </cell>
        </row>
        <row r="2695">
          <cell r="A2695">
            <v>110050</v>
          </cell>
          <cell r="BB2695">
            <v>5</v>
          </cell>
        </row>
        <row r="2696">
          <cell r="A2696">
            <v>110051</v>
          </cell>
          <cell r="BB2696">
            <v>6</v>
          </cell>
        </row>
        <row r="2697">
          <cell r="A2697">
            <v>110052</v>
          </cell>
          <cell r="BB2697">
            <v>6</v>
          </cell>
        </row>
        <row r="2698">
          <cell r="A2698">
            <v>110053</v>
          </cell>
          <cell r="BB2698">
            <v>6</v>
          </cell>
        </row>
        <row r="2699">
          <cell r="A2699">
            <v>110054</v>
          </cell>
          <cell r="BB2699">
            <v>6</v>
          </cell>
        </row>
        <row r="2700">
          <cell r="A2700">
            <v>110055</v>
          </cell>
          <cell r="BB2700">
            <v>6</v>
          </cell>
        </row>
        <row r="2701">
          <cell r="A2701">
            <v>110056</v>
          </cell>
          <cell r="BB2701">
            <v>6</v>
          </cell>
        </row>
        <row r="2702">
          <cell r="A2702">
            <v>110057</v>
          </cell>
          <cell r="BB2702">
            <v>6</v>
          </cell>
        </row>
        <row r="2703">
          <cell r="A2703">
            <v>110058</v>
          </cell>
          <cell r="BB2703">
            <v>6</v>
          </cell>
        </row>
        <row r="2704">
          <cell r="A2704">
            <v>110059</v>
          </cell>
          <cell r="BB2704">
            <v>6</v>
          </cell>
        </row>
        <row r="2705">
          <cell r="A2705">
            <v>110060</v>
          </cell>
          <cell r="BB2705">
            <v>6</v>
          </cell>
        </row>
        <row r="2706">
          <cell r="A2706">
            <v>110061</v>
          </cell>
          <cell r="BB2706">
            <v>7</v>
          </cell>
        </row>
        <row r="2707">
          <cell r="A2707">
            <v>110062</v>
          </cell>
          <cell r="BB2707">
            <v>7</v>
          </cell>
        </row>
        <row r="2708">
          <cell r="A2708">
            <v>110063</v>
          </cell>
          <cell r="BB2708">
            <v>7</v>
          </cell>
        </row>
        <row r="2709">
          <cell r="A2709">
            <v>110064</v>
          </cell>
          <cell r="BB2709">
            <v>7</v>
          </cell>
        </row>
        <row r="2710">
          <cell r="A2710">
            <v>110065</v>
          </cell>
          <cell r="BB2710">
            <v>7</v>
          </cell>
        </row>
        <row r="2711">
          <cell r="A2711">
            <v>110066</v>
          </cell>
          <cell r="BB2711">
            <v>7</v>
          </cell>
        </row>
        <row r="2712">
          <cell r="A2712">
            <v>110067</v>
          </cell>
          <cell r="BB2712">
            <v>7</v>
          </cell>
        </row>
        <row r="2713">
          <cell r="A2713">
            <v>110068</v>
          </cell>
          <cell r="BB2713">
            <v>7</v>
          </cell>
        </row>
        <row r="2714">
          <cell r="A2714">
            <v>110069</v>
          </cell>
          <cell r="BB2714">
            <v>7</v>
          </cell>
        </row>
        <row r="2715">
          <cell r="A2715">
            <v>110070</v>
          </cell>
          <cell r="BB2715">
            <v>7</v>
          </cell>
        </row>
        <row r="2716">
          <cell r="A2716">
            <v>110071</v>
          </cell>
          <cell r="BB2716">
            <v>8</v>
          </cell>
        </row>
        <row r="2717">
          <cell r="A2717">
            <v>110072</v>
          </cell>
          <cell r="BB2717">
            <v>8</v>
          </cell>
        </row>
        <row r="2718">
          <cell r="A2718">
            <v>110073</v>
          </cell>
          <cell r="BB2718">
            <v>8</v>
          </cell>
        </row>
        <row r="2719">
          <cell r="A2719">
            <v>110074</v>
          </cell>
          <cell r="BB2719">
            <v>8</v>
          </cell>
        </row>
        <row r="2720">
          <cell r="A2720">
            <v>110075</v>
          </cell>
          <cell r="BB2720">
            <v>8</v>
          </cell>
        </row>
        <row r="2721">
          <cell r="A2721">
            <v>110076</v>
          </cell>
          <cell r="BB2721">
            <v>8</v>
          </cell>
        </row>
        <row r="2722">
          <cell r="A2722">
            <v>110077</v>
          </cell>
          <cell r="BB2722">
            <v>8</v>
          </cell>
        </row>
        <row r="2723">
          <cell r="A2723">
            <v>110078</v>
          </cell>
          <cell r="BB2723">
            <v>8</v>
          </cell>
        </row>
        <row r="2724">
          <cell r="A2724">
            <v>110079</v>
          </cell>
          <cell r="BB2724">
            <v>8</v>
          </cell>
        </row>
        <row r="2725">
          <cell r="A2725">
            <v>110080</v>
          </cell>
          <cell r="BB2725">
            <v>8</v>
          </cell>
        </row>
        <row r="2726">
          <cell r="A2726">
            <v>110081</v>
          </cell>
          <cell r="BB2726">
            <v>1</v>
          </cell>
        </row>
        <row r="2727">
          <cell r="A2727">
            <v>110082</v>
          </cell>
          <cell r="BB2727">
            <v>1</v>
          </cell>
        </row>
        <row r="2728">
          <cell r="A2728">
            <v>110083</v>
          </cell>
          <cell r="BB2728">
            <v>1</v>
          </cell>
        </row>
        <row r="2729">
          <cell r="A2729">
            <v>110084</v>
          </cell>
          <cell r="BB2729">
            <v>1</v>
          </cell>
        </row>
        <row r="2730">
          <cell r="A2730">
            <v>110085</v>
          </cell>
          <cell r="BB2730">
            <v>1</v>
          </cell>
        </row>
        <row r="2731">
          <cell r="A2731">
            <v>110086</v>
          </cell>
          <cell r="BB2731">
            <v>1</v>
          </cell>
        </row>
        <row r="2732">
          <cell r="A2732">
            <v>110087</v>
          </cell>
          <cell r="BB2732">
            <v>1</v>
          </cell>
        </row>
        <row r="2733">
          <cell r="A2733">
            <v>110088</v>
          </cell>
          <cell r="BB2733">
            <v>1</v>
          </cell>
        </row>
        <row r="2734">
          <cell r="A2734">
            <v>110089</v>
          </cell>
          <cell r="BB2734">
            <v>1</v>
          </cell>
        </row>
        <row r="2735">
          <cell r="A2735">
            <v>110090</v>
          </cell>
          <cell r="BB2735">
            <v>1</v>
          </cell>
        </row>
        <row r="2736">
          <cell r="A2736">
            <v>110091</v>
          </cell>
          <cell r="BB2736">
            <v>2</v>
          </cell>
        </row>
        <row r="2737">
          <cell r="A2737">
            <v>110092</v>
          </cell>
          <cell r="BB2737">
            <v>2</v>
          </cell>
        </row>
        <row r="2738">
          <cell r="A2738">
            <v>110093</v>
          </cell>
          <cell r="BB2738">
            <v>2</v>
          </cell>
        </row>
        <row r="2739">
          <cell r="A2739">
            <v>110094</v>
          </cell>
          <cell r="BB2739">
            <v>2</v>
          </cell>
        </row>
        <row r="2740">
          <cell r="A2740">
            <v>110095</v>
          </cell>
          <cell r="BB2740">
            <v>2</v>
          </cell>
        </row>
        <row r="2741">
          <cell r="A2741">
            <v>110096</v>
          </cell>
          <cell r="BB2741">
            <v>2</v>
          </cell>
        </row>
        <row r="2742">
          <cell r="A2742">
            <v>110097</v>
          </cell>
          <cell r="BB2742">
            <v>2</v>
          </cell>
        </row>
        <row r="2743">
          <cell r="A2743">
            <v>110098</v>
          </cell>
          <cell r="BB2743">
            <v>2</v>
          </cell>
        </row>
        <row r="2744">
          <cell r="A2744">
            <v>110099</v>
          </cell>
          <cell r="BB2744">
            <v>2</v>
          </cell>
        </row>
        <row r="2745">
          <cell r="A2745">
            <v>110100</v>
          </cell>
          <cell r="BB2745">
            <v>2</v>
          </cell>
        </row>
        <row r="2746">
          <cell r="A2746">
            <v>110101</v>
          </cell>
          <cell r="BB2746">
            <v>3</v>
          </cell>
        </row>
        <row r="2747">
          <cell r="A2747">
            <v>110102</v>
          </cell>
          <cell r="BB2747">
            <v>3</v>
          </cell>
        </row>
        <row r="2748">
          <cell r="A2748">
            <v>110103</v>
          </cell>
          <cell r="BB2748">
            <v>3</v>
          </cell>
        </row>
        <row r="2749">
          <cell r="A2749">
            <v>110104</v>
          </cell>
          <cell r="BB2749">
            <v>3</v>
          </cell>
        </row>
        <row r="2750">
          <cell r="A2750">
            <v>110105</v>
          </cell>
          <cell r="BB2750">
            <v>3</v>
          </cell>
        </row>
        <row r="2751">
          <cell r="A2751">
            <v>110106</v>
          </cell>
          <cell r="BB2751">
            <v>3</v>
          </cell>
        </row>
        <row r="2752">
          <cell r="A2752">
            <v>110107</v>
          </cell>
          <cell r="BB2752">
            <v>3</v>
          </cell>
        </row>
        <row r="2753">
          <cell r="A2753">
            <v>110108</v>
          </cell>
          <cell r="BB2753">
            <v>3</v>
          </cell>
        </row>
        <row r="2754">
          <cell r="A2754">
            <v>110109</v>
          </cell>
          <cell r="BB2754">
            <v>3</v>
          </cell>
        </row>
        <row r="2755">
          <cell r="A2755">
            <v>110110</v>
          </cell>
          <cell r="BB2755">
            <v>3</v>
          </cell>
        </row>
        <row r="2756">
          <cell r="A2756">
            <v>110111</v>
          </cell>
          <cell r="BB2756">
            <v>4</v>
          </cell>
        </row>
        <row r="2757">
          <cell r="A2757">
            <v>110112</v>
          </cell>
          <cell r="BB2757">
            <v>4</v>
          </cell>
        </row>
        <row r="2758">
          <cell r="A2758">
            <v>110113</v>
          </cell>
          <cell r="BB2758">
            <v>4</v>
          </cell>
        </row>
        <row r="2759">
          <cell r="A2759">
            <v>110114</v>
          </cell>
          <cell r="BB2759">
            <v>4</v>
          </cell>
        </row>
        <row r="2760">
          <cell r="A2760">
            <v>110115</v>
          </cell>
          <cell r="BB2760">
            <v>4</v>
          </cell>
        </row>
        <row r="2761">
          <cell r="A2761">
            <v>110116</v>
          </cell>
          <cell r="BB2761">
            <v>4</v>
          </cell>
        </row>
        <row r="2762">
          <cell r="A2762">
            <v>110117</v>
          </cell>
          <cell r="BB2762">
            <v>4</v>
          </cell>
        </row>
        <row r="2763">
          <cell r="A2763">
            <v>110118</v>
          </cell>
          <cell r="BB2763">
            <v>4</v>
          </cell>
        </row>
        <row r="2764">
          <cell r="A2764">
            <v>110119</v>
          </cell>
          <cell r="BB2764">
            <v>4</v>
          </cell>
        </row>
        <row r="2765">
          <cell r="A2765">
            <v>110120</v>
          </cell>
          <cell r="BB2765">
            <v>4</v>
          </cell>
        </row>
        <row r="2766">
          <cell r="A2766">
            <v>110121</v>
          </cell>
          <cell r="BB2766">
            <v>5</v>
          </cell>
        </row>
        <row r="2767">
          <cell r="A2767">
            <v>110122</v>
          </cell>
          <cell r="BB2767">
            <v>5</v>
          </cell>
        </row>
        <row r="2768">
          <cell r="A2768">
            <v>110123</v>
          </cell>
          <cell r="BB2768">
            <v>5</v>
          </cell>
        </row>
        <row r="2769">
          <cell r="A2769">
            <v>110124</v>
          </cell>
          <cell r="BB2769">
            <v>5</v>
          </cell>
        </row>
        <row r="2770">
          <cell r="A2770">
            <v>110125</v>
          </cell>
          <cell r="BB2770">
            <v>5</v>
          </cell>
        </row>
        <row r="2771">
          <cell r="A2771">
            <v>110126</v>
          </cell>
          <cell r="BB2771">
            <v>5</v>
          </cell>
        </row>
        <row r="2772">
          <cell r="A2772">
            <v>110127</v>
          </cell>
          <cell r="BB2772">
            <v>5</v>
          </cell>
        </row>
        <row r="2773">
          <cell r="A2773">
            <v>110128</v>
          </cell>
          <cell r="BB2773">
            <v>5</v>
          </cell>
        </row>
        <row r="2774">
          <cell r="A2774">
            <v>110129</v>
          </cell>
          <cell r="BB2774">
            <v>5</v>
          </cell>
        </row>
        <row r="2775">
          <cell r="A2775">
            <v>110130</v>
          </cell>
          <cell r="BB2775">
            <v>5</v>
          </cell>
        </row>
        <row r="2776">
          <cell r="A2776">
            <v>110131</v>
          </cell>
          <cell r="BB2776">
            <v>6</v>
          </cell>
        </row>
        <row r="2777">
          <cell r="A2777">
            <v>110132</v>
          </cell>
          <cell r="BB2777">
            <v>6</v>
          </cell>
        </row>
        <row r="2778">
          <cell r="A2778">
            <v>110133</v>
          </cell>
          <cell r="BB2778">
            <v>6</v>
          </cell>
        </row>
        <row r="2779">
          <cell r="A2779">
            <v>110134</v>
          </cell>
          <cell r="BB2779">
            <v>6</v>
          </cell>
        </row>
        <row r="2780">
          <cell r="A2780">
            <v>110135</v>
          </cell>
          <cell r="BB2780">
            <v>6</v>
          </cell>
        </row>
        <row r="2781">
          <cell r="A2781">
            <v>110136</v>
          </cell>
          <cell r="BB2781">
            <v>6</v>
          </cell>
        </row>
        <row r="2782">
          <cell r="A2782">
            <v>110137</v>
          </cell>
          <cell r="BB2782">
            <v>6</v>
          </cell>
        </row>
        <row r="2783">
          <cell r="A2783">
            <v>110138</v>
          </cell>
          <cell r="BB2783">
            <v>6</v>
          </cell>
        </row>
        <row r="2784">
          <cell r="A2784">
            <v>110139</v>
          </cell>
          <cell r="BB2784">
            <v>6</v>
          </cell>
        </row>
        <row r="2785">
          <cell r="A2785">
            <v>110140</v>
          </cell>
          <cell r="BB2785">
            <v>6</v>
          </cell>
        </row>
        <row r="2786">
          <cell r="A2786">
            <v>110141</v>
          </cell>
          <cell r="BB2786">
            <v>7</v>
          </cell>
        </row>
        <row r="2787">
          <cell r="A2787">
            <v>110142</v>
          </cell>
          <cell r="BB2787">
            <v>7</v>
          </cell>
        </row>
        <row r="2788">
          <cell r="A2788">
            <v>110143</v>
          </cell>
          <cell r="BB2788">
            <v>7</v>
          </cell>
        </row>
        <row r="2789">
          <cell r="A2789">
            <v>110144</v>
          </cell>
          <cell r="BB2789">
            <v>7</v>
          </cell>
        </row>
        <row r="2790">
          <cell r="A2790">
            <v>110145</v>
          </cell>
          <cell r="BB2790">
            <v>7</v>
          </cell>
        </row>
        <row r="2791">
          <cell r="A2791">
            <v>110146</v>
          </cell>
          <cell r="BB2791">
            <v>7</v>
          </cell>
        </row>
        <row r="2792">
          <cell r="A2792">
            <v>110147</v>
          </cell>
          <cell r="BB2792">
            <v>7</v>
          </cell>
        </row>
        <row r="2793">
          <cell r="A2793">
            <v>110148</v>
          </cell>
          <cell r="BB2793">
            <v>7</v>
          </cell>
        </row>
        <row r="2794">
          <cell r="A2794">
            <v>110149</v>
          </cell>
          <cell r="BB2794">
            <v>7</v>
          </cell>
        </row>
        <row r="2795">
          <cell r="A2795">
            <v>110150</v>
          </cell>
          <cell r="BB2795">
            <v>7</v>
          </cell>
        </row>
        <row r="2796">
          <cell r="A2796">
            <v>110151</v>
          </cell>
          <cell r="BB2796">
            <v>8</v>
          </cell>
        </row>
        <row r="2797">
          <cell r="A2797">
            <v>110152</v>
          </cell>
          <cell r="BB2797">
            <v>8</v>
          </cell>
        </row>
        <row r="2798">
          <cell r="A2798">
            <v>110153</v>
          </cell>
          <cell r="BB2798">
            <v>8</v>
          </cell>
        </row>
        <row r="2799">
          <cell r="A2799">
            <v>110154</v>
          </cell>
          <cell r="BB2799">
            <v>8</v>
          </cell>
        </row>
        <row r="2800">
          <cell r="A2800">
            <v>110155</v>
          </cell>
          <cell r="BB2800">
            <v>8</v>
          </cell>
        </row>
        <row r="2801">
          <cell r="A2801">
            <v>110156</v>
          </cell>
          <cell r="BB2801">
            <v>8</v>
          </cell>
        </row>
        <row r="2802">
          <cell r="A2802">
            <v>110157</v>
          </cell>
          <cell r="BB2802">
            <v>8</v>
          </cell>
        </row>
        <row r="2803">
          <cell r="A2803">
            <v>110158</v>
          </cell>
          <cell r="BB2803">
            <v>8</v>
          </cell>
        </row>
        <row r="2804">
          <cell r="A2804">
            <v>110159</v>
          </cell>
          <cell r="BB2804">
            <v>8</v>
          </cell>
        </row>
        <row r="2805">
          <cell r="A2805">
            <v>110160</v>
          </cell>
          <cell r="BB2805">
            <v>8</v>
          </cell>
        </row>
        <row r="2806">
          <cell r="A2806">
            <v>110161</v>
          </cell>
          <cell r="BB2806">
            <v>9</v>
          </cell>
        </row>
        <row r="2807">
          <cell r="A2807">
            <v>110162</v>
          </cell>
          <cell r="BB2807">
            <v>9</v>
          </cell>
        </row>
        <row r="2808">
          <cell r="A2808">
            <v>110163</v>
          </cell>
          <cell r="BB2808">
            <v>9</v>
          </cell>
        </row>
        <row r="2809">
          <cell r="A2809">
            <v>110164</v>
          </cell>
          <cell r="BB2809">
            <v>9</v>
          </cell>
        </row>
        <row r="2810">
          <cell r="A2810">
            <v>110165</v>
          </cell>
          <cell r="BB2810">
            <v>9</v>
          </cell>
        </row>
        <row r="2811">
          <cell r="A2811">
            <v>110166</v>
          </cell>
          <cell r="BB2811">
            <v>9</v>
          </cell>
        </row>
        <row r="2812">
          <cell r="A2812">
            <v>110167</v>
          </cell>
          <cell r="BB2812">
            <v>9</v>
          </cell>
        </row>
        <row r="2813">
          <cell r="A2813">
            <v>110168</v>
          </cell>
          <cell r="BB2813">
            <v>9</v>
          </cell>
        </row>
        <row r="2814">
          <cell r="A2814">
            <v>110169</v>
          </cell>
          <cell r="BB2814">
            <v>9</v>
          </cell>
        </row>
        <row r="2815">
          <cell r="A2815">
            <v>110170</v>
          </cell>
          <cell r="BB2815">
            <v>9</v>
          </cell>
        </row>
        <row r="2816">
          <cell r="A2816">
            <v>110171</v>
          </cell>
          <cell r="BB2816">
            <v>10</v>
          </cell>
        </row>
        <row r="2817">
          <cell r="A2817">
            <v>110172</v>
          </cell>
          <cell r="BB2817">
            <v>10</v>
          </cell>
        </row>
        <row r="2818">
          <cell r="A2818">
            <v>110173</v>
          </cell>
          <cell r="BB2818">
            <v>10</v>
          </cell>
        </row>
        <row r="2819">
          <cell r="A2819">
            <v>110174</v>
          </cell>
          <cell r="BB2819">
            <v>10</v>
          </cell>
        </row>
        <row r="2820">
          <cell r="A2820">
            <v>110175</v>
          </cell>
          <cell r="BB2820">
            <v>10</v>
          </cell>
        </row>
        <row r="2821">
          <cell r="A2821">
            <v>110176</v>
          </cell>
          <cell r="BB2821">
            <v>10</v>
          </cell>
        </row>
        <row r="2822">
          <cell r="A2822">
            <v>110177</v>
          </cell>
          <cell r="BB2822">
            <v>10</v>
          </cell>
        </row>
        <row r="2823">
          <cell r="A2823">
            <v>110178</v>
          </cell>
          <cell r="BB2823">
            <v>10</v>
          </cell>
        </row>
        <row r="2824">
          <cell r="A2824">
            <v>110179</v>
          </cell>
          <cell r="BB2824">
            <v>10</v>
          </cell>
        </row>
        <row r="2825">
          <cell r="A2825">
            <v>110180</v>
          </cell>
          <cell r="BB2825">
            <v>10</v>
          </cell>
        </row>
        <row r="2826">
          <cell r="A2826">
            <v>110181</v>
          </cell>
          <cell r="BB2826">
            <v>11</v>
          </cell>
        </row>
        <row r="2827">
          <cell r="A2827">
            <v>110182</v>
          </cell>
          <cell r="BB2827">
            <v>11</v>
          </cell>
        </row>
        <row r="2828">
          <cell r="A2828">
            <v>110183</v>
          </cell>
          <cell r="BB2828">
            <v>11</v>
          </cell>
        </row>
        <row r="2829">
          <cell r="A2829">
            <v>110184</v>
          </cell>
          <cell r="BB2829">
            <v>11</v>
          </cell>
        </row>
        <row r="2830">
          <cell r="A2830">
            <v>110185</v>
          </cell>
          <cell r="BB2830">
            <v>11</v>
          </cell>
        </row>
        <row r="2831">
          <cell r="A2831">
            <v>110186</v>
          </cell>
          <cell r="BB2831">
            <v>1</v>
          </cell>
        </row>
        <row r="2832">
          <cell r="A2832">
            <v>110187</v>
          </cell>
          <cell r="BB2832">
            <v>1</v>
          </cell>
        </row>
        <row r="2833">
          <cell r="A2833">
            <v>110188</v>
          </cell>
          <cell r="BB2833">
            <v>1</v>
          </cell>
        </row>
        <row r="2834">
          <cell r="A2834">
            <v>110189</v>
          </cell>
          <cell r="BB2834">
            <v>1</v>
          </cell>
        </row>
        <row r="2835">
          <cell r="A2835">
            <v>110190</v>
          </cell>
          <cell r="BB2835">
            <v>1</v>
          </cell>
        </row>
        <row r="2836">
          <cell r="A2836">
            <v>110191</v>
          </cell>
          <cell r="BB2836">
            <v>1</v>
          </cell>
        </row>
        <row r="2837">
          <cell r="A2837">
            <v>110192</v>
          </cell>
          <cell r="BB2837">
            <v>1</v>
          </cell>
        </row>
        <row r="2838">
          <cell r="A2838">
            <v>110193</v>
          </cell>
          <cell r="BB2838">
            <v>1</v>
          </cell>
        </row>
        <row r="2839">
          <cell r="A2839">
            <v>110194</v>
          </cell>
          <cell r="BB2839">
            <v>1</v>
          </cell>
        </row>
        <row r="2840">
          <cell r="A2840">
            <v>110195</v>
          </cell>
          <cell r="BB2840">
            <v>1</v>
          </cell>
        </row>
        <row r="2841">
          <cell r="A2841">
            <v>110196</v>
          </cell>
          <cell r="BB2841">
            <v>2</v>
          </cell>
        </row>
        <row r="2842">
          <cell r="A2842">
            <v>110197</v>
          </cell>
          <cell r="BB2842">
            <v>2</v>
          </cell>
        </row>
        <row r="2843">
          <cell r="A2843">
            <v>110198</v>
          </cell>
          <cell r="BB2843">
            <v>2</v>
          </cell>
        </row>
        <row r="2844">
          <cell r="A2844">
            <v>110199</v>
          </cell>
          <cell r="BB2844">
            <v>2</v>
          </cell>
        </row>
        <row r="2845">
          <cell r="A2845">
            <v>110200</v>
          </cell>
          <cell r="BB2845">
            <v>2</v>
          </cell>
        </row>
        <row r="2846">
          <cell r="A2846">
            <v>110201</v>
          </cell>
          <cell r="BB2846">
            <v>2</v>
          </cell>
        </row>
        <row r="2847">
          <cell r="A2847">
            <v>110202</v>
          </cell>
          <cell r="BB2847">
            <v>2</v>
          </cell>
        </row>
        <row r="2848">
          <cell r="A2848">
            <v>110203</v>
          </cell>
          <cell r="BB2848">
            <v>2</v>
          </cell>
        </row>
        <row r="2849">
          <cell r="A2849">
            <v>110204</v>
          </cell>
          <cell r="BB2849">
            <v>2</v>
          </cell>
        </row>
        <row r="2850">
          <cell r="A2850">
            <v>110205</v>
          </cell>
          <cell r="BB2850">
            <v>2</v>
          </cell>
        </row>
        <row r="2851">
          <cell r="A2851">
            <v>110206</v>
          </cell>
          <cell r="BB2851">
            <v>3</v>
          </cell>
        </row>
        <row r="2852">
          <cell r="A2852">
            <v>110207</v>
          </cell>
          <cell r="BB2852">
            <v>3</v>
          </cell>
        </row>
        <row r="2853">
          <cell r="A2853">
            <v>110208</v>
          </cell>
          <cell r="BB2853">
            <v>3</v>
          </cell>
        </row>
        <row r="2854">
          <cell r="A2854">
            <v>110209</v>
          </cell>
          <cell r="BB2854">
            <v>3</v>
          </cell>
        </row>
        <row r="2855">
          <cell r="A2855">
            <v>110210</v>
          </cell>
          <cell r="BB2855">
            <v>3</v>
          </cell>
        </row>
        <row r="2856">
          <cell r="A2856">
            <v>110211</v>
          </cell>
          <cell r="BB2856">
            <v>3</v>
          </cell>
        </row>
        <row r="2857">
          <cell r="A2857">
            <v>110212</v>
          </cell>
          <cell r="BB2857">
            <v>3</v>
          </cell>
        </row>
        <row r="2858">
          <cell r="A2858">
            <v>110213</v>
          </cell>
          <cell r="BB2858">
            <v>3</v>
          </cell>
        </row>
        <row r="2859">
          <cell r="A2859">
            <v>110214</v>
          </cell>
          <cell r="BB2859">
            <v>3</v>
          </cell>
        </row>
        <row r="2860">
          <cell r="A2860">
            <v>110215</v>
          </cell>
          <cell r="BB2860">
            <v>3</v>
          </cell>
        </row>
        <row r="2861">
          <cell r="A2861">
            <v>110216</v>
          </cell>
          <cell r="BB2861">
            <v>4</v>
          </cell>
        </row>
        <row r="2862">
          <cell r="A2862">
            <v>110217</v>
          </cell>
          <cell r="BB2862">
            <v>4</v>
          </cell>
        </row>
        <row r="2863">
          <cell r="A2863">
            <v>110218</v>
          </cell>
          <cell r="BB2863">
            <v>4</v>
          </cell>
        </row>
        <row r="2864">
          <cell r="A2864">
            <v>110219</v>
          </cell>
          <cell r="BB2864">
            <v>4</v>
          </cell>
        </row>
        <row r="2865">
          <cell r="A2865">
            <v>110220</v>
          </cell>
          <cell r="BB2865">
            <v>4</v>
          </cell>
        </row>
        <row r="2866">
          <cell r="A2866">
            <v>110221</v>
          </cell>
          <cell r="BB2866">
            <v>4</v>
          </cell>
        </row>
        <row r="2867">
          <cell r="A2867">
            <v>110222</v>
          </cell>
          <cell r="BB2867">
            <v>4</v>
          </cell>
        </row>
        <row r="2868">
          <cell r="A2868">
            <v>110223</v>
          </cell>
          <cell r="BB2868">
            <v>4</v>
          </cell>
        </row>
        <row r="2869">
          <cell r="A2869">
            <v>110224</v>
          </cell>
          <cell r="BB2869">
            <v>4</v>
          </cell>
        </row>
        <row r="2870">
          <cell r="A2870">
            <v>110225</v>
          </cell>
          <cell r="BB2870">
            <v>4</v>
          </cell>
        </row>
        <row r="2871">
          <cell r="A2871">
            <v>110226</v>
          </cell>
          <cell r="BB2871">
            <v>5</v>
          </cell>
        </row>
        <row r="2872">
          <cell r="A2872">
            <v>110227</v>
          </cell>
          <cell r="BB2872">
            <v>5</v>
          </cell>
        </row>
        <row r="2873">
          <cell r="A2873">
            <v>110228</v>
          </cell>
          <cell r="BB2873">
            <v>5</v>
          </cell>
        </row>
        <row r="2874">
          <cell r="A2874">
            <v>110229</v>
          </cell>
          <cell r="BB2874">
            <v>5</v>
          </cell>
        </row>
        <row r="2875">
          <cell r="A2875">
            <v>110230</v>
          </cell>
          <cell r="BB2875">
            <v>5</v>
          </cell>
        </row>
        <row r="2876">
          <cell r="A2876">
            <v>110231</v>
          </cell>
          <cell r="BB2876">
            <v>5</v>
          </cell>
        </row>
        <row r="2877">
          <cell r="A2877">
            <v>110232</v>
          </cell>
          <cell r="BB2877">
            <v>5</v>
          </cell>
        </row>
        <row r="2878">
          <cell r="A2878">
            <v>110233</v>
          </cell>
          <cell r="BB2878">
            <v>5</v>
          </cell>
        </row>
        <row r="2879">
          <cell r="A2879">
            <v>110234</v>
          </cell>
          <cell r="BB2879">
            <v>5</v>
          </cell>
        </row>
        <row r="2880">
          <cell r="A2880">
            <v>110235</v>
          </cell>
          <cell r="BB2880">
            <v>5</v>
          </cell>
        </row>
        <row r="2881">
          <cell r="A2881">
            <v>110236</v>
          </cell>
          <cell r="BB2881">
            <v>6</v>
          </cell>
        </row>
        <row r="2882">
          <cell r="A2882">
            <v>110237</v>
          </cell>
          <cell r="BB2882">
            <v>6</v>
          </cell>
        </row>
        <row r="2883">
          <cell r="A2883">
            <v>110238</v>
          </cell>
          <cell r="BB2883">
            <v>6</v>
          </cell>
        </row>
        <row r="2884">
          <cell r="A2884">
            <v>110239</v>
          </cell>
          <cell r="BB2884">
            <v>6</v>
          </cell>
        </row>
        <row r="2885">
          <cell r="A2885">
            <v>110240</v>
          </cell>
          <cell r="BB2885">
            <v>6</v>
          </cell>
        </row>
        <row r="2886">
          <cell r="A2886">
            <v>110241</v>
          </cell>
          <cell r="BB2886">
            <v>6</v>
          </cell>
        </row>
        <row r="2887">
          <cell r="A2887">
            <v>110242</v>
          </cell>
          <cell r="BB2887">
            <v>6</v>
          </cell>
        </row>
        <row r="2888">
          <cell r="A2888">
            <v>110243</v>
          </cell>
          <cell r="BB2888">
            <v>6</v>
          </cell>
        </row>
        <row r="2889">
          <cell r="A2889">
            <v>110244</v>
          </cell>
          <cell r="BB2889">
            <v>6</v>
          </cell>
        </row>
        <row r="2890">
          <cell r="A2890">
            <v>110245</v>
          </cell>
          <cell r="BB2890">
            <v>6</v>
          </cell>
        </row>
        <row r="2891">
          <cell r="A2891">
            <v>110246</v>
          </cell>
          <cell r="BB2891">
            <v>7</v>
          </cell>
        </row>
        <row r="2892">
          <cell r="A2892">
            <v>110247</v>
          </cell>
          <cell r="BB2892">
            <v>7</v>
          </cell>
        </row>
        <row r="2893">
          <cell r="A2893">
            <v>110248</v>
          </cell>
          <cell r="BB2893">
            <v>7</v>
          </cell>
        </row>
        <row r="2894">
          <cell r="A2894">
            <v>110249</v>
          </cell>
          <cell r="BB2894">
            <v>7</v>
          </cell>
        </row>
        <row r="2895">
          <cell r="A2895">
            <v>110250</v>
          </cell>
          <cell r="BB2895">
            <v>7</v>
          </cell>
        </row>
        <row r="2896">
          <cell r="A2896">
            <v>110251</v>
          </cell>
          <cell r="BB2896">
            <v>7</v>
          </cell>
        </row>
        <row r="2897">
          <cell r="A2897">
            <v>110252</v>
          </cell>
          <cell r="BB2897">
            <v>7</v>
          </cell>
        </row>
        <row r="2898">
          <cell r="A2898">
            <v>110253</v>
          </cell>
          <cell r="BB2898">
            <v>7</v>
          </cell>
        </row>
        <row r="2899">
          <cell r="A2899">
            <v>110254</v>
          </cell>
          <cell r="BB2899">
            <v>7</v>
          </cell>
        </row>
        <row r="2900">
          <cell r="A2900">
            <v>110255</v>
          </cell>
          <cell r="BB2900">
            <v>7</v>
          </cell>
        </row>
        <row r="2901">
          <cell r="A2901">
            <v>110256</v>
          </cell>
          <cell r="BB2901">
            <v>8</v>
          </cell>
        </row>
        <row r="2902">
          <cell r="A2902">
            <v>110257</v>
          </cell>
          <cell r="BB2902">
            <v>8</v>
          </cell>
        </row>
        <row r="2903">
          <cell r="A2903">
            <v>110258</v>
          </cell>
          <cell r="BB2903">
            <v>8</v>
          </cell>
        </row>
        <row r="2904">
          <cell r="A2904">
            <v>110259</v>
          </cell>
          <cell r="BB2904">
            <v>8</v>
          </cell>
        </row>
        <row r="2905">
          <cell r="A2905">
            <v>110260</v>
          </cell>
          <cell r="BB2905">
            <v>8</v>
          </cell>
        </row>
        <row r="2906">
          <cell r="A2906">
            <v>110261</v>
          </cell>
          <cell r="BB2906">
            <v>8</v>
          </cell>
        </row>
        <row r="2907">
          <cell r="A2907">
            <v>110262</v>
          </cell>
          <cell r="BB2907">
            <v>8</v>
          </cell>
        </row>
        <row r="2908">
          <cell r="A2908">
            <v>110263</v>
          </cell>
          <cell r="BB2908">
            <v>8</v>
          </cell>
        </row>
        <row r="2909">
          <cell r="A2909">
            <v>110264</v>
          </cell>
          <cell r="BB2909">
            <v>8</v>
          </cell>
        </row>
        <row r="2910">
          <cell r="A2910">
            <v>110265</v>
          </cell>
          <cell r="BB2910">
            <v>8</v>
          </cell>
        </row>
        <row r="2911">
          <cell r="A2911">
            <v>110266</v>
          </cell>
          <cell r="BB2911">
            <v>1</v>
          </cell>
        </row>
        <row r="2912">
          <cell r="A2912">
            <v>110267</v>
          </cell>
          <cell r="BB2912">
            <v>1</v>
          </cell>
        </row>
        <row r="2913">
          <cell r="A2913">
            <v>110268</v>
          </cell>
          <cell r="BB2913">
            <v>1</v>
          </cell>
        </row>
        <row r="2914">
          <cell r="A2914">
            <v>110269</v>
          </cell>
          <cell r="BB2914">
            <v>1</v>
          </cell>
        </row>
        <row r="2915">
          <cell r="A2915">
            <v>110270</v>
          </cell>
          <cell r="BB2915">
            <v>1</v>
          </cell>
        </row>
        <row r="2916">
          <cell r="A2916">
            <v>110271</v>
          </cell>
          <cell r="BB2916">
            <v>1</v>
          </cell>
        </row>
        <row r="2917">
          <cell r="A2917">
            <v>110272</v>
          </cell>
          <cell r="BB2917">
            <v>1</v>
          </cell>
        </row>
        <row r="2918">
          <cell r="A2918">
            <v>110273</v>
          </cell>
          <cell r="BB2918">
            <v>1</v>
          </cell>
        </row>
        <row r="2919">
          <cell r="A2919">
            <v>110274</v>
          </cell>
          <cell r="BB2919">
            <v>1</v>
          </cell>
        </row>
        <row r="2920">
          <cell r="A2920">
            <v>110275</v>
          </cell>
          <cell r="BB2920">
            <v>1</v>
          </cell>
        </row>
        <row r="2921">
          <cell r="A2921">
            <v>110276</v>
          </cell>
          <cell r="BB2921">
            <v>2</v>
          </cell>
        </row>
        <row r="2922">
          <cell r="A2922">
            <v>110277</v>
          </cell>
          <cell r="BB2922">
            <v>2</v>
          </cell>
        </row>
        <row r="2923">
          <cell r="A2923">
            <v>110278</v>
          </cell>
          <cell r="BB2923">
            <v>2</v>
          </cell>
        </row>
        <row r="2924">
          <cell r="A2924">
            <v>110279</v>
          </cell>
          <cell r="BB2924">
            <v>2</v>
          </cell>
        </row>
        <row r="2925">
          <cell r="A2925">
            <v>110280</v>
          </cell>
          <cell r="BB2925">
            <v>2</v>
          </cell>
        </row>
        <row r="2926">
          <cell r="A2926">
            <v>110281</v>
          </cell>
          <cell r="BB2926">
            <v>2</v>
          </cell>
        </row>
        <row r="2927">
          <cell r="A2927">
            <v>110282</v>
          </cell>
          <cell r="BB2927">
            <v>2</v>
          </cell>
        </row>
        <row r="2928">
          <cell r="A2928">
            <v>110283</v>
          </cell>
          <cell r="BB2928">
            <v>2</v>
          </cell>
        </row>
        <row r="2929">
          <cell r="A2929">
            <v>110284</v>
          </cell>
          <cell r="BB2929">
            <v>2</v>
          </cell>
        </row>
        <row r="2930">
          <cell r="A2930">
            <v>110285</v>
          </cell>
          <cell r="BB2930">
            <v>2</v>
          </cell>
        </row>
        <row r="2931">
          <cell r="A2931">
            <v>110286</v>
          </cell>
          <cell r="BB2931">
            <v>3</v>
          </cell>
        </row>
        <row r="2932">
          <cell r="A2932">
            <v>110287</v>
          </cell>
          <cell r="BB2932">
            <v>3</v>
          </cell>
        </row>
        <row r="2933">
          <cell r="A2933">
            <v>110288</v>
          </cell>
          <cell r="BB2933">
            <v>3</v>
          </cell>
        </row>
        <row r="2934">
          <cell r="A2934">
            <v>110289</v>
          </cell>
          <cell r="BB2934">
            <v>3</v>
          </cell>
        </row>
        <row r="2935">
          <cell r="A2935">
            <v>110290</v>
          </cell>
          <cell r="BB2935">
            <v>3</v>
          </cell>
        </row>
        <row r="2936">
          <cell r="A2936">
            <v>110291</v>
          </cell>
          <cell r="BB2936">
            <v>3</v>
          </cell>
        </row>
        <row r="2937">
          <cell r="A2937">
            <v>110292</v>
          </cell>
          <cell r="BB2937">
            <v>3</v>
          </cell>
        </row>
        <row r="2938">
          <cell r="A2938">
            <v>110293</v>
          </cell>
          <cell r="BB2938">
            <v>3</v>
          </cell>
        </row>
        <row r="2939">
          <cell r="A2939">
            <v>110294</v>
          </cell>
          <cell r="BB2939">
            <v>3</v>
          </cell>
        </row>
        <row r="2940">
          <cell r="A2940">
            <v>110295</v>
          </cell>
          <cell r="BB2940">
            <v>3</v>
          </cell>
        </row>
        <row r="2941">
          <cell r="A2941">
            <v>110296</v>
          </cell>
          <cell r="BB2941">
            <v>4</v>
          </cell>
        </row>
        <row r="2942">
          <cell r="A2942">
            <v>110297</v>
          </cell>
          <cell r="BB2942">
            <v>4</v>
          </cell>
        </row>
        <row r="2943">
          <cell r="A2943">
            <v>110298</v>
          </cell>
          <cell r="BB2943">
            <v>4</v>
          </cell>
        </row>
        <row r="2944">
          <cell r="A2944">
            <v>110299</v>
          </cell>
          <cell r="BB2944">
            <v>4</v>
          </cell>
        </row>
        <row r="2945">
          <cell r="A2945">
            <v>110300</v>
          </cell>
          <cell r="BB2945">
            <v>4</v>
          </cell>
        </row>
        <row r="2946">
          <cell r="A2946">
            <v>110301</v>
          </cell>
          <cell r="BB2946">
            <v>4</v>
          </cell>
        </row>
        <row r="2947">
          <cell r="A2947">
            <v>110302</v>
          </cell>
          <cell r="BB2947">
            <v>4</v>
          </cell>
        </row>
        <row r="2948">
          <cell r="A2948">
            <v>110303</v>
          </cell>
          <cell r="BB2948">
            <v>4</v>
          </cell>
        </row>
        <row r="2949">
          <cell r="A2949">
            <v>110304</v>
          </cell>
          <cell r="BB2949">
            <v>4</v>
          </cell>
        </row>
        <row r="2950">
          <cell r="A2950">
            <v>110305</v>
          </cell>
          <cell r="BB2950">
            <v>4</v>
          </cell>
        </row>
        <row r="2951">
          <cell r="A2951">
            <v>110306</v>
          </cell>
          <cell r="BB2951">
            <v>5</v>
          </cell>
        </row>
        <row r="2952">
          <cell r="A2952">
            <v>110307</v>
          </cell>
          <cell r="BB2952">
            <v>5</v>
          </cell>
        </row>
        <row r="2953">
          <cell r="A2953">
            <v>110308</v>
          </cell>
          <cell r="BB2953">
            <v>5</v>
          </cell>
        </row>
        <row r="2954">
          <cell r="A2954">
            <v>110309</v>
          </cell>
          <cell r="BB2954">
            <v>5</v>
          </cell>
        </row>
        <row r="2955">
          <cell r="A2955">
            <v>110310</v>
          </cell>
          <cell r="BB2955">
            <v>5</v>
          </cell>
        </row>
        <row r="2956">
          <cell r="A2956">
            <v>110311</v>
          </cell>
          <cell r="BB2956">
            <v>5</v>
          </cell>
        </row>
        <row r="2957">
          <cell r="A2957">
            <v>110312</v>
          </cell>
          <cell r="BB2957">
            <v>5</v>
          </cell>
        </row>
        <row r="2958">
          <cell r="A2958">
            <v>110313</v>
          </cell>
          <cell r="BB2958">
            <v>5</v>
          </cell>
        </row>
        <row r="2959">
          <cell r="A2959">
            <v>110314</v>
          </cell>
          <cell r="BB2959">
            <v>5</v>
          </cell>
        </row>
        <row r="2960">
          <cell r="A2960">
            <v>110315</v>
          </cell>
          <cell r="BB2960">
            <v>5</v>
          </cell>
        </row>
        <row r="2961">
          <cell r="A2961">
            <v>110316</v>
          </cell>
          <cell r="BB2961">
            <v>6</v>
          </cell>
        </row>
        <row r="2962">
          <cell r="A2962">
            <v>110317</v>
          </cell>
          <cell r="BB2962">
            <v>6</v>
          </cell>
        </row>
        <row r="2963">
          <cell r="A2963">
            <v>110318</v>
          </cell>
          <cell r="BB2963">
            <v>6</v>
          </cell>
        </row>
        <row r="2964">
          <cell r="A2964">
            <v>110319</v>
          </cell>
          <cell r="BB2964">
            <v>6</v>
          </cell>
        </row>
        <row r="2965">
          <cell r="A2965">
            <v>110320</v>
          </cell>
          <cell r="BB2965">
            <v>6</v>
          </cell>
        </row>
        <row r="2966">
          <cell r="A2966">
            <v>110321</v>
          </cell>
          <cell r="BB2966">
            <v>6</v>
          </cell>
        </row>
        <row r="2967">
          <cell r="A2967">
            <v>110322</v>
          </cell>
          <cell r="BB2967">
            <v>6</v>
          </cell>
        </row>
        <row r="2968">
          <cell r="A2968">
            <v>110323</v>
          </cell>
          <cell r="BB2968">
            <v>6</v>
          </cell>
        </row>
        <row r="2969">
          <cell r="A2969">
            <v>110324</v>
          </cell>
          <cell r="BB2969">
            <v>6</v>
          </cell>
        </row>
        <row r="2970">
          <cell r="A2970">
            <v>110325</v>
          </cell>
          <cell r="BB2970">
            <v>6</v>
          </cell>
        </row>
        <row r="2971">
          <cell r="A2971">
            <v>110326</v>
          </cell>
          <cell r="BB2971">
            <v>7</v>
          </cell>
        </row>
        <row r="2972">
          <cell r="A2972">
            <v>110327</v>
          </cell>
          <cell r="BB2972">
            <v>7</v>
          </cell>
        </row>
        <row r="2973">
          <cell r="A2973">
            <v>110328</v>
          </cell>
          <cell r="BB2973">
            <v>7</v>
          </cell>
        </row>
        <row r="2974">
          <cell r="A2974">
            <v>110329</v>
          </cell>
          <cell r="BB2974">
            <v>7</v>
          </cell>
        </row>
        <row r="2975">
          <cell r="A2975">
            <v>110330</v>
          </cell>
          <cell r="BB2975">
            <v>7</v>
          </cell>
        </row>
        <row r="2976">
          <cell r="A2976">
            <v>110331</v>
          </cell>
          <cell r="BB2976">
            <v>7</v>
          </cell>
        </row>
        <row r="2977">
          <cell r="A2977">
            <v>110332</v>
          </cell>
          <cell r="BB2977">
            <v>7</v>
          </cell>
        </row>
        <row r="2978">
          <cell r="A2978">
            <v>110333</v>
          </cell>
          <cell r="BB2978">
            <v>7</v>
          </cell>
        </row>
        <row r="2979">
          <cell r="A2979">
            <v>110334</v>
          </cell>
          <cell r="BB2979">
            <v>7</v>
          </cell>
        </row>
        <row r="2980">
          <cell r="A2980">
            <v>110335</v>
          </cell>
          <cell r="BB2980">
            <v>7</v>
          </cell>
        </row>
        <row r="2981">
          <cell r="A2981">
            <v>110336</v>
          </cell>
          <cell r="BB2981">
            <v>8</v>
          </cell>
        </row>
        <row r="2982">
          <cell r="A2982">
            <v>110337</v>
          </cell>
          <cell r="BB2982">
            <v>8</v>
          </cell>
        </row>
        <row r="2983">
          <cell r="A2983">
            <v>110338</v>
          </cell>
          <cell r="BB2983">
            <v>8</v>
          </cell>
        </row>
        <row r="2984">
          <cell r="A2984">
            <v>110339</v>
          </cell>
          <cell r="BB2984">
            <v>8</v>
          </cell>
        </row>
        <row r="2985">
          <cell r="A2985">
            <v>110340</v>
          </cell>
          <cell r="BB2985">
            <v>8</v>
          </cell>
        </row>
        <row r="2986">
          <cell r="A2986">
            <v>110341</v>
          </cell>
          <cell r="BB2986">
            <v>8</v>
          </cell>
        </row>
        <row r="2987">
          <cell r="A2987">
            <v>110342</v>
          </cell>
          <cell r="BB2987">
            <v>8</v>
          </cell>
        </row>
        <row r="2988">
          <cell r="A2988">
            <v>110343</v>
          </cell>
          <cell r="BB2988">
            <v>8</v>
          </cell>
        </row>
        <row r="2989">
          <cell r="A2989">
            <v>110344</v>
          </cell>
          <cell r="BB2989">
            <v>8</v>
          </cell>
        </row>
        <row r="2990">
          <cell r="A2990">
            <v>110345</v>
          </cell>
          <cell r="BB2990">
            <v>8</v>
          </cell>
        </row>
        <row r="2991">
          <cell r="A2991">
            <v>110346</v>
          </cell>
          <cell r="BB2991">
            <v>9</v>
          </cell>
        </row>
        <row r="2992">
          <cell r="A2992">
            <v>110347</v>
          </cell>
          <cell r="BB2992">
            <v>9</v>
          </cell>
        </row>
        <row r="2993">
          <cell r="A2993">
            <v>110348</v>
          </cell>
          <cell r="BB2993">
            <v>9</v>
          </cell>
        </row>
        <row r="2994">
          <cell r="A2994">
            <v>110349</v>
          </cell>
          <cell r="BB2994">
            <v>9</v>
          </cell>
        </row>
        <row r="2995">
          <cell r="A2995">
            <v>110350</v>
          </cell>
          <cell r="BB2995">
            <v>9</v>
          </cell>
        </row>
        <row r="2996">
          <cell r="A2996">
            <v>110351</v>
          </cell>
          <cell r="BB2996">
            <v>9</v>
          </cell>
        </row>
        <row r="2997">
          <cell r="A2997">
            <v>110352</v>
          </cell>
          <cell r="BB2997">
            <v>9</v>
          </cell>
        </row>
        <row r="2998">
          <cell r="A2998">
            <v>110353</v>
          </cell>
          <cell r="BB2998">
            <v>9</v>
          </cell>
        </row>
        <row r="2999">
          <cell r="A2999">
            <v>110354</v>
          </cell>
          <cell r="BB2999">
            <v>9</v>
          </cell>
        </row>
        <row r="3000">
          <cell r="A3000">
            <v>110355</v>
          </cell>
          <cell r="BB3000">
            <v>9</v>
          </cell>
        </row>
        <row r="3001">
          <cell r="A3001">
            <v>110356</v>
          </cell>
          <cell r="BB3001">
            <v>10</v>
          </cell>
        </row>
        <row r="3002">
          <cell r="A3002">
            <v>110357</v>
          </cell>
          <cell r="BB3002">
            <v>10</v>
          </cell>
        </row>
        <row r="3003">
          <cell r="A3003">
            <v>110358</v>
          </cell>
          <cell r="BB3003">
            <v>10</v>
          </cell>
        </row>
        <row r="3004">
          <cell r="A3004">
            <v>110359</v>
          </cell>
          <cell r="BB3004">
            <v>10</v>
          </cell>
        </row>
        <row r="3005">
          <cell r="A3005">
            <v>110360</v>
          </cell>
          <cell r="BB3005">
            <v>10</v>
          </cell>
        </row>
        <row r="3006">
          <cell r="A3006">
            <v>110361</v>
          </cell>
          <cell r="BB3006">
            <v>10</v>
          </cell>
        </row>
        <row r="3007">
          <cell r="A3007">
            <v>110362</v>
          </cell>
          <cell r="BB3007">
            <v>10</v>
          </cell>
        </row>
        <row r="3008">
          <cell r="A3008">
            <v>110363</v>
          </cell>
          <cell r="BB3008">
            <v>10</v>
          </cell>
        </row>
        <row r="3009">
          <cell r="A3009">
            <v>110364</v>
          </cell>
          <cell r="BB3009">
            <v>10</v>
          </cell>
        </row>
        <row r="3010">
          <cell r="A3010">
            <v>110365</v>
          </cell>
          <cell r="BB3010">
            <v>10</v>
          </cell>
        </row>
        <row r="3011">
          <cell r="A3011">
            <v>110366</v>
          </cell>
          <cell r="BB3011">
            <v>11</v>
          </cell>
        </row>
        <row r="3012">
          <cell r="A3012">
            <v>110367</v>
          </cell>
          <cell r="BB3012">
            <v>11</v>
          </cell>
        </row>
        <row r="3013">
          <cell r="A3013">
            <v>110368</v>
          </cell>
          <cell r="BB3013">
            <v>11</v>
          </cell>
        </row>
        <row r="3014">
          <cell r="A3014">
            <v>110369</v>
          </cell>
          <cell r="BB3014">
            <v>11</v>
          </cell>
        </row>
        <row r="3015">
          <cell r="A3015">
            <v>110370</v>
          </cell>
          <cell r="BB3015">
            <v>11</v>
          </cell>
        </row>
        <row r="3016">
          <cell r="A3016">
            <v>110371</v>
          </cell>
          <cell r="BB3016">
            <v>1</v>
          </cell>
        </row>
        <row r="3017">
          <cell r="A3017">
            <v>110372</v>
          </cell>
          <cell r="BB3017">
            <v>1</v>
          </cell>
        </row>
        <row r="3018">
          <cell r="A3018">
            <v>110373</v>
          </cell>
          <cell r="BB3018">
            <v>1</v>
          </cell>
        </row>
        <row r="3019">
          <cell r="A3019">
            <v>110374</v>
          </cell>
          <cell r="BB3019">
            <v>1</v>
          </cell>
        </row>
        <row r="3020">
          <cell r="A3020">
            <v>110375</v>
          </cell>
          <cell r="BB3020">
            <v>1</v>
          </cell>
        </row>
        <row r="3021">
          <cell r="A3021">
            <v>110376</v>
          </cell>
          <cell r="BB3021">
            <v>1</v>
          </cell>
        </row>
        <row r="3022">
          <cell r="A3022">
            <v>110377</v>
          </cell>
          <cell r="BB3022">
            <v>1</v>
          </cell>
        </row>
        <row r="3023">
          <cell r="A3023">
            <v>110378</v>
          </cell>
          <cell r="BB3023">
            <v>1</v>
          </cell>
        </row>
        <row r="3024">
          <cell r="A3024">
            <v>110379</v>
          </cell>
          <cell r="BB3024">
            <v>1</v>
          </cell>
        </row>
        <row r="3025">
          <cell r="A3025">
            <v>110380</v>
          </cell>
          <cell r="BB3025">
            <v>1</v>
          </cell>
        </row>
        <row r="3026">
          <cell r="A3026">
            <v>110381</v>
          </cell>
          <cell r="BB3026">
            <v>2</v>
          </cell>
        </row>
        <row r="3027">
          <cell r="A3027">
            <v>110382</v>
          </cell>
          <cell r="BB3027">
            <v>2</v>
          </cell>
        </row>
        <row r="3028">
          <cell r="A3028">
            <v>110383</v>
          </cell>
          <cell r="BB3028">
            <v>2</v>
          </cell>
        </row>
        <row r="3029">
          <cell r="A3029">
            <v>110384</v>
          </cell>
          <cell r="BB3029">
            <v>2</v>
          </cell>
        </row>
        <row r="3030">
          <cell r="A3030">
            <v>110385</v>
          </cell>
          <cell r="BB3030">
            <v>2</v>
          </cell>
        </row>
        <row r="3031">
          <cell r="A3031">
            <v>110386</v>
          </cell>
          <cell r="BB3031">
            <v>2</v>
          </cell>
        </row>
        <row r="3032">
          <cell r="A3032">
            <v>110387</v>
          </cell>
          <cell r="BB3032">
            <v>2</v>
          </cell>
        </row>
        <row r="3033">
          <cell r="A3033">
            <v>110388</v>
          </cell>
          <cell r="BB3033">
            <v>2</v>
          </cell>
        </row>
        <row r="3034">
          <cell r="A3034">
            <v>110389</v>
          </cell>
          <cell r="BB3034">
            <v>2</v>
          </cell>
        </row>
        <row r="3035">
          <cell r="A3035">
            <v>110390</v>
          </cell>
          <cell r="BB3035">
            <v>2</v>
          </cell>
        </row>
        <row r="3036">
          <cell r="A3036">
            <v>110391</v>
          </cell>
          <cell r="BB3036">
            <v>3</v>
          </cell>
        </row>
        <row r="3037">
          <cell r="A3037">
            <v>110392</v>
          </cell>
          <cell r="BB3037">
            <v>3</v>
          </cell>
        </row>
        <row r="3038">
          <cell r="A3038">
            <v>110393</v>
          </cell>
          <cell r="BB3038">
            <v>3</v>
          </cell>
        </row>
        <row r="3039">
          <cell r="A3039">
            <v>110394</v>
          </cell>
          <cell r="BB3039">
            <v>3</v>
          </cell>
        </row>
        <row r="3040">
          <cell r="A3040">
            <v>110395</v>
          </cell>
          <cell r="BB3040">
            <v>3</v>
          </cell>
        </row>
        <row r="3041">
          <cell r="A3041">
            <v>110396</v>
          </cell>
          <cell r="BB3041">
            <v>3</v>
          </cell>
        </row>
        <row r="3042">
          <cell r="A3042">
            <v>110397</v>
          </cell>
          <cell r="BB3042">
            <v>3</v>
          </cell>
        </row>
        <row r="3043">
          <cell r="A3043">
            <v>110398</v>
          </cell>
          <cell r="BB3043">
            <v>3</v>
          </cell>
        </row>
        <row r="3044">
          <cell r="A3044">
            <v>110399</v>
          </cell>
          <cell r="BB3044">
            <v>3</v>
          </cell>
        </row>
        <row r="3045">
          <cell r="A3045">
            <v>110400</v>
          </cell>
          <cell r="BB3045">
            <v>3</v>
          </cell>
        </row>
        <row r="3046">
          <cell r="A3046">
            <v>110401</v>
          </cell>
          <cell r="BB3046">
            <v>4</v>
          </cell>
        </row>
        <row r="3047">
          <cell r="A3047">
            <v>110402</v>
          </cell>
          <cell r="BB3047">
            <v>4</v>
          </cell>
        </row>
        <row r="3048">
          <cell r="A3048">
            <v>110403</v>
          </cell>
          <cell r="BB3048">
            <v>4</v>
          </cell>
        </row>
        <row r="3049">
          <cell r="A3049">
            <v>110404</v>
          </cell>
          <cell r="BB3049">
            <v>4</v>
          </cell>
        </row>
        <row r="3050">
          <cell r="A3050">
            <v>110405</v>
          </cell>
          <cell r="BB3050">
            <v>4</v>
          </cell>
        </row>
        <row r="3051">
          <cell r="A3051">
            <v>110406</v>
          </cell>
          <cell r="BB3051">
            <v>4</v>
          </cell>
        </row>
        <row r="3052">
          <cell r="A3052">
            <v>110407</v>
          </cell>
          <cell r="BB3052">
            <v>4</v>
          </cell>
        </row>
        <row r="3053">
          <cell r="A3053">
            <v>110408</v>
          </cell>
          <cell r="BB3053">
            <v>4</v>
          </cell>
        </row>
        <row r="3054">
          <cell r="A3054">
            <v>110409</v>
          </cell>
          <cell r="BB3054">
            <v>4</v>
          </cell>
        </row>
        <row r="3055">
          <cell r="A3055">
            <v>110410</v>
          </cell>
          <cell r="BB3055">
            <v>4</v>
          </cell>
        </row>
        <row r="3056">
          <cell r="A3056">
            <v>110411</v>
          </cell>
          <cell r="BB3056">
            <v>5</v>
          </cell>
        </row>
        <row r="3057">
          <cell r="A3057">
            <v>110412</v>
          </cell>
          <cell r="BB3057">
            <v>5</v>
          </cell>
        </row>
        <row r="3058">
          <cell r="A3058">
            <v>110413</v>
          </cell>
          <cell r="BB3058">
            <v>5</v>
          </cell>
        </row>
        <row r="3059">
          <cell r="A3059">
            <v>110414</v>
          </cell>
          <cell r="BB3059">
            <v>5</v>
          </cell>
        </row>
        <row r="3060">
          <cell r="A3060">
            <v>110415</v>
          </cell>
          <cell r="BB3060">
            <v>5</v>
          </cell>
        </row>
        <row r="3061">
          <cell r="A3061">
            <v>110416</v>
          </cell>
          <cell r="BB3061">
            <v>5</v>
          </cell>
        </row>
        <row r="3062">
          <cell r="A3062">
            <v>110417</v>
          </cell>
          <cell r="BB3062">
            <v>5</v>
          </cell>
        </row>
        <row r="3063">
          <cell r="A3063">
            <v>110418</v>
          </cell>
          <cell r="BB3063">
            <v>5</v>
          </cell>
        </row>
        <row r="3064">
          <cell r="A3064">
            <v>110419</v>
          </cell>
          <cell r="BB3064">
            <v>5</v>
          </cell>
        </row>
        <row r="3065">
          <cell r="A3065">
            <v>110420</v>
          </cell>
          <cell r="BB3065">
            <v>5</v>
          </cell>
        </row>
        <row r="3066">
          <cell r="A3066">
            <v>110421</v>
          </cell>
          <cell r="BB3066">
            <v>6</v>
          </cell>
        </row>
        <row r="3067">
          <cell r="A3067">
            <v>110422</v>
          </cell>
          <cell r="BB3067">
            <v>6</v>
          </cell>
        </row>
        <row r="3068">
          <cell r="A3068">
            <v>110423</v>
          </cell>
          <cell r="BB3068">
            <v>6</v>
          </cell>
        </row>
        <row r="3069">
          <cell r="A3069">
            <v>110424</v>
          </cell>
          <cell r="BB3069">
            <v>6</v>
          </cell>
        </row>
        <row r="3070">
          <cell r="A3070">
            <v>110425</v>
          </cell>
          <cell r="BB3070">
            <v>6</v>
          </cell>
        </row>
        <row r="3071">
          <cell r="A3071">
            <v>110426</v>
          </cell>
          <cell r="BB3071">
            <v>6</v>
          </cell>
        </row>
        <row r="3072">
          <cell r="A3072">
            <v>110427</v>
          </cell>
          <cell r="BB3072">
            <v>6</v>
          </cell>
        </row>
        <row r="3073">
          <cell r="A3073">
            <v>110428</v>
          </cell>
          <cell r="BB3073">
            <v>6</v>
          </cell>
        </row>
        <row r="3074">
          <cell r="A3074">
            <v>110429</v>
          </cell>
          <cell r="BB3074">
            <v>6</v>
          </cell>
        </row>
        <row r="3075">
          <cell r="A3075">
            <v>110430</v>
          </cell>
          <cell r="BB3075">
            <v>6</v>
          </cell>
        </row>
        <row r="3076">
          <cell r="A3076">
            <v>110431</v>
          </cell>
          <cell r="BB3076">
            <v>7</v>
          </cell>
        </row>
        <row r="3077">
          <cell r="A3077">
            <v>110432</v>
          </cell>
          <cell r="BB3077">
            <v>7</v>
          </cell>
        </row>
        <row r="3078">
          <cell r="A3078">
            <v>110433</v>
          </cell>
          <cell r="BB3078">
            <v>7</v>
          </cell>
        </row>
        <row r="3079">
          <cell r="A3079">
            <v>110434</v>
          </cell>
          <cell r="BB3079">
            <v>7</v>
          </cell>
        </row>
        <row r="3080">
          <cell r="A3080">
            <v>110435</v>
          </cell>
          <cell r="BB3080">
            <v>7</v>
          </cell>
        </row>
        <row r="3081">
          <cell r="A3081">
            <v>110436</v>
          </cell>
          <cell r="BB3081">
            <v>7</v>
          </cell>
        </row>
        <row r="3082">
          <cell r="A3082">
            <v>110437</v>
          </cell>
          <cell r="BB3082">
            <v>7</v>
          </cell>
        </row>
        <row r="3083">
          <cell r="A3083">
            <v>110438</v>
          </cell>
          <cell r="BB3083">
            <v>7</v>
          </cell>
        </row>
        <row r="3084">
          <cell r="A3084">
            <v>110439</v>
          </cell>
          <cell r="BB3084">
            <v>7</v>
          </cell>
        </row>
        <row r="3085">
          <cell r="A3085">
            <v>110440</v>
          </cell>
          <cell r="BB3085">
            <v>7</v>
          </cell>
        </row>
        <row r="3086">
          <cell r="A3086">
            <v>110441</v>
          </cell>
          <cell r="BB3086">
            <v>8</v>
          </cell>
        </row>
        <row r="3087">
          <cell r="A3087">
            <v>110442</v>
          </cell>
          <cell r="BB3087">
            <v>8</v>
          </cell>
        </row>
        <row r="3088">
          <cell r="A3088">
            <v>110443</v>
          </cell>
          <cell r="BB3088">
            <v>8</v>
          </cell>
        </row>
        <row r="3089">
          <cell r="A3089">
            <v>110444</v>
          </cell>
          <cell r="BB3089">
            <v>8</v>
          </cell>
        </row>
        <row r="3090">
          <cell r="A3090">
            <v>110445</v>
          </cell>
          <cell r="BB3090">
            <v>8</v>
          </cell>
        </row>
        <row r="3091">
          <cell r="A3091">
            <v>110446</v>
          </cell>
          <cell r="BB3091">
            <v>8</v>
          </cell>
        </row>
        <row r="3092">
          <cell r="A3092">
            <v>110447</v>
          </cell>
          <cell r="BB3092">
            <v>8</v>
          </cell>
        </row>
        <row r="3093">
          <cell r="A3093">
            <v>110448</v>
          </cell>
          <cell r="BB3093">
            <v>8</v>
          </cell>
        </row>
        <row r="3094">
          <cell r="A3094">
            <v>110449</v>
          </cell>
          <cell r="BB3094">
            <v>8</v>
          </cell>
        </row>
        <row r="3095">
          <cell r="A3095">
            <v>110450</v>
          </cell>
          <cell r="BB3095">
            <v>8</v>
          </cell>
        </row>
        <row r="3096">
          <cell r="A3096">
            <v>110451</v>
          </cell>
          <cell r="BB3096">
            <v>1</v>
          </cell>
        </row>
        <row r="3097">
          <cell r="A3097">
            <v>110452</v>
          </cell>
          <cell r="BB3097">
            <v>1</v>
          </cell>
        </row>
        <row r="3098">
          <cell r="A3098">
            <v>110453</v>
          </cell>
          <cell r="BB3098">
            <v>1</v>
          </cell>
        </row>
        <row r="3099">
          <cell r="A3099">
            <v>110454</v>
          </cell>
          <cell r="BB3099">
            <v>1</v>
          </cell>
        </row>
        <row r="3100">
          <cell r="A3100">
            <v>110455</v>
          </cell>
          <cell r="BB3100">
            <v>1</v>
          </cell>
        </row>
        <row r="3101">
          <cell r="A3101">
            <v>110456</v>
          </cell>
          <cell r="BB3101">
            <v>1</v>
          </cell>
        </row>
        <row r="3102">
          <cell r="A3102">
            <v>110457</v>
          </cell>
          <cell r="BB3102">
            <v>1</v>
          </cell>
        </row>
        <row r="3103">
          <cell r="A3103">
            <v>110458</v>
          </cell>
          <cell r="BB3103">
            <v>1</v>
          </cell>
        </row>
        <row r="3104">
          <cell r="A3104">
            <v>110459</v>
          </cell>
          <cell r="BB3104">
            <v>1</v>
          </cell>
        </row>
        <row r="3105">
          <cell r="A3105">
            <v>110460</v>
          </cell>
          <cell r="BB3105">
            <v>1</v>
          </cell>
        </row>
        <row r="3106">
          <cell r="A3106">
            <v>110461</v>
          </cell>
          <cell r="BB3106">
            <v>2</v>
          </cell>
        </row>
        <row r="3107">
          <cell r="A3107">
            <v>110462</v>
          </cell>
          <cell r="BB3107">
            <v>2</v>
          </cell>
        </row>
        <row r="3108">
          <cell r="A3108">
            <v>110463</v>
          </cell>
          <cell r="BB3108">
            <v>2</v>
          </cell>
        </row>
        <row r="3109">
          <cell r="A3109">
            <v>110464</v>
          </cell>
          <cell r="BB3109">
            <v>2</v>
          </cell>
        </row>
        <row r="3110">
          <cell r="A3110">
            <v>110465</v>
          </cell>
          <cell r="BB3110">
            <v>2</v>
          </cell>
        </row>
        <row r="3111">
          <cell r="A3111">
            <v>110466</v>
          </cell>
          <cell r="BB3111">
            <v>2</v>
          </cell>
        </row>
        <row r="3112">
          <cell r="A3112">
            <v>110467</v>
          </cell>
          <cell r="BB3112">
            <v>2</v>
          </cell>
        </row>
        <row r="3113">
          <cell r="A3113">
            <v>110468</v>
          </cell>
          <cell r="BB3113">
            <v>2</v>
          </cell>
        </row>
        <row r="3114">
          <cell r="A3114">
            <v>110469</v>
          </cell>
          <cell r="BB3114">
            <v>2</v>
          </cell>
        </row>
        <row r="3115">
          <cell r="A3115">
            <v>110470</v>
          </cell>
          <cell r="BB3115">
            <v>2</v>
          </cell>
        </row>
        <row r="3116">
          <cell r="A3116">
            <v>110471</v>
          </cell>
          <cell r="BB3116">
            <v>3</v>
          </cell>
        </row>
        <row r="3117">
          <cell r="A3117">
            <v>110472</v>
          </cell>
          <cell r="BB3117">
            <v>3</v>
          </cell>
        </row>
        <row r="3118">
          <cell r="A3118">
            <v>110473</v>
          </cell>
          <cell r="BB3118">
            <v>3</v>
          </cell>
        </row>
        <row r="3119">
          <cell r="A3119">
            <v>110474</v>
          </cell>
          <cell r="BB3119">
            <v>3</v>
          </cell>
        </row>
        <row r="3120">
          <cell r="A3120">
            <v>110475</v>
          </cell>
          <cell r="BB3120">
            <v>3</v>
          </cell>
        </row>
        <row r="3121">
          <cell r="A3121">
            <v>110476</v>
          </cell>
          <cell r="BB3121">
            <v>3</v>
          </cell>
        </row>
        <row r="3122">
          <cell r="A3122">
            <v>110477</v>
          </cell>
          <cell r="BB3122">
            <v>3</v>
          </cell>
        </row>
        <row r="3123">
          <cell r="A3123">
            <v>110478</v>
          </cell>
          <cell r="BB3123">
            <v>3</v>
          </cell>
        </row>
        <row r="3124">
          <cell r="A3124">
            <v>110479</v>
          </cell>
          <cell r="BB3124">
            <v>3</v>
          </cell>
        </row>
        <row r="3125">
          <cell r="A3125">
            <v>110480</v>
          </cell>
          <cell r="BB3125">
            <v>3</v>
          </cell>
        </row>
        <row r="3126">
          <cell r="A3126">
            <v>110481</v>
          </cell>
          <cell r="BB3126">
            <v>4</v>
          </cell>
        </row>
        <row r="3127">
          <cell r="A3127">
            <v>110482</v>
          </cell>
          <cell r="BB3127">
            <v>4</v>
          </cell>
        </row>
        <row r="3128">
          <cell r="A3128">
            <v>110483</v>
          </cell>
          <cell r="BB3128">
            <v>4</v>
          </cell>
        </row>
        <row r="3129">
          <cell r="A3129">
            <v>110484</v>
          </cell>
          <cell r="BB3129">
            <v>4</v>
          </cell>
        </row>
        <row r="3130">
          <cell r="A3130">
            <v>110485</v>
          </cell>
          <cell r="BB3130">
            <v>4</v>
          </cell>
        </row>
        <row r="3131">
          <cell r="A3131">
            <v>110486</v>
          </cell>
          <cell r="BB3131">
            <v>4</v>
          </cell>
        </row>
        <row r="3132">
          <cell r="A3132">
            <v>110487</v>
          </cell>
          <cell r="BB3132">
            <v>4</v>
          </cell>
        </row>
        <row r="3133">
          <cell r="A3133">
            <v>110488</v>
          </cell>
          <cell r="BB3133">
            <v>4</v>
          </cell>
        </row>
        <row r="3134">
          <cell r="A3134">
            <v>110489</v>
          </cell>
          <cell r="BB3134">
            <v>4</v>
          </cell>
        </row>
        <row r="3135">
          <cell r="A3135">
            <v>110490</v>
          </cell>
          <cell r="BB3135">
            <v>4</v>
          </cell>
        </row>
        <row r="3136">
          <cell r="A3136">
            <v>110491</v>
          </cell>
          <cell r="BB3136">
            <v>5</v>
          </cell>
        </row>
        <row r="3137">
          <cell r="A3137">
            <v>110492</v>
          </cell>
          <cell r="BB3137">
            <v>5</v>
          </cell>
        </row>
        <row r="3138">
          <cell r="A3138">
            <v>110493</v>
          </cell>
          <cell r="BB3138">
            <v>5</v>
          </cell>
        </row>
        <row r="3139">
          <cell r="A3139">
            <v>110494</v>
          </cell>
          <cell r="BB3139">
            <v>5</v>
          </cell>
        </row>
        <row r="3140">
          <cell r="A3140">
            <v>110495</v>
          </cell>
          <cell r="BB3140">
            <v>5</v>
          </cell>
        </row>
        <row r="3141">
          <cell r="A3141">
            <v>110496</v>
          </cell>
          <cell r="BB3141">
            <v>5</v>
          </cell>
        </row>
        <row r="3142">
          <cell r="A3142">
            <v>110497</v>
          </cell>
          <cell r="BB3142">
            <v>5</v>
          </cell>
        </row>
        <row r="3143">
          <cell r="A3143">
            <v>110498</v>
          </cell>
          <cell r="BB3143">
            <v>5</v>
          </cell>
        </row>
        <row r="3144">
          <cell r="A3144">
            <v>110499</v>
          </cell>
          <cell r="BB3144">
            <v>5</v>
          </cell>
        </row>
        <row r="3145">
          <cell r="A3145">
            <v>110500</v>
          </cell>
          <cell r="BB3145">
            <v>5</v>
          </cell>
        </row>
        <row r="3146">
          <cell r="A3146">
            <v>110501</v>
          </cell>
          <cell r="BB3146">
            <v>6</v>
          </cell>
        </row>
        <row r="3147">
          <cell r="A3147">
            <v>110502</v>
          </cell>
          <cell r="BB3147">
            <v>6</v>
          </cell>
        </row>
        <row r="3148">
          <cell r="A3148">
            <v>110503</v>
          </cell>
          <cell r="BB3148">
            <v>6</v>
          </cell>
        </row>
        <row r="3149">
          <cell r="A3149">
            <v>110504</v>
          </cell>
          <cell r="BB3149">
            <v>6</v>
          </cell>
        </row>
        <row r="3150">
          <cell r="A3150">
            <v>110505</v>
          </cell>
          <cell r="BB3150">
            <v>6</v>
          </cell>
        </row>
        <row r="3151">
          <cell r="A3151">
            <v>110506</v>
          </cell>
          <cell r="BB3151">
            <v>6</v>
          </cell>
        </row>
        <row r="3152">
          <cell r="A3152">
            <v>110507</v>
          </cell>
          <cell r="BB3152">
            <v>6</v>
          </cell>
        </row>
        <row r="3153">
          <cell r="A3153">
            <v>110508</v>
          </cell>
          <cell r="BB3153">
            <v>6</v>
          </cell>
        </row>
        <row r="3154">
          <cell r="A3154">
            <v>110509</v>
          </cell>
          <cell r="BB3154">
            <v>6</v>
          </cell>
        </row>
        <row r="3155">
          <cell r="A3155">
            <v>110510</v>
          </cell>
          <cell r="BB3155">
            <v>6</v>
          </cell>
        </row>
        <row r="3156">
          <cell r="A3156">
            <v>110511</v>
          </cell>
          <cell r="BB3156">
            <v>7</v>
          </cell>
        </row>
        <row r="3157">
          <cell r="A3157">
            <v>110512</v>
          </cell>
          <cell r="BB3157">
            <v>7</v>
          </cell>
        </row>
        <row r="3158">
          <cell r="A3158">
            <v>110513</v>
          </cell>
          <cell r="BB3158">
            <v>7</v>
          </cell>
        </row>
        <row r="3159">
          <cell r="A3159">
            <v>110514</v>
          </cell>
          <cell r="BB3159">
            <v>7</v>
          </cell>
        </row>
        <row r="3160">
          <cell r="A3160">
            <v>110515</v>
          </cell>
          <cell r="BB3160">
            <v>7</v>
          </cell>
        </row>
        <row r="3161">
          <cell r="A3161">
            <v>110516</v>
          </cell>
          <cell r="BB3161">
            <v>7</v>
          </cell>
        </row>
        <row r="3162">
          <cell r="A3162">
            <v>110517</v>
          </cell>
          <cell r="BB3162">
            <v>7</v>
          </cell>
        </row>
        <row r="3163">
          <cell r="A3163">
            <v>110518</v>
          </cell>
          <cell r="BB3163">
            <v>7</v>
          </cell>
        </row>
        <row r="3164">
          <cell r="A3164">
            <v>110519</v>
          </cell>
          <cell r="BB3164">
            <v>7</v>
          </cell>
        </row>
        <row r="3165">
          <cell r="A3165">
            <v>110520</v>
          </cell>
          <cell r="BB3165">
            <v>7</v>
          </cell>
        </row>
        <row r="3166">
          <cell r="A3166">
            <v>110521</v>
          </cell>
          <cell r="BB3166">
            <v>8</v>
          </cell>
        </row>
        <row r="3167">
          <cell r="A3167">
            <v>110522</v>
          </cell>
          <cell r="BB3167">
            <v>8</v>
          </cell>
        </row>
        <row r="3168">
          <cell r="A3168">
            <v>110523</v>
          </cell>
          <cell r="BB3168">
            <v>8</v>
          </cell>
        </row>
        <row r="3169">
          <cell r="A3169">
            <v>110524</v>
          </cell>
          <cell r="BB3169">
            <v>8</v>
          </cell>
        </row>
        <row r="3170">
          <cell r="A3170">
            <v>110525</v>
          </cell>
          <cell r="BB3170">
            <v>8</v>
          </cell>
        </row>
        <row r="3171">
          <cell r="A3171">
            <v>110526</v>
          </cell>
          <cell r="BB3171">
            <v>8</v>
          </cell>
        </row>
        <row r="3172">
          <cell r="A3172">
            <v>110527</v>
          </cell>
          <cell r="BB3172">
            <v>8</v>
          </cell>
        </row>
        <row r="3173">
          <cell r="A3173">
            <v>110528</v>
          </cell>
          <cell r="BB3173">
            <v>8</v>
          </cell>
        </row>
        <row r="3174">
          <cell r="A3174">
            <v>110529</v>
          </cell>
          <cell r="BB3174">
            <v>8</v>
          </cell>
        </row>
        <row r="3175">
          <cell r="A3175">
            <v>110530</v>
          </cell>
          <cell r="BB3175">
            <v>8</v>
          </cell>
        </row>
        <row r="3176">
          <cell r="A3176">
            <v>110531</v>
          </cell>
          <cell r="BB3176">
            <v>9</v>
          </cell>
        </row>
        <row r="3177">
          <cell r="A3177">
            <v>110532</v>
          </cell>
          <cell r="BB3177">
            <v>9</v>
          </cell>
        </row>
        <row r="3178">
          <cell r="A3178">
            <v>110533</v>
          </cell>
          <cell r="BB3178">
            <v>9</v>
          </cell>
        </row>
        <row r="3179">
          <cell r="A3179">
            <v>110534</v>
          </cell>
          <cell r="BB3179">
            <v>9</v>
          </cell>
        </row>
        <row r="3180">
          <cell r="A3180">
            <v>110535</v>
          </cell>
          <cell r="BB3180">
            <v>9</v>
          </cell>
        </row>
        <row r="3181">
          <cell r="A3181">
            <v>110536</v>
          </cell>
          <cell r="BB3181">
            <v>9</v>
          </cell>
        </row>
        <row r="3182">
          <cell r="A3182">
            <v>110537</v>
          </cell>
          <cell r="BB3182">
            <v>9</v>
          </cell>
        </row>
        <row r="3183">
          <cell r="A3183">
            <v>110538</v>
          </cell>
          <cell r="BB3183">
            <v>9</v>
          </cell>
        </row>
        <row r="3184">
          <cell r="A3184">
            <v>110539</v>
          </cell>
          <cell r="BB3184">
            <v>9</v>
          </cell>
        </row>
        <row r="3185">
          <cell r="A3185">
            <v>110540</v>
          </cell>
          <cell r="BB3185">
            <v>9</v>
          </cell>
        </row>
        <row r="3186">
          <cell r="A3186">
            <v>110541</v>
          </cell>
          <cell r="BB3186">
            <v>10</v>
          </cell>
        </row>
        <row r="3187">
          <cell r="A3187">
            <v>110542</v>
          </cell>
          <cell r="BB3187">
            <v>10</v>
          </cell>
        </row>
        <row r="3188">
          <cell r="A3188">
            <v>110543</v>
          </cell>
          <cell r="BB3188">
            <v>10</v>
          </cell>
        </row>
        <row r="3189">
          <cell r="A3189">
            <v>110544</v>
          </cell>
          <cell r="BB3189">
            <v>10</v>
          </cell>
        </row>
        <row r="3190">
          <cell r="A3190">
            <v>110545</v>
          </cell>
          <cell r="BB3190">
            <v>10</v>
          </cell>
        </row>
        <row r="3191">
          <cell r="A3191">
            <v>110546</v>
          </cell>
          <cell r="BB3191">
            <v>10</v>
          </cell>
        </row>
        <row r="3192">
          <cell r="A3192">
            <v>110547</v>
          </cell>
          <cell r="BB3192">
            <v>10</v>
          </cell>
        </row>
        <row r="3193">
          <cell r="A3193">
            <v>110548</v>
          </cell>
          <cell r="BB3193">
            <v>10</v>
          </cell>
        </row>
        <row r="3194">
          <cell r="A3194">
            <v>110549</v>
          </cell>
          <cell r="BB3194">
            <v>10</v>
          </cell>
        </row>
        <row r="3195">
          <cell r="A3195">
            <v>110550</v>
          </cell>
          <cell r="BB3195">
            <v>10</v>
          </cell>
        </row>
        <row r="3196">
          <cell r="A3196">
            <v>110551</v>
          </cell>
          <cell r="BB3196">
            <v>11</v>
          </cell>
        </row>
        <row r="3197">
          <cell r="A3197">
            <v>110552</v>
          </cell>
          <cell r="BB3197">
            <v>11</v>
          </cell>
        </row>
        <row r="3198">
          <cell r="A3198">
            <v>110553</v>
          </cell>
          <cell r="BB3198">
            <v>11</v>
          </cell>
        </row>
        <row r="3199">
          <cell r="A3199">
            <v>110554</v>
          </cell>
          <cell r="BB3199">
            <v>11</v>
          </cell>
        </row>
        <row r="3200">
          <cell r="A3200">
            <v>110555</v>
          </cell>
          <cell r="BB3200">
            <v>11</v>
          </cell>
        </row>
        <row r="3201">
          <cell r="A3201">
            <v>110556</v>
          </cell>
          <cell r="BB3201">
            <v>1</v>
          </cell>
        </row>
        <row r="3202">
          <cell r="A3202">
            <v>110557</v>
          </cell>
          <cell r="BB3202">
            <v>1</v>
          </cell>
        </row>
        <row r="3203">
          <cell r="A3203">
            <v>110558</v>
          </cell>
          <cell r="BB3203">
            <v>1</v>
          </cell>
        </row>
        <row r="3204">
          <cell r="A3204">
            <v>110559</v>
          </cell>
          <cell r="BB3204">
            <v>1</v>
          </cell>
        </row>
        <row r="3205">
          <cell r="A3205">
            <v>110560</v>
          </cell>
          <cell r="BB3205">
            <v>1</v>
          </cell>
        </row>
        <row r="3206">
          <cell r="A3206">
            <v>110561</v>
          </cell>
          <cell r="BB3206">
            <v>1</v>
          </cell>
        </row>
        <row r="3207">
          <cell r="A3207">
            <v>110562</v>
          </cell>
          <cell r="BB3207">
            <v>1</v>
          </cell>
        </row>
        <row r="3208">
          <cell r="A3208">
            <v>110563</v>
          </cell>
          <cell r="BB3208">
            <v>1</v>
          </cell>
        </row>
        <row r="3209">
          <cell r="A3209">
            <v>110564</v>
          </cell>
          <cell r="BB3209">
            <v>1</v>
          </cell>
        </row>
        <row r="3210">
          <cell r="A3210">
            <v>110565</v>
          </cell>
          <cell r="BB3210">
            <v>1</v>
          </cell>
        </row>
        <row r="3211">
          <cell r="A3211">
            <v>110566</v>
          </cell>
          <cell r="BB3211">
            <v>2</v>
          </cell>
        </row>
        <row r="3212">
          <cell r="A3212">
            <v>110567</v>
          </cell>
          <cell r="BB3212">
            <v>2</v>
          </cell>
        </row>
        <row r="3213">
          <cell r="A3213">
            <v>110568</v>
          </cell>
          <cell r="BB3213">
            <v>2</v>
          </cell>
        </row>
        <row r="3214">
          <cell r="A3214">
            <v>110569</v>
          </cell>
          <cell r="BB3214">
            <v>2</v>
          </cell>
        </row>
        <row r="3215">
          <cell r="A3215">
            <v>110570</v>
          </cell>
          <cell r="BB3215">
            <v>2</v>
          </cell>
        </row>
        <row r="3216">
          <cell r="A3216">
            <v>110571</v>
          </cell>
          <cell r="BB3216">
            <v>2</v>
          </cell>
        </row>
        <row r="3217">
          <cell r="A3217">
            <v>110572</v>
          </cell>
          <cell r="BB3217">
            <v>2</v>
          </cell>
        </row>
        <row r="3218">
          <cell r="A3218">
            <v>110573</v>
          </cell>
          <cell r="BB3218">
            <v>2</v>
          </cell>
        </row>
        <row r="3219">
          <cell r="A3219">
            <v>110574</v>
          </cell>
          <cell r="BB3219">
            <v>2</v>
          </cell>
        </row>
        <row r="3220">
          <cell r="A3220">
            <v>110575</v>
          </cell>
          <cell r="BB3220">
            <v>2</v>
          </cell>
        </row>
        <row r="3221">
          <cell r="A3221">
            <v>110576</v>
          </cell>
          <cell r="BB3221">
            <v>3</v>
          </cell>
        </row>
        <row r="3222">
          <cell r="A3222">
            <v>110577</v>
          </cell>
          <cell r="BB3222">
            <v>3</v>
          </cell>
        </row>
        <row r="3223">
          <cell r="A3223">
            <v>110578</v>
          </cell>
          <cell r="BB3223">
            <v>3</v>
          </cell>
        </row>
        <row r="3224">
          <cell r="A3224">
            <v>110579</v>
          </cell>
          <cell r="BB3224">
            <v>3</v>
          </cell>
        </row>
        <row r="3225">
          <cell r="A3225">
            <v>110580</v>
          </cell>
          <cell r="BB3225">
            <v>3</v>
          </cell>
        </row>
        <row r="3226">
          <cell r="A3226">
            <v>110581</v>
          </cell>
          <cell r="BB3226">
            <v>3</v>
          </cell>
        </row>
        <row r="3227">
          <cell r="A3227">
            <v>110582</v>
          </cell>
          <cell r="BB3227">
            <v>3</v>
          </cell>
        </row>
        <row r="3228">
          <cell r="A3228">
            <v>110583</v>
          </cell>
          <cell r="BB3228">
            <v>3</v>
          </cell>
        </row>
        <row r="3229">
          <cell r="A3229">
            <v>110584</v>
          </cell>
          <cell r="BB3229">
            <v>3</v>
          </cell>
        </row>
        <row r="3230">
          <cell r="A3230">
            <v>110585</v>
          </cell>
          <cell r="BB3230">
            <v>3</v>
          </cell>
        </row>
        <row r="3231">
          <cell r="A3231">
            <v>110586</v>
          </cell>
          <cell r="BB3231">
            <v>4</v>
          </cell>
        </row>
        <row r="3232">
          <cell r="A3232">
            <v>110587</v>
          </cell>
          <cell r="BB3232">
            <v>4</v>
          </cell>
        </row>
        <row r="3233">
          <cell r="A3233">
            <v>110588</v>
          </cell>
          <cell r="BB3233">
            <v>4</v>
          </cell>
        </row>
        <row r="3234">
          <cell r="A3234">
            <v>110589</v>
          </cell>
          <cell r="BB3234">
            <v>4</v>
          </cell>
        </row>
        <row r="3235">
          <cell r="A3235">
            <v>110590</v>
          </cell>
          <cell r="BB3235">
            <v>4</v>
          </cell>
        </row>
        <row r="3236">
          <cell r="A3236">
            <v>110591</v>
          </cell>
          <cell r="BB3236">
            <v>4</v>
          </cell>
        </row>
        <row r="3237">
          <cell r="A3237">
            <v>110592</v>
          </cell>
          <cell r="BB3237">
            <v>4</v>
          </cell>
        </row>
        <row r="3238">
          <cell r="A3238">
            <v>110593</v>
          </cell>
          <cell r="BB3238">
            <v>4</v>
          </cell>
        </row>
        <row r="3239">
          <cell r="A3239">
            <v>110594</v>
          </cell>
          <cell r="BB3239">
            <v>4</v>
          </cell>
        </row>
        <row r="3240">
          <cell r="A3240">
            <v>110595</v>
          </cell>
          <cell r="BB3240">
            <v>4</v>
          </cell>
        </row>
        <row r="3241">
          <cell r="A3241">
            <v>110596</v>
          </cell>
          <cell r="BB3241">
            <v>5</v>
          </cell>
        </row>
        <row r="3242">
          <cell r="A3242">
            <v>110597</v>
          </cell>
          <cell r="BB3242">
            <v>5</v>
          </cell>
        </row>
        <row r="3243">
          <cell r="A3243">
            <v>110598</v>
          </cell>
          <cell r="BB3243">
            <v>5</v>
          </cell>
        </row>
        <row r="3244">
          <cell r="A3244">
            <v>110599</v>
          </cell>
          <cell r="BB3244">
            <v>5</v>
          </cell>
        </row>
        <row r="3245">
          <cell r="A3245">
            <v>110600</v>
          </cell>
          <cell r="BB3245">
            <v>5</v>
          </cell>
        </row>
        <row r="3246">
          <cell r="A3246">
            <v>110601</v>
          </cell>
          <cell r="BB3246">
            <v>5</v>
          </cell>
        </row>
        <row r="3247">
          <cell r="A3247">
            <v>110602</v>
          </cell>
          <cell r="BB3247">
            <v>5</v>
          </cell>
        </row>
        <row r="3248">
          <cell r="A3248">
            <v>110603</v>
          </cell>
          <cell r="BB3248">
            <v>5</v>
          </cell>
        </row>
        <row r="3249">
          <cell r="A3249">
            <v>110604</v>
          </cell>
          <cell r="BB3249">
            <v>5</v>
          </cell>
        </row>
        <row r="3250">
          <cell r="A3250">
            <v>110605</v>
          </cell>
          <cell r="BB3250">
            <v>5</v>
          </cell>
        </row>
        <row r="3251">
          <cell r="A3251">
            <v>110606</v>
          </cell>
          <cell r="BB3251">
            <v>6</v>
          </cell>
        </row>
        <row r="3252">
          <cell r="A3252">
            <v>110607</v>
          </cell>
          <cell r="BB3252">
            <v>6</v>
          </cell>
        </row>
        <row r="3253">
          <cell r="A3253">
            <v>110608</v>
          </cell>
          <cell r="BB3253">
            <v>6</v>
          </cell>
        </row>
        <row r="3254">
          <cell r="A3254">
            <v>110609</v>
          </cell>
          <cell r="BB3254">
            <v>6</v>
          </cell>
        </row>
        <row r="3255">
          <cell r="A3255">
            <v>110610</v>
          </cell>
          <cell r="BB3255">
            <v>6</v>
          </cell>
        </row>
        <row r="3256">
          <cell r="A3256">
            <v>110611</v>
          </cell>
          <cell r="BB3256">
            <v>6</v>
          </cell>
        </row>
        <row r="3257">
          <cell r="A3257">
            <v>110612</v>
          </cell>
          <cell r="BB3257">
            <v>6</v>
          </cell>
        </row>
        <row r="3258">
          <cell r="A3258">
            <v>110613</v>
          </cell>
          <cell r="BB3258">
            <v>6</v>
          </cell>
        </row>
        <row r="3259">
          <cell r="A3259">
            <v>110614</v>
          </cell>
          <cell r="BB3259">
            <v>6</v>
          </cell>
        </row>
        <row r="3260">
          <cell r="A3260">
            <v>110615</v>
          </cell>
          <cell r="BB3260">
            <v>6</v>
          </cell>
        </row>
        <row r="3261">
          <cell r="A3261">
            <v>110616</v>
          </cell>
          <cell r="BB3261">
            <v>7</v>
          </cell>
        </row>
        <row r="3262">
          <cell r="A3262">
            <v>110617</v>
          </cell>
          <cell r="BB3262">
            <v>7</v>
          </cell>
        </row>
        <row r="3263">
          <cell r="A3263">
            <v>110618</v>
          </cell>
          <cell r="BB3263">
            <v>7</v>
          </cell>
        </row>
        <row r="3264">
          <cell r="A3264">
            <v>110619</v>
          </cell>
          <cell r="BB3264">
            <v>7</v>
          </cell>
        </row>
        <row r="3265">
          <cell r="A3265">
            <v>110620</v>
          </cell>
          <cell r="BB3265">
            <v>7</v>
          </cell>
        </row>
        <row r="3266">
          <cell r="A3266">
            <v>110621</v>
          </cell>
          <cell r="BB3266">
            <v>7</v>
          </cell>
        </row>
        <row r="3267">
          <cell r="A3267">
            <v>110622</v>
          </cell>
          <cell r="BB3267">
            <v>7</v>
          </cell>
        </row>
        <row r="3268">
          <cell r="A3268">
            <v>110623</v>
          </cell>
          <cell r="BB3268">
            <v>7</v>
          </cell>
        </row>
        <row r="3269">
          <cell r="A3269">
            <v>110624</v>
          </cell>
          <cell r="BB3269">
            <v>7</v>
          </cell>
        </row>
        <row r="3270">
          <cell r="A3270">
            <v>110625</v>
          </cell>
          <cell r="BB3270">
            <v>7</v>
          </cell>
        </row>
        <row r="3271">
          <cell r="A3271">
            <v>110626</v>
          </cell>
          <cell r="BB3271">
            <v>8</v>
          </cell>
        </row>
        <row r="3272">
          <cell r="A3272">
            <v>110627</v>
          </cell>
          <cell r="BB3272">
            <v>8</v>
          </cell>
        </row>
        <row r="3273">
          <cell r="A3273">
            <v>110628</v>
          </cell>
          <cell r="BB3273">
            <v>8</v>
          </cell>
        </row>
        <row r="3274">
          <cell r="A3274">
            <v>110629</v>
          </cell>
          <cell r="BB3274">
            <v>8</v>
          </cell>
        </row>
        <row r="3275">
          <cell r="A3275">
            <v>110630</v>
          </cell>
          <cell r="BB3275">
            <v>8</v>
          </cell>
        </row>
        <row r="3276">
          <cell r="A3276">
            <v>110631</v>
          </cell>
          <cell r="BB3276">
            <v>8</v>
          </cell>
        </row>
        <row r="3277">
          <cell r="A3277">
            <v>110632</v>
          </cell>
          <cell r="BB3277">
            <v>8</v>
          </cell>
        </row>
        <row r="3278">
          <cell r="A3278">
            <v>110633</v>
          </cell>
          <cell r="BB3278">
            <v>8</v>
          </cell>
        </row>
        <row r="3279">
          <cell r="A3279">
            <v>110634</v>
          </cell>
          <cell r="BB3279">
            <v>8</v>
          </cell>
        </row>
        <row r="3280">
          <cell r="A3280">
            <v>110635</v>
          </cell>
          <cell r="BB3280">
            <v>8</v>
          </cell>
        </row>
        <row r="3281">
          <cell r="A3281">
            <v>110636</v>
          </cell>
          <cell r="BB3281">
            <v>1</v>
          </cell>
        </row>
        <row r="3282">
          <cell r="A3282">
            <v>110637</v>
          </cell>
          <cell r="BB3282">
            <v>1</v>
          </cell>
        </row>
        <row r="3283">
          <cell r="A3283">
            <v>110638</v>
          </cell>
          <cell r="BB3283">
            <v>1</v>
          </cell>
        </row>
        <row r="3284">
          <cell r="A3284">
            <v>110639</v>
          </cell>
          <cell r="BB3284">
            <v>1</v>
          </cell>
        </row>
        <row r="3285">
          <cell r="A3285">
            <v>110640</v>
          </cell>
          <cell r="BB3285">
            <v>1</v>
          </cell>
        </row>
        <row r="3286">
          <cell r="A3286">
            <v>110641</v>
          </cell>
          <cell r="BB3286">
            <v>1</v>
          </cell>
        </row>
        <row r="3287">
          <cell r="A3287">
            <v>110642</v>
          </cell>
          <cell r="BB3287">
            <v>1</v>
          </cell>
        </row>
        <row r="3288">
          <cell r="A3288">
            <v>110643</v>
          </cell>
          <cell r="BB3288">
            <v>1</v>
          </cell>
        </row>
        <row r="3289">
          <cell r="A3289">
            <v>110644</v>
          </cell>
          <cell r="BB3289">
            <v>1</v>
          </cell>
        </row>
        <row r="3290">
          <cell r="A3290">
            <v>110645</v>
          </cell>
          <cell r="BB3290">
            <v>1</v>
          </cell>
        </row>
        <row r="3291">
          <cell r="A3291">
            <v>110646</v>
          </cell>
          <cell r="BB3291">
            <v>2</v>
          </cell>
        </row>
        <row r="3292">
          <cell r="A3292">
            <v>110647</v>
          </cell>
          <cell r="BB3292">
            <v>2</v>
          </cell>
        </row>
        <row r="3293">
          <cell r="A3293">
            <v>110648</v>
          </cell>
          <cell r="BB3293">
            <v>2</v>
          </cell>
        </row>
        <row r="3294">
          <cell r="A3294">
            <v>110649</v>
          </cell>
          <cell r="BB3294">
            <v>2</v>
          </cell>
        </row>
        <row r="3295">
          <cell r="A3295">
            <v>110650</v>
          </cell>
          <cell r="BB3295">
            <v>2</v>
          </cell>
        </row>
        <row r="3296">
          <cell r="A3296">
            <v>110651</v>
          </cell>
          <cell r="BB3296">
            <v>2</v>
          </cell>
        </row>
        <row r="3297">
          <cell r="A3297">
            <v>110652</v>
          </cell>
          <cell r="BB3297">
            <v>2</v>
          </cell>
        </row>
        <row r="3298">
          <cell r="A3298">
            <v>110653</v>
          </cell>
          <cell r="BB3298">
            <v>2</v>
          </cell>
        </row>
        <row r="3299">
          <cell r="A3299">
            <v>110654</v>
          </cell>
          <cell r="BB3299">
            <v>2</v>
          </cell>
        </row>
        <row r="3300">
          <cell r="A3300">
            <v>110655</v>
          </cell>
          <cell r="BB3300">
            <v>2</v>
          </cell>
        </row>
        <row r="3301">
          <cell r="A3301">
            <v>110656</v>
          </cell>
          <cell r="BB3301">
            <v>3</v>
          </cell>
        </row>
        <row r="3302">
          <cell r="A3302">
            <v>110657</v>
          </cell>
          <cell r="BB3302">
            <v>3</v>
          </cell>
        </row>
        <row r="3303">
          <cell r="A3303">
            <v>110658</v>
          </cell>
          <cell r="BB3303">
            <v>3</v>
          </cell>
        </row>
        <row r="3304">
          <cell r="A3304">
            <v>110659</v>
          </cell>
          <cell r="BB3304">
            <v>3</v>
          </cell>
        </row>
        <row r="3305">
          <cell r="A3305">
            <v>110660</v>
          </cell>
          <cell r="BB3305">
            <v>3</v>
          </cell>
        </row>
        <row r="3306">
          <cell r="A3306">
            <v>110661</v>
          </cell>
          <cell r="BB3306">
            <v>3</v>
          </cell>
        </row>
        <row r="3307">
          <cell r="A3307">
            <v>110662</v>
          </cell>
          <cell r="BB3307">
            <v>3</v>
          </cell>
        </row>
        <row r="3308">
          <cell r="A3308">
            <v>110663</v>
          </cell>
          <cell r="BB3308">
            <v>3</v>
          </cell>
        </row>
        <row r="3309">
          <cell r="A3309">
            <v>110664</v>
          </cell>
          <cell r="BB3309">
            <v>3</v>
          </cell>
        </row>
        <row r="3310">
          <cell r="A3310">
            <v>110665</v>
          </cell>
          <cell r="BB3310">
            <v>3</v>
          </cell>
        </row>
        <row r="3311">
          <cell r="A3311">
            <v>110666</v>
          </cell>
          <cell r="BB3311">
            <v>4</v>
          </cell>
        </row>
        <row r="3312">
          <cell r="A3312">
            <v>110667</v>
          </cell>
          <cell r="BB3312">
            <v>4</v>
          </cell>
        </row>
        <row r="3313">
          <cell r="A3313">
            <v>110668</v>
          </cell>
          <cell r="BB3313">
            <v>4</v>
          </cell>
        </row>
        <row r="3314">
          <cell r="A3314">
            <v>110669</v>
          </cell>
          <cell r="BB3314">
            <v>4</v>
          </cell>
        </row>
        <row r="3315">
          <cell r="A3315">
            <v>110670</v>
          </cell>
          <cell r="BB3315">
            <v>4</v>
          </cell>
        </row>
        <row r="3316">
          <cell r="A3316">
            <v>110671</v>
          </cell>
          <cell r="BB3316">
            <v>4</v>
          </cell>
        </row>
        <row r="3317">
          <cell r="A3317">
            <v>110672</v>
          </cell>
          <cell r="BB3317">
            <v>4</v>
          </cell>
        </row>
        <row r="3318">
          <cell r="A3318">
            <v>110673</v>
          </cell>
          <cell r="BB3318">
            <v>4</v>
          </cell>
        </row>
        <row r="3319">
          <cell r="A3319">
            <v>110674</v>
          </cell>
          <cell r="BB3319">
            <v>4</v>
          </cell>
        </row>
        <row r="3320">
          <cell r="A3320">
            <v>110675</v>
          </cell>
          <cell r="BB3320">
            <v>4</v>
          </cell>
        </row>
        <row r="3321">
          <cell r="A3321">
            <v>110676</v>
          </cell>
          <cell r="BB3321">
            <v>5</v>
          </cell>
        </row>
        <row r="3322">
          <cell r="A3322">
            <v>110677</v>
          </cell>
          <cell r="BB3322">
            <v>5</v>
          </cell>
        </row>
        <row r="3323">
          <cell r="A3323">
            <v>110678</v>
          </cell>
          <cell r="BB3323">
            <v>5</v>
          </cell>
        </row>
        <row r="3324">
          <cell r="A3324">
            <v>110679</v>
          </cell>
          <cell r="BB3324">
            <v>5</v>
          </cell>
        </row>
        <row r="3325">
          <cell r="A3325">
            <v>110680</v>
          </cell>
          <cell r="BB3325">
            <v>5</v>
          </cell>
        </row>
        <row r="3326">
          <cell r="A3326">
            <v>110681</v>
          </cell>
          <cell r="BB3326">
            <v>5</v>
          </cell>
        </row>
        <row r="3327">
          <cell r="A3327">
            <v>110682</v>
          </cell>
          <cell r="BB3327">
            <v>5</v>
          </cell>
        </row>
        <row r="3328">
          <cell r="A3328">
            <v>110683</v>
          </cell>
          <cell r="BB3328">
            <v>5</v>
          </cell>
        </row>
        <row r="3329">
          <cell r="A3329">
            <v>110684</v>
          </cell>
          <cell r="BB3329">
            <v>5</v>
          </cell>
        </row>
        <row r="3330">
          <cell r="A3330">
            <v>110685</v>
          </cell>
          <cell r="BB3330">
            <v>5</v>
          </cell>
        </row>
        <row r="3331">
          <cell r="A3331">
            <v>110686</v>
          </cell>
          <cell r="BB3331">
            <v>6</v>
          </cell>
        </row>
        <row r="3332">
          <cell r="A3332">
            <v>110687</v>
          </cell>
          <cell r="BB3332">
            <v>6</v>
          </cell>
        </row>
        <row r="3333">
          <cell r="A3333">
            <v>110688</v>
          </cell>
          <cell r="BB3333">
            <v>6</v>
          </cell>
        </row>
        <row r="3334">
          <cell r="A3334">
            <v>110689</v>
          </cell>
          <cell r="BB3334">
            <v>6</v>
          </cell>
        </row>
        <row r="3335">
          <cell r="A3335">
            <v>110690</v>
          </cell>
          <cell r="BB3335">
            <v>6</v>
          </cell>
        </row>
        <row r="3336">
          <cell r="A3336">
            <v>110691</v>
          </cell>
          <cell r="BB3336">
            <v>6</v>
          </cell>
        </row>
        <row r="3337">
          <cell r="A3337">
            <v>110692</v>
          </cell>
          <cell r="BB3337">
            <v>6</v>
          </cell>
        </row>
        <row r="3338">
          <cell r="A3338">
            <v>110693</v>
          </cell>
          <cell r="BB3338">
            <v>6</v>
          </cell>
        </row>
        <row r="3339">
          <cell r="A3339">
            <v>110694</v>
          </cell>
          <cell r="BB3339">
            <v>6</v>
          </cell>
        </row>
        <row r="3340">
          <cell r="A3340">
            <v>110695</v>
          </cell>
          <cell r="BB3340">
            <v>6</v>
          </cell>
        </row>
        <row r="3341">
          <cell r="A3341">
            <v>110696</v>
          </cell>
          <cell r="BB3341">
            <v>7</v>
          </cell>
        </row>
        <row r="3342">
          <cell r="A3342">
            <v>110697</v>
          </cell>
          <cell r="BB3342">
            <v>7</v>
          </cell>
        </row>
        <row r="3343">
          <cell r="A3343">
            <v>110698</v>
          </cell>
          <cell r="BB3343">
            <v>7</v>
          </cell>
        </row>
        <row r="3344">
          <cell r="A3344">
            <v>110699</v>
          </cell>
          <cell r="BB3344">
            <v>7</v>
          </cell>
        </row>
        <row r="3345">
          <cell r="A3345">
            <v>110700</v>
          </cell>
          <cell r="BB3345">
            <v>7</v>
          </cell>
        </row>
        <row r="3346">
          <cell r="A3346">
            <v>110701</v>
          </cell>
          <cell r="BB3346">
            <v>7</v>
          </cell>
        </row>
        <row r="3347">
          <cell r="A3347">
            <v>110702</v>
          </cell>
          <cell r="BB3347">
            <v>7</v>
          </cell>
        </row>
        <row r="3348">
          <cell r="A3348">
            <v>110703</v>
          </cell>
          <cell r="BB3348">
            <v>7</v>
          </cell>
        </row>
        <row r="3349">
          <cell r="A3349">
            <v>110704</v>
          </cell>
          <cell r="BB3349">
            <v>7</v>
          </cell>
        </row>
        <row r="3350">
          <cell r="A3350">
            <v>110705</v>
          </cell>
          <cell r="BB3350">
            <v>7</v>
          </cell>
        </row>
        <row r="3351">
          <cell r="A3351">
            <v>110706</v>
          </cell>
          <cell r="BB3351">
            <v>8</v>
          </cell>
        </row>
        <row r="3352">
          <cell r="A3352">
            <v>110707</v>
          </cell>
          <cell r="BB3352">
            <v>8</v>
          </cell>
        </row>
        <row r="3353">
          <cell r="A3353">
            <v>110708</v>
          </cell>
          <cell r="BB3353">
            <v>8</v>
          </cell>
        </row>
        <row r="3354">
          <cell r="A3354">
            <v>110709</v>
          </cell>
          <cell r="BB3354">
            <v>8</v>
          </cell>
        </row>
        <row r="3355">
          <cell r="A3355">
            <v>110710</v>
          </cell>
          <cell r="BB3355">
            <v>8</v>
          </cell>
        </row>
        <row r="3356">
          <cell r="A3356">
            <v>110711</v>
          </cell>
          <cell r="BB3356">
            <v>8</v>
          </cell>
        </row>
        <row r="3357">
          <cell r="A3357">
            <v>110712</v>
          </cell>
          <cell r="BB3357">
            <v>8</v>
          </cell>
        </row>
        <row r="3358">
          <cell r="A3358">
            <v>110713</v>
          </cell>
          <cell r="BB3358">
            <v>8</v>
          </cell>
        </row>
        <row r="3359">
          <cell r="A3359">
            <v>110714</v>
          </cell>
          <cell r="BB3359">
            <v>8</v>
          </cell>
        </row>
        <row r="3360">
          <cell r="A3360">
            <v>110715</v>
          </cell>
          <cell r="BB3360">
            <v>8</v>
          </cell>
        </row>
        <row r="3361">
          <cell r="A3361">
            <v>110716</v>
          </cell>
          <cell r="BB3361">
            <v>9</v>
          </cell>
        </row>
        <row r="3362">
          <cell r="A3362">
            <v>110717</v>
          </cell>
          <cell r="BB3362">
            <v>9</v>
          </cell>
        </row>
        <row r="3363">
          <cell r="A3363">
            <v>110718</v>
          </cell>
          <cell r="BB3363">
            <v>9</v>
          </cell>
        </row>
        <row r="3364">
          <cell r="A3364">
            <v>110719</v>
          </cell>
          <cell r="BB3364">
            <v>9</v>
          </cell>
        </row>
        <row r="3365">
          <cell r="A3365">
            <v>110720</v>
          </cell>
          <cell r="BB3365">
            <v>9</v>
          </cell>
        </row>
        <row r="3366">
          <cell r="A3366">
            <v>110721</v>
          </cell>
          <cell r="BB3366">
            <v>9</v>
          </cell>
        </row>
        <row r="3367">
          <cell r="A3367">
            <v>110722</v>
          </cell>
          <cell r="BB3367">
            <v>9</v>
          </cell>
        </row>
        <row r="3368">
          <cell r="A3368">
            <v>110723</v>
          </cell>
          <cell r="BB3368">
            <v>9</v>
          </cell>
        </row>
        <row r="3369">
          <cell r="A3369">
            <v>110724</v>
          </cell>
          <cell r="BB3369">
            <v>9</v>
          </cell>
        </row>
        <row r="3370">
          <cell r="A3370">
            <v>110725</v>
          </cell>
          <cell r="BB3370">
            <v>9</v>
          </cell>
        </row>
        <row r="3371">
          <cell r="A3371">
            <v>110726</v>
          </cell>
          <cell r="BB3371">
            <v>10</v>
          </cell>
        </row>
        <row r="3372">
          <cell r="A3372">
            <v>110727</v>
          </cell>
          <cell r="BB3372">
            <v>10</v>
          </cell>
        </row>
        <row r="3373">
          <cell r="A3373">
            <v>110728</v>
          </cell>
          <cell r="BB3373">
            <v>10</v>
          </cell>
        </row>
        <row r="3374">
          <cell r="A3374">
            <v>110729</v>
          </cell>
          <cell r="BB3374">
            <v>10</v>
          </cell>
        </row>
        <row r="3375">
          <cell r="A3375">
            <v>110730</v>
          </cell>
          <cell r="BB3375">
            <v>10</v>
          </cell>
        </row>
        <row r="3376">
          <cell r="A3376">
            <v>110731</v>
          </cell>
          <cell r="BB3376">
            <v>10</v>
          </cell>
        </row>
        <row r="3377">
          <cell r="A3377">
            <v>110732</v>
          </cell>
          <cell r="BB3377">
            <v>10</v>
          </cell>
        </row>
        <row r="3378">
          <cell r="A3378">
            <v>110733</v>
          </cell>
          <cell r="BB3378">
            <v>10</v>
          </cell>
        </row>
        <row r="3379">
          <cell r="A3379">
            <v>110734</v>
          </cell>
          <cell r="BB3379">
            <v>10</v>
          </cell>
        </row>
        <row r="3380">
          <cell r="A3380">
            <v>110735</v>
          </cell>
          <cell r="BB3380">
            <v>10</v>
          </cell>
        </row>
        <row r="3381">
          <cell r="A3381">
            <v>110736</v>
          </cell>
          <cell r="BB3381">
            <v>11</v>
          </cell>
        </row>
        <row r="3382">
          <cell r="A3382">
            <v>110737</v>
          </cell>
          <cell r="BB3382">
            <v>11</v>
          </cell>
        </row>
        <row r="3383">
          <cell r="A3383">
            <v>110738</v>
          </cell>
          <cell r="BB3383">
            <v>11</v>
          </cell>
        </row>
        <row r="3384">
          <cell r="A3384">
            <v>110739</v>
          </cell>
          <cell r="BB3384">
            <v>11</v>
          </cell>
        </row>
        <row r="3385">
          <cell r="A3385">
            <v>110740</v>
          </cell>
          <cell r="BB3385">
            <v>11</v>
          </cell>
        </row>
        <row r="3386">
          <cell r="A3386">
            <v>110741</v>
          </cell>
          <cell r="BB3386">
            <v>1</v>
          </cell>
        </row>
        <row r="3387">
          <cell r="A3387">
            <v>110742</v>
          </cell>
          <cell r="BB3387">
            <v>1</v>
          </cell>
        </row>
        <row r="3388">
          <cell r="A3388">
            <v>110743</v>
          </cell>
          <cell r="BB3388">
            <v>1</v>
          </cell>
        </row>
        <row r="3389">
          <cell r="A3389">
            <v>110744</v>
          </cell>
          <cell r="BB3389">
            <v>1</v>
          </cell>
        </row>
        <row r="3390">
          <cell r="A3390">
            <v>110745</v>
          </cell>
          <cell r="BB3390">
            <v>1</v>
          </cell>
        </row>
        <row r="3391">
          <cell r="A3391">
            <v>110746</v>
          </cell>
          <cell r="BB3391">
            <v>1</v>
          </cell>
        </row>
        <row r="3392">
          <cell r="A3392">
            <v>110747</v>
          </cell>
          <cell r="BB3392">
            <v>1</v>
          </cell>
        </row>
        <row r="3393">
          <cell r="A3393">
            <v>110748</v>
          </cell>
          <cell r="BB3393">
            <v>1</v>
          </cell>
        </row>
        <row r="3394">
          <cell r="A3394">
            <v>110749</v>
          </cell>
          <cell r="BB3394">
            <v>1</v>
          </cell>
        </row>
        <row r="3395">
          <cell r="A3395">
            <v>110750</v>
          </cell>
          <cell r="BB3395">
            <v>1</v>
          </cell>
        </row>
        <row r="3396">
          <cell r="A3396">
            <v>110751</v>
          </cell>
          <cell r="BB3396">
            <v>2</v>
          </cell>
        </row>
        <row r="3397">
          <cell r="A3397">
            <v>110752</v>
          </cell>
          <cell r="BB3397">
            <v>2</v>
          </cell>
        </row>
        <row r="3398">
          <cell r="A3398">
            <v>110753</v>
          </cell>
          <cell r="BB3398">
            <v>2</v>
          </cell>
        </row>
        <row r="3399">
          <cell r="A3399">
            <v>110754</v>
          </cell>
          <cell r="BB3399">
            <v>2</v>
          </cell>
        </row>
        <row r="3400">
          <cell r="A3400">
            <v>110755</v>
          </cell>
          <cell r="BB3400">
            <v>2</v>
          </cell>
        </row>
        <row r="3401">
          <cell r="A3401">
            <v>110756</v>
          </cell>
          <cell r="BB3401">
            <v>2</v>
          </cell>
        </row>
        <row r="3402">
          <cell r="A3402">
            <v>110757</v>
          </cell>
          <cell r="BB3402">
            <v>2</v>
          </cell>
        </row>
        <row r="3403">
          <cell r="A3403">
            <v>110758</v>
          </cell>
          <cell r="BB3403">
            <v>2</v>
          </cell>
        </row>
        <row r="3404">
          <cell r="A3404">
            <v>110759</v>
          </cell>
          <cell r="BB3404">
            <v>2</v>
          </cell>
        </row>
        <row r="3405">
          <cell r="A3405">
            <v>110760</v>
          </cell>
          <cell r="BB3405">
            <v>2</v>
          </cell>
        </row>
        <row r="3406">
          <cell r="A3406">
            <v>110761</v>
          </cell>
          <cell r="BB3406">
            <v>3</v>
          </cell>
        </row>
        <row r="3407">
          <cell r="A3407">
            <v>110762</v>
          </cell>
          <cell r="BB3407">
            <v>3</v>
          </cell>
        </row>
        <row r="3408">
          <cell r="A3408">
            <v>110763</v>
          </cell>
          <cell r="BB3408">
            <v>3</v>
          </cell>
        </row>
        <row r="3409">
          <cell r="A3409">
            <v>110764</v>
          </cell>
          <cell r="BB3409">
            <v>3</v>
          </cell>
        </row>
        <row r="3410">
          <cell r="A3410">
            <v>110765</v>
          </cell>
          <cell r="BB3410">
            <v>3</v>
          </cell>
        </row>
        <row r="3411">
          <cell r="A3411">
            <v>110766</v>
          </cell>
          <cell r="BB3411">
            <v>3</v>
          </cell>
        </row>
        <row r="3412">
          <cell r="A3412">
            <v>110767</v>
          </cell>
          <cell r="BB3412">
            <v>3</v>
          </cell>
        </row>
        <row r="3413">
          <cell r="A3413">
            <v>110768</v>
          </cell>
          <cell r="BB3413">
            <v>3</v>
          </cell>
        </row>
        <row r="3414">
          <cell r="A3414">
            <v>110769</v>
          </cell>
          <cell r="BB3414">
            <v>3</v>
          </cell>
        </row>
        <row r="3415">
          <cell r="A3415">
            <v>110770</v>
          </cell>
          <cell r="BB3415">
            <v>3</v>
          </cell>
        </row>
        <row r="3416">
          <cell r="A3416">
            <v>110771</v>
          </cell>
          <cell r="BB3416">
            <v>4</v>
          </cell>
        </row>
        <row r="3417">
          <cell r="A3417">
            <v>110772</v>
          </cell>
          <cell r="BB3417">
            <v>4</v>
          </cell>
        </row>
        <row r="3418">
          <cell r="A3418">
            <v>110773</v>
          </cell>
          <cell r="BB3418">
            <v>4</v>
          </cell>
        </row>
        <row r="3419">
          <cell r="A3419">
            <v>110774</v>
          </cell>
          <cell r="BB3419">
            <v>4</v>
          </cell>
        </row>
        <row r="3420">
          <cell r="A3420">
            <v>110775</v>
          </cell>
          <cell r="BB3420">
            <v>4</v>
          </cell>
        </row>
        <row r="3421">
          <cell r="A3421">
            <v>110776</v>
          </cell>
          <cell r="BB3421">
            <v>4</v>
          </cell>
        </row>
        <row r="3422">
          <cell r="A3422">
            <v>110777</v>
          </cell>
          <cell r="BB3422">
            <v>4</v>
          </cell>
        </row>
        <row r="3423">
          <cell r="A3423">
            <v>110778</v>
          </cell>
          <cell r="BB3423">
            <v>4</v>
          </cell>
        </row>
        <row r="3424">
          <cell r="A3424">
            <v>110779</v>
          </cell>
          <cell r="BB3424">
            <v>4</v>
          </cell>
        </row>
        <row r="3425">
          <cell r="A3425">
            <v>110780</v>
          </cell>
          <cell r="BB3425">
            <v>4</v>
          </cell>
        </row>
        <row r="3426">
          <cell r="A3426">
            <v>110781</v>
          </cell>
          <cell r="BB3426">
            <v>5</v>
          </cell>
        </row>
        <row r="3427">
          <cell r="A3427">
            <v>110782</v>
          </cell>
          <cell r="BB3427">
            <v>5</v>
          </cell>
        </row>
        <row r="3428">
          <cell r="A3428">
            <v>110783</v>
          </cell>
          <cell r="BB3428">
            <v>5</v>
          </cell>
        </row>
        <row r="3429">
          <cell r="A3429">
            <v>110784</v>
          </cell>
          <cell r="BB3429">
            <v>5</v>
          </cell>
        </row>
        <row r="3430">
          <cell r="A3430">
            <v>110785</v>
          </cell>
          <cell r="BB3430">
            <v>5</v>
          </cell>
        </row>
        <row r="3431">
          <cell r="A3431">
            <v>110786</v>
          </cell>
          <cell r="BB3431">
            <v>5</v>
          </cell>
        </row>
        <row r="3432">
          <cell r="A3432">
            <v>110787</v>
          </cell>
          <cell r="BB3432">
            <v>5</v>
          </cell>
        </row>
        <row r="3433">
          <cell r="A3433">
            <v>110788</v>
          </cell>
          <cell r="BB3433">
            <v>5</v>
          </cell>
        </row>
        <row r="3434">
          <cell r="A3434">
            <v>110789</v>
          </cell>
          <cell r="BB3434">
            <v>5</v>
          </cell>
        </row>
        <row r="3435">
          <cell r="A3435">
            <v>110790</v>
          </cell>
          <cell r="BB3435">
            <v>5</v>
          </cell>
        </row>
        <row r="3436">
          <cell r="A3436">
            <v>110791</v>
          </cell>
          <cell r="BB3436">
            <v>6</v>
          </cell>
        </row>
        <row r="3437">
          <cell r="A3437">
            <v>110792</v>
          </cell>
          <cell r="BB3437">
            <v>6</v>
          </cell>
        </row>
        <row r="3438">
          <cell r="A3438">
            <v>110793</v>
          </cell>
          <cell r="BB3438">
            <v>6</v>
          </cell>
        </row>
        <row r="3439">
          <cell r="A3439">
            <v>110794</v>
          </cell>
          <cell r="BB3439">
            <v>6</v>
          </cell>
        </row>
        <row r="3440">
          <cell r="A3440">
            <v>110795</v>
          </cell>
          <cell r="BB3440">
            <v>6</v>
          </cell>
        </row>
        <row r="3441">
          <cell r="A3441">
            <v>110796</v>
          </cell>
          <cell r="BB3441">
            <v>6</v>
          </cell>
        </row>
        <row r="3442">
          <cell r="A3442">
            <v>110797</v>
          </cell>
          <cell r="BB3442">
            <v>6</v>
          </cell>
        </row>
        <row r="3443">
          <cell r="A3443">
            <v>110798</v>
          </cell>
          <cell r="BB3443">
            <v>6</v>
          </cell>
        </row>
        <row r="3444">
          <cell r="A3444">
            <v>110799</v>
          </cell>
          <cell r="BB3444">
            <v>6</v>
          </cell>
        </row>
        <row r="3445">
          <cell r="A3445">
            <v>110800</v>
          </cell>
          <cell r="BB3445">
            <v>6</v>
          </cell>
        </row>
        <row r="3446">
          <cell r="A3446">
            <v>110801</v>
          </cell>
          <cell r="BB3446">
            <v>7</v>
          </cell>
        </row>
        <row r="3447">
          <cell r="A3447">
            <v>110802</v>
          </cell>
          <cell r="BB3447">
            <v>7</v>
          </cell>
        </row>
        <row r="3448">
          <cell r="A3448">
            <v>110803</v>
          </cell>
          <cell r="BB3448">
            <v>7</v>
          </cell>
        </row>
        <row r="3449">
          <cell r="A3449">
            <v>110804</v>
          </cell>
          <cell r="BB3449">
            <v>7</v>
          </cell>
        </row>
        <row r="3450">
          <cell r="A3450">
            <v>110805</v>
          </cell>
          <cell r="BB3450">
            <v>7</v>
          </cell>
        </row>
        <row r="3451">
          <cell r="A3451">
            <v>110806</v>
          </cell>
          <cell r="BB3451">
            <v>7</v>
          </cell>
        </row>
        <row r="3452">
          <cell r="A3452">
            <v>110807</v>
          </cell>
          <cell r="BB3452">
            <v>7</v>
          </cell>
        </row>
        <row r="3453">
          <cell r="A3453">
            <v>110808</v>
          </cell>
          <cell r="BB3453">
            <v>7</v>
          </cell>
        </row>
        <row r="3454">
          <cell r="A3454">
            <v>110809</v>
          </cell>
          <cell r="BB3454">
            <v>7</v>
          </cell>
        </row>
        <row r="3455">
          <cell r="A3455">
            <v>110810</v>
          </cell>
          <cell r="BB3455">
            <v>7</v>
          </cell>
        </row>
        <row r="3456">
          <cell r="A3456">
            <v>110811</v>
          </cell>
          <cell r="BB3456">
            <v>8</v>
          </cell>
        </row>
        <row r="3457">
          <cell r="A3457">
            <v>110812</v>
          </cell>
          <cell r="BB3457">
            <v>8</v>
          </cell>
        </row>
        <row r="3458">
          <cell r="A3458">
            <v>110813</v>
          </cell>
          <cell r="BB3458">
            <v>8</v>
          </cell>
        </row>
        <row r="3459">
          <cell r="A3459">
            <v>110814</v>
          </cell>
          <cell r="BB3459">
            <v>8</v>
          </cell>
        </row>
        <row r="3460">
          <cell r="A3460">
            <v>110815</v>
          </cell>
          <cell r="BB3460">
            <v>8</v>
          </cell>
        </row>
        <row r="3461">
          <cell r="A3461">
            <v>110816</v>
          </cell>
          <cell r="BB3461">
            <v>8</v>
          </cell>
        </row>
        <row r="3462">
          <cell r="A3462">
            <v>110817</v>
          </cell>
          <cell r="BB3462">
            <v>8</v>
          </cell>
        </row>
        <row r="3463">
          <cell r="A3463">
            <v>110818</v>
          </cell>
          <cell r="BB3463">
            <v>8</v>
          </cell>
        </row>
        <row r="3464">
          <cell r="A3464">
            <v>110819</v>
          </cell>
          <cell r="BB3464">
            <v>8</v>
          </cell>
        </row>
        <row r="3465">
          <cell r="A3465">
            <v>110820</v>
          </cell>
          <cell r="BB3465">
            <v>8</v>
          </cell>
        </row>
        <row r="3466">
          <cell r="A3466">
            <v>110821</v>
          </cell>
          <cell r="BB3466">
            <v>1</v>
          </cell>
        </row>
        <row r="3467">
          <cell r="A3467">
            <v>110822</v>
          </cell>
          <cell r="BB3467">
            <v>1</v>
          </cell>
        </row>
        <row r="3468">
          <cell r="A3468">
            <v>110823</v>
          </cell>
          <cell r="BB3468">
            <v>1</v>
          </cell>
        </row>
        <row r="3469">
          <cell r="A3469">
            <v>110824</v>
          </cell>
          <cell r="BB3469">
            <v>1</v>
          </cell>
        </row>
        <row r="3470">
          <cell r="A3470">
            <v>110825</v>
          </cell>
          <cell r="BB3470">
            <v>1</v>
          </cell>
        </row>
        <row r="3471">
          <cell r="A3471">
            <v>110826</v>
          </cell>
          <cell r="BB3471">
            <v>1</v>
          </cell>
        </row>
        <row r="3472">
          <cell r="A3472">
            <v>110827</v>
          </cell>
          <cell r="BB3472">
            <v>1</v>
          </cell>
        </row>
        <row r="3473">
          <cell r="A3473">
            <v>110828</v>
          </cell>
          <cell r="BB3473">
            <v>1</v>
          </cell>
        </row>
        <row r="3474">
          <cell r="A3474">
            <v>110829</v>
          </cell>
          <cell r="BB3474">
            <v>1</v>
          </cell>
        </row>
        <row r="3475">
          <cell r="A3475">
            <v>110830</v>
          </cell>
          <cell r="BB3475">
            <v>1</v>
          </cell>
        </row>
        <row r="3476">
          <cell r="A3476">
            <v>110831</v>
          </cell>
          <cell r="BB3476">
            <v>2</v>
          </cell>
        </row>
        <row r="3477">
          <cell r="A3477">
            <v>110832</v>
          </cell>
          <cell r="BB3477">
            <v>2</v>
          </cell>
        </row>
        <row r="3478">
          <cell r="A3478">
            <v>110833</v>
          </cell>
          <cell r="BB3478">
            <v>2</v>
          </cell>
        </row>
        <row r="3479">
          <cell r="A3479">
            <v>110834</v>
          </cell>
          <cell r="BB3479">
            <v>2</v>
          </cell>
        </row>
        <row r="3480">
          <cell r="A3480">
            <v>110835</v>
          </cell>
          <cell r="BB3480">
            <v>2</v>
          </cell>
        </row>
        <row r="3481">
          <cell r="A3481">
            <v>110836</v>
          </cell>
          <cell r="BB3481">
            <v>2</v>
          </cell>
        </row>
        <row r="3482">
          <cell r="A3482">
            <v>110837</v>
          </cell>
          <cell r="BB3482">
            <v>2</v>
          </cell>
        </row>
        <row r="3483">
          <cell r="A3483">
            <v>110838</v>
          </cell>
          <cell r="BB3483">
            <v>2</v>
          </cell>
        </row>
        <row r="3484">
          <cell r="A3484">
            <v>110839</v>
          </cell>
          <cell r="BB3484">
            <v>2</v>
          </cell>
        </row>
        <row r="3485">
          <cell r="A3485">
            <v>110840</v>
          </cell>
          <cell r="BB3485">
            <v>2</v>
          </cell>
        </row>
        <row r="3486">
          <cell r="A3486">
            <v>110841</v>
          </cell>
          <cell r="BB3486">
            <v>3</v>
          </cell>
        </row>
        <row r="3487">
          <cell r="A3487">
            <v>110842</v>
          </cell>
          <cell r="BB3487">
            <v>3</v>
          </cell>
        </row>
        <row r="3488">
          <cell r="A3488">
            <v>110843</v>
          </cell>
          <cell r="BB3488">
            <v>3</v>
          </cell>
        </row>
        <row r="3489">
          <cell r="A3489">
            <v>110844</v>
          </cell>
          <cell r="BB3489">
            <v>3</v>
          </cell>
        </row>
        <row r="3490">
          <cell r="A3490">
            <v>110845</v>
          </cell>
          <cell r="BB3490">
            <v>3</v>
          </cell>
        </row>
        <row r="3491">
          <cell r="A3491">
            <v>110846</v>
          </cell>
          <cell r="BB3491">
            <v>3</v>
          </cell>
        </row>
        <row r="3492">
          <cell r="A3492">
            <v>110847</v>
          </cell>
          <cell r="BB3492">
            <v>3</v>
          </cell>
        </row>
        <row r="3493">
          <cell r="A3493">
            <v>110848</v>
          </cell>
          <cell r="BB3493">
            <v>3</v>
          </cell>
        </row>
        <row r="3494">
          <cell r="A3494">
            <v>110849</v>
          </cell>
          <cell r="BB3494">
            <v>3</v>
          </cell>
        </row>
        <row r="3495">
          <cell r="A3495">
            <v>110850</v>
          </cell>
          <cell r="BB3495">
            <v>3</v>
          </cell>
        </row>
        <row r="3496">
          <cell r="A3496">
            <v>110851</v>
          </cell>
          <cell r="BB3496">
            <v>4</v>
          </cell>
        </row>
        <row r="3497">
          <cell r="A3497">
            <v>110852</v>
          </cell>
          <cell r="BB3497">
            <v>4</v>
          </cell>
        </row>
        <row r="3498">
          <cell r="A3498">
            <v>110853</v>
          </cell>
          <cell r="BB3498">
            <v>4</v>
          </cell>
        </row>
        <row r="3499">
          <cell r="A3499">
            <v>110854</v>
          </cell>
          <cell r="BB3499">
            <v>4</v>
          </cell>
        </row>
        <row r="3500">
          <cell r="A3500">
            <v>110855</v>
          </cell>
          <cell r="BB3500">
            <v>4</v>
          </cell>
        </row>
        <row r="3501">
          <cell r="A3501">
            <v>110856</v>
          </cell>
          <cell r="BB3501">
            <v>4</v>
          </cell>
        </row>
        <row r="3502">
          <cell r="A3502">
            <v>110857</v>
          </cell>
          <cell r="BB3502">
            <v>4</v>
          </cell>
        </row>
        <row r="3503">
          <cell r="A3503">
            <v>110858</v>
          </cell>
          <cell r="BB3503">
            <v>4</v>
          </cell>
        </row>
        <row r="3504">
          <cell r="A3504">
            <v>110859</v>
          </cell>
          <cell r="BB3504">
            <v>4</v>
          </cell>
        </row>
        <row r="3505">
          <cell r="A3505">
            <v>110860</v>
          </cell>
          <cell r="BB3505">
            <v>4</v>
          </cell>
        </row>
        <row r="3506">
          <cell r="A3506">
            <v>110861</v>
          </cell>
          <cell r="BB3506">
            <v>5</v>
          </cell>
        </row>
        <row r="3507">
          <cell r="A3507">
            <v>110862</v>
          </cell>
          <cell r="BB3507">
            <v>5</v>
          </cell>
        </row>
        <row r="3508">
          <cell r="A3508">
            <v>110863</v>
          </cell>
          <cell r="BB3508">
            <v>5</v>
          </cell>
        </row>
        <row r="3509">
          <cell r="A3509">
            <v>110864</v>
          </cell>
          <cell r="BB3509">
            <v>5</v>
          </cell>
        </row>
        <row r="3510">
          <cell r="A3510">
            <v>110865</v>
          </cell>
          <cell r="BB3510">
            <v>5</v>
          </cell>
        </row>
        <row r="3511">
          <cell r="A3511">
            <v>110866</v>
          </cell>
          <cell r="BB3511">
            <v>5</v>
          </cell>
        </row>
        <row r="3512">
          <cell r="A3512">
            <v>110867</v>
          </cell>
          <cell r="BB3512">
            <v>5</v>
          </cell>
        </row>
        <row r="3513">
          <cell r="A3513">
            <v>110868</v>
          </cell>
          <cell r="BB3513">
            <v>5</v>
          </cell>
        </row>
        <row r="3514">
          <cell r="A3514">
            <v>110869</v>
          </cell>
          <cell r="BB3514">
            <v>5</v>
          </cell>
        </row>
        <row r="3515">
          <cell r="A3515">
            <v>110870</v>
          </cell>
          <cell r="BB3515">
            <v>5</v>
          </cell>
        </row>
        <row r="3516">
          <cell r="A3516">
            <v>110871</v>
          </cell>
          <cell r="BB3516">
            <v>6</v>
          </cell>
        </row>
        <row r="3517">
          <cell r="A3517">
            <v>110872</v>
          </cell>
          <cell r="BB3517">
            <v>6</v>
          </cell>
        </row>
        <row r="3518">
          <cell r="A3518">
            <v>110873</v>
          </cell>
          <cell r="BB3518">
            <v>6</v>
          </cell>
        </row>
        <row r="3519">
          <cell r="A3519">
            <v>110874</v>
          </cell>
          <cell r="BB3519">
            <v>6</v>
          </cell>
        </row>
        <row r="3520">
          <cell r="A3520">
            <v>110875</v>
          </cell>
          <cell r="BB3520">
            <v>6</v>
          </cell>
        </row>
        <row r="3521">
          <cell r="A3521">
            <v>110876</v>
          </cell>
          <cell r="BB3521">
            <v>6</v>
          </cell>
        </row>
        <row r="3522">
          <cell r="A3522">
            <v>110877</v>
          </cell>
          <cell r="BB3522">
            <v>6</v>
          </cell>
        </row>
        <row r="3523">
          <cell r="A3523">
            <v>110878</v>
          </cell>
          <cell r="BB3523">
            <v>6</v>
          </cell>
        </row>
        <row r="3524">
          <cell r="A3524">
            <v>110879</v>
          </cell>
          <cell r="BB3524">
            <v>6</v>
          </cell>
        </row>
        <row r="3525">
          <cell r="A3525">
            <v>110880</v>
          </cell>
          <cell r="BB3525">
            <v>6</v>
          </cell>
        </row>
        <row r="3526">
          <cell r="A3526">
            <v>110881</v>
          </cell>
          <cell r="BB3526">
            <v>7</v>
          </cell>
        </row>
        <row r="3527">
          <cell r="A3527">
            <v>110882</v>
          </cell>
          <cell r="BB3527">
            <v>7</v>
          </cell>
        </row>
        <row r="3528">
          <cell r="A3528">
            <v>110883</v>
          </cell>
          <cell r="BB3528">
            <v>7</v>
          </cell>
        </row>
        <row r="3529">
          <cell r="A3529">
            <v>110884</v>
          </cell>
          <cell r="BB3529">
            <v>7</v>
          </cell>
        </row>
        <row r="3530">
          <cell r="A3530">
            <v>110885</v>
          </cell>
          <cell r="BB3530">
            <v>7</v>
          </cell>
        </row>
        <row r="3531">
          <cell r="A3531">
            <v>110886</v>
          </cell>
          <cell r="BB3531">
            <v>7</v>
          </cell>
        </row>
        <row r="3532">
          <cell r="A3532">
            <v>110887</v>
          </cell>
          <cell r="BB3532">
            <v>7</v>
          </cell>
        </row>
        <row r="3533">
          <cell r="A3533">
            <v>110888</v>
          </cell>
          <cell r="BB3533">
            <v>7</v>
          </cell>
        </row>
        <row r="3534">
          <cell r="A3534">
            <v>110889</v>
          </cell>
          <cell r="BB3534">
            <v>7</v>
          </cell>
        </row>
        <row r="3535">
          <cell r="A3535">
            <v>110890</v>
          </cell>
          <cell r="BB3535">
            <v>7</v>
          </cell>
        </row>
        <row r="3536">
          <cell r="A3536">
            <v>110891</v>
          </cell>
          <cell r="BB3536">
            <v>8</v>
          </cell>
        </row>
        <row r="3537">
          <cell r="A3537">
            <v>110892</v>
          </cell>
          <cell r="BB3537">
            <v>8</v>
          </cell>
        </row>
        <row r="3538">
          <cell r="A3538">
            <v>110893</v>
          </cell>
          <cell r="BB3538">
            <v>8</v>
          </cell>
        </row>
        <row r="3539">
          <cell r="A3539">
            <v>110894</v>
          </cell>
          <cell r="BB3539">
            <v>8</v>
          </cell>
        </row>
        <row r="3540">
          <cell r="A3540">
            <v>110895</v>
          </cell>
          <cell r="BB3540">
            <v>8</v>
          </cell>
        </row>
        <row r="3541">
          <cell r="A3541">
            <v>110896</v>
          </cell>
          <cell r="BB3541">
            <v>8</v>
          </cell>
        </row>
        <row r="3542">
          <cell r="A3542">
            <v>110897</v>
          </cell>
          <cell r="BB3542">
            <v>8</v>
          </cell>
        </row>
        <row r="3543">
          <cell r="A3543">
            <v>110898</v>
          </cell>
          <cell r="BB3543">
            <v>8</v>
          </cell>
        </row>
        <row r="3544">
          <cell r="A3544">
            <v>110899</v>
          </cell>
          <cell r="BB3544">
            <v>8</v>
          </cell>
        </row>
        <row r="3545">
          <cell r="A3545">
            <v>110900</v>
          </cell>
          <cell r="BB3545">
            <v>8</v>
          </cell>
        </row>
        <row r="3546">
          <cell r="A3546">
            <v>110901</v>
          </cell>
          <cell r="BB3546">
            <v>1</v>
          </cell>
        </row>
        <row r="3547">
          <cell r="A3547">
            <v>110902</v>
          </cell>
          <cell r="BB3547">
            <v>1</v>
          </cell>
        </row>
        <row r="3548">
          <cell r="A3548">
            <v>110903</v>
          </cell>
          <cell r="BB3548">
            <v>1</v>
          </cell>
        </row>
        <row r="3549">
          <cell r="A3549">
            <v>110904</v>
          </cell>
          <cell r="BB3549">
            <v>1</v>
          </cell>
        </row>
        <row r="3550">
          <cell r="A3550">
            <v>110905</v>
          </cell>
          <cell r="BB3550">
            <v>1</v>
          </cell>
        </row>
        <row r="3551">
          <cell r="A3551">
            <v>110906</v>
          </cell>
          <cell r="BB3551">
            <v>1</v>
          </cell>
        </row>
        <row r="3552">
          <cell r="A3552">
            <v>110907</v>
          </cell>
          <cell r="BB3552">
            <v>1</v>
          </cell>
        </row>
        <row r="3553">
          <cell r="A3553">
            <v>110908</v>
          </cell>
          <cell r="BB3553">
            <v>1</v>
          </cell>
        </row>
        <row r="3554">
          <cell r="A3554">
            <v>110909</v>
          </cell>
          <cell r="BB3554">
            <v>1</v>
          </cell>
        </row>
        <row r="3555">
          <cell r="A3555">
            <v>110910</v>
          </cell>
          <cell r="BB3555">
            <v>1</v>
          </cell>
        </row>
        <row r="3556">
          <cell r="A3556">
            <v>110911</v>
          </cell>
          <cell r="BB3556">
            <v>2</v>
          </cell>
        </row>
        <row r="3557">
          <cell r="A3557">
            <v>110912</v>
          </cell>
          <cell r="BB3557">
            <v>2</v>
          </cell>
        </row>
        <row r="3558">
          <cell r="A3558">
            <v>110913</v>
          </cell>
          <cell r="BB3558">
            <v>2</v>
          </cell>
        </row>
        <row r="3559">
          <cell r="A3559">
            <v>110914</v>
          </cell>
          <cell r="BB3559">
            <v>2</v>
          </cell>
        </row>
        <row r="3560">
          <cell r="A3560">
            <v>110915</v>
          </cell>
          <cell r="BB3560">
            <v>2</v>
          </cell>
        </row>
        <row r="3561">
          <cell r="A3561">
            <v>110916</v>
          </cell>
          <cell r="BB3561">
            <v>2</v>
          </cell>
        </row>
        <row r="3562">
          <cell r="A3562">
            <v>110917</v>
          </cell>
          <cell r="BB3562">
            <v>2</v>
          </cell>
        </row>
        <row r="3563">
          <cell r="A3563">
            <v>110918</v>
          </cell>
          <cell r="BB3563">
            <v>2</v>
          </cell>
        </row>
        <row r="3564">
          <cell r="A3564">
            <v>110919</v>
          </cell>
          <cell r="BB3564">
            <v>2</v>
          </cell>
        </row>
        <row r="3565">
          <cell r="A3565">
            <v>110920</v>
          </cell>
          <cell r="BB3565">
            <v>2</v>
          </cell>
        </row>
        <row r="3566">
          <cell r="A3566">
            <v>110921</v>
          </cell>
          <cell r="BB3566">
            <v>3</v>
          </cell>
        </row>
        <row r="3567">
          <cell r="A3567">
            <v>110922</v>
          </cell>
          <cell r="BB3567">
            <v>3</v>
          </cell>
        </row>
        <row r="3568">
          <cell r="A3568">
            <v>110923</v>
          </cell>
          <cell r="BB3568">
            <v>3</v>
          </cell>
        </row>
        <row r="3569">
          <cell r="A3569">
            <v>110924</v>
          </cell>
          <cell r="BB3569">
            <v>3</v>
          </cell>
        </row>
        <row r="3570">
          <cell r="A3570">
            <v>110925</v>
          </cell>
          <cell r="BB3570">
            <v>3</v>
          </cell>
        </row>
        <row r="3571">
          <cell r="A3571">
            <v>111001</v>
          </cell>
          <cell r="BB3571">
            <v>1</v>
          </cell>
        </row>
        <row r="3572">
          <cell r="A3572">
            <v>111002</v>
          </cell>
          <cell r="BB3572">
            <v>1</v>
          </cell>
        </row>
        <row r="3573">
          <cell r="A3573">
            <v>111003</v>
          </cell>
          <cell r="BB3573">
            <v>1</v>
          </cell>
        </row>
        <row r="3574">
          <cell r="A3574">
            <v>111004</v>
          </cell>
          <cell r="BB3574">
            <v>1</v>
          </cell>
        </row>
        <row r="3575">
          <cell r="A3575">
            <v>111005</v>
          </cell>
          <cell r="BB3575">
            <v>1</v>
          </cell>
        </row>
        <row r="3576">
          <cell r="A3576">
            <v>111006</v>
          </cell>
          <cell r="BB3576">
            <v>1</v>
          </cell>
        </row>
        <row r="3577">
          <cell r="A3577">
            <v>111007</v>
          </cell>
          <cell r="BB3577">
            <v>1</v>
          </cell>
        </row>
        <row r="3578">
          <cell r="A3578">
            <v>111008</v>
          </cell>
          <cell r="BB3578">
            <v>1</v>
          </cell>
        </row>
        <row r="3579">
          <cell r="A3579">
            <v>111009</v>
          </cell>
          <cell r="BB3579">
            <v>1</v>
          </cell>
        </row>
        <row r="3580">
          <cell r="A3580">
            <v>111010</v>
          </cell>
          <cell r="BB3580">
            <v>1</v>
          </cell>
        </row>
        <row r="3581">
          <cell r="A3581">
            <v>111011</v>
          </cell>
          <cell r="BB3581">
            <v>1</v>
          </cell>
        </row>
        <row r="3582">
          <cell r="A3582">
            <v>111012</v>
          </cell>
          <cell r="BB3582">
            <v>1</v>
          </cell>
        </row>
        <row r="3583">
          <cell r="A3583">
            <v>111013</v>
          </cell>
          <cell r="BB3583">
            <v>1</v>
          </cell>
        </row>
        <row r="3584">
          <cell r="A3584">
            <v>111014</v>
          </cell>
          <cell r="BB3584">
            <v>1</v>
          </cell>
        </row>
        <row r="3585">
          <cell r="A3585">
            <v>111015</v>
          </cell>
          <cell r="BB3585">
            <v>1</v>
          </cell>
        </row>
        <row r="3586">
          <cell r="A3586">
            <v>111016</v>
          </cell>
          <cell r="BB3586">
            <v>1</v>
          </cell>
        </row>
        <row r="3587">
          <cell r="A3587">
            <v>111017</v>
          </cell>
          <cell r="BB3587">
            <v>1</v>
          </cell>
        </row>
        <row r="3588">
          <cell r="A3588">
            <v>111018</v>
          </cell>
          <cell r="BB3588">
            <v>1</v>
          </cell>
        </row>
        <row r="3589">
          <cell r="A3589">
            <v>111019</v>
          </cell>
          <cell r="BB3589">
            <v>1</v>
          </cell>
        </row>
        <row r="3590">
          <cell r="A3590">
            <v>111020</v>
          </cell>
          <cell r="BB3590">
            <v>1</v>
          </cell>
        </row>
        <row r="3591">
          <cell r="A3591">
            <v>111021</v>
          </cell>
          <cell r="BB3591">
            <v>1</v>
          </cell>
        </row>
        <row r="3592">
          <cell r="A3592">
            <v>111022</v>
          </cell>
          <cell r="BB3592">
            <v>1</v>
          </cell>
        </row>
        <row r="3593">
          <cell r="A3593">
            <v>111023</v>
          </cell>
          <cell r="BB3593">
            <v>1</v>
          </cell>
        </row>
        <row r="3594">
          <cell r="A3594">
            <v>111024</v>
          </cell>
          <cell r="BB3594">
            <v>1</v>
          </cell>
        </row>
        <row r="3595">
          <cell r="A3595">
            <v>111025</v>
          </cell>
          <cell r="BB3595">
            <v>1</v>
          </cell>
        </row>
        <row r="3596">
          <cell r="A3596">
            <v>111026</v>
          </cell>
          <cell r="BB3596">
            <v>1</v>
          </cell>
        </row>
        <row r="3597">
          <cell r="A3597">
            <v>111027</v>
          </cell>
          <cell r="BB3597">
            <v>1</v>
          </cell>
        </row>
        <row r="3598">
          <cell r="A3598">
            <v>111028</v>
          </cell>
          <cell r="BB3598">
            <v>1</v>
          </cell>
        </row>
        <row r="3599">
          <cell r="A3599">
            <v>111029</v>
          </cell>
          <cell r="BB3599">
            <v>1</v>
          </cell>
        </row>
        <row r="3600">
          <cell r="A3600">
            <v>111030</v>
          </cell>
          <cell r="BB3600">
            <v>1</v>
          </cell>
        </row>
        <row r="3601">
          <cell r="A3601">
            <v>111031</v>
          </cell>
          <cell r="BB3601">
            <v>1</v>
          </cell>
        </row>
        <row r="3602">
          <cell r="A3602">
            <v>111032</v>
          </cell>
          <cell r="BB3602">
            <v>1</v>
          </cell>
        </row>
        <row r="3603">
          <cell r="A3603">
            <v>111033</v>
          </cell>
          <cell r="BB3603">
            <v>1</v>
          </cell>
        </row>
        <row r="3604">
          <cell r="A3604">
            <v>111034</v>
          </cell>
          <cell r="BB3604">
            <v>1</v>
          </cell>
        </row>
        <row r="3605">
          <cell r="A3605">
            <v>111035</v>
          </cell>
          <cell r="BB3605">
            <v>1</v>
          </cell>
        </row>
        <row r="3606">
          <cell r="A3606">
            <v>111036</v>
          </cell>
          <cell r="BB3606">
            <v>1</v>
          </cell>
        </row>
        <row r="3607">
          <cell r="A3607">
            <v>111037</v>
          </cell>
          <cell r="BB3607">
            <v>1</v>
          </cell>
        </row>
        <row r="3608">
          <cell r="A3608">
            <v>111038</v>
          </cell>
          <cell r="BB3608">
            <v>1</v>
          </cell>
        </row>
        <row r="3609">
          <cell r="A3609">
            <v>111039</v>
          </cell>
          <cell r="BB3609">
            <v>1</v>
          </cell>
        </row>
        <row r="3610">
          <cell r="A3610">
            <v>111040</v>
          </cell>
          <cell r="BB3610">
            <v>1</v>
          </cell>
        </row>
        <row r="3611">
          <cell r="A3611">
            <v>111041</v>
          </cell>
          <cell r="BB3611">
            <v>1</v>
          </cell>
        </row>
        <row r="3612">
          <cell r="A3612">
            <v>111042</v>
          </cell>
          <cell r="BB3612">
            <v>1</v>
          </cell>
        </row>
        <row r="3613">
          <cell r="A3613">
            <v>111043</v>
          </cell>
          <cell r="BB3613">
            <v>1</v>
          </cell>
        </row>
        <row r="3614">
          <cell r="A3614">
            <v>111044</v>
          </cell>
          <cell r="BB3614">
            <v>1</v>
          </cell>
        </row>
        <row r="3615">
          <cell r="A3615">
            <v>111045</v>
          </cell>
          <cell r="BB3615">
            <v>1</v>
          </cell>
        </row>
        <row r="3616">
          <cell r="A3616">
            <v>111046</v>
          </cell>
          <cell r="BB3616">
            <v>1</v>
          </cell>
        </row>
        <row r="3617">
          <cell r="A3617">
            <v>111047</v>
          </cell>
          <cell r="BB3617">
            <v>1</v>
          </cell>
        </row>
        <row r="3618">
          <cell r="A3618">
            <v>111048</v>
          </cell>
          <cell r="BB3618">
            <v>1</v>
          </cell>
        </row>
        <row r="3619">
          <cell r="A3619">
            <v>111049</v>
          </cell>
          <cell r="BB3619">
            <v>1</v>
          </cell>
        </row>
        <row r="3620">
          <cell r="A3620">
            <v>111050</v>
          </cell>
          <cell r="BB3620">
            <v>1</v>
          </cell>
        </row>
        <row r="3621">
          <cell r="A3621">
            <v>111051</v>
          </cell>
          <cell r="BB3621">
            <v>1</v>
          </cell>
        </row>
        <row r="3622">
          <cell r="A3622">
            <v>111052</v>
          </cell>
          <cell r="BB3622">
            <v>1</v>
          </cell>
        </row>
        <row r="3623">
          <cell r="A3623">
            <v>111053</v>
          </cell>
          <cell r="BB3623">
            <v>1</v>
          </cell>
        </row>
        <row r="3624">
          <cell r="A3624">
            <v>111054</v>
          </cell>
          <cell r="BB3624">
            <v>1</v>
          </cell>
        </row>
        <row r="3625">
          <cell r="A3625">
            <v>111055</v>
          </cell>
          <cell r="BB3625">
            <v>1</v>
          </cell>
        </row>
        <row r="3626">
          <cell r="A3626">
            <v>111056</v>
          </cell>
          <cell r="BB3626">
            <v>1</v>
          </cell>
        </row>
        <row r="3627">
          <cell r="A3627">
            <v>111057</v>
          </cell>
          <cell r="BB3627">
            <v>1</v>
          </cell>
        </row>
        <row r="3628">
          <cell r="A3628">
            <v>111058</v>
          </cell>
          <cell r="BB3628">
            <v>1</v>
          </cell>
        </row>
        <row r="3629">
          <cell r="A3629">
            <v>111059</v>
          </cell>
          <cell r="BB3629">
            <v>1</v>
          </cell>
        </row>
        <row r="3630">
          <cell r="A3630">
            <v>111060</v>
          </cell>
          <cell r="BB3630">
            <v>1</v>
          </cell>
        </row>
        <row r="3631">
          <cell r="A3631">
            <v>111061</v>
          </cell>
          <cell r="BB3631">
            <v>1</v>
          </cell>
        </row>
        <row r="3632">
          <cell r="A3632">
            <v>111062</v>
          </cell>
          <cell r="BB3632">
            <v>1</v>
          </cell>
        </row>
        <row r="3633">
          <cell r="A3633">
            <v>111063</v>
          </cell>
          <cell r="BB3633">
            <v>1</v>
          </cell>
        </row>
        <row r="3634">
          <cell r="A3634">
            <v>111064</v>
          </cell>
          <cell r="BB3634">
            <v>1</v>
          </cell>
        </row>
        <row r="3635">
          <cell r="A3635">
            <v>111065</v>
          </cell>
          <cell r="BB3635">
            <v>1</v>
          </cell>
        </row>
        <row r="3636">
          <cell r="A3636">
            <v>111066</v>
          </cell>
          <cell r="BB3636">
            <v>1</v>
          </cell>
        </row>
        <row r="3637">
          <cell r="A3637">
            <v>111067</v>
          </cell>
          <cell r="BB3637">
            <v>1</v>
          </cell>
        </row>
        <row r="3638">
          <cell r="A3638">
            <v>111068</v>
          </cell>
          <cell r="BB3638">
            <v>1</v>
          </cell>
        </row>
        <row r="3639">
          <cell r="A3639">
            <v>111069</v>
          </cell>
          <cell r="BB3639">
            <v>1</v>
          </cell>
        </row>
        <row r="3640">
          <cell r="A3640">
            <v>111070</v>
          </cell>
          <cell r="BB3640">
            <v>1</v>
          </cell>
        </row>
        <row r="3641">
          <cell r="A3641">
            <v>111071</v>
          </cell>
          <cell r="BB3641">
            <v>1</v>
          </cell>
        </row>
        <row r="3642">
          <cell r="A3642">
            <v>111072</v>
          </cell>
          <cell r="BB3642">
            <v>1</v>
          </cell>
        </row>
        <row r="3643">
          <cell r="A3643">
            <v>111073</v>
          </cell>
          <cell r="BB3643">
            <v>1</v>
          </cell>
        </row>
        <row r="3644">
          <cell r="A3644">
            <v>111074</v>
          </cell>
          <cell r="BB3644">
            <v>1</v>
          </cell>
        </row>
        <row r="3645">
          <cell r="A3645">
            <v>111075</v>
          </cell>
          <cell r="BB3645">
            <v>1</v>
          </cell>
        </row>
        <row r="3646">
          <cell r="A3646">
            <v>111076</v>
          </cell>
          <cell r="BB3646">
            <v>1</v>
          </cell>
        </row>
        <row r="3647">
          <cell r="A3647">
            <v>111077</v>
          </cell>
          <cell r="BB3647">
            <v>1</v>
          </cell>
        </row>
        <row r="3648">
          <cell r="A3648">
            <v>111078</v>
          </cell>
          <cell r="BB3648">
            <v>1</v>
          </cell>
        </row>
        <row r="3649">
          <cell r="A3649">
            <v>111079</v>
          </cell>
          <cell r="BB3649">
            <v>1</v>
          </cell>
        </row>
        <row r="3650">
          <cell r="A3650">
            <v>111080</v>
          </cell>
          <cell r="BB3650">
            <v>1</v>
          </cell>
        </row>
        <row r="3651">
          <cell r="A3651">
            <v>111081</v>
          </cell>
          <cell r="BB3651">
            <v>1</v>
          </cell>
        </row>
        <row r="3652">
          <cell r="A3652">
            <v>111082</v>
          </cell>
          <cell r="BB3652">
            <v>1</v>
          </cell>
        </row>
        <row r="3653">
          <cell r="A3653">
            <v>111083</v>
          </cell>
          <cell r="BB3653">
            <v>1</v>
          </cell>
        </row>
        <row r="3654">
          <cell r="A3654">
            <v>111084</v>
          </cell>
          <cell r="BB3654">
            <v>1</v>
          </cell>
        </row>
        <row r="3655">
          <cell r="A3655">
            <v>111085</v>
          </cell>
          <cell r="BB3655">
            <v>1</v>
          </cell>
        </row>
        <row r="3656">
          <cell r="A3656">
            <v>111086</v>
          </cell>
          <cell r="BB3656">
            <v>1</v>
          </cell>
        </row>
        <row r="3657">
          <cell r="A3657">
            <v>111087</v>
          </cell>
          <cell r="BB3657">
            <v>1</v>
          </cell>
        </row>
        <row r="3658">
          <cell r="A3658">
            <v>111088</v>
          </cell>
          <cell r="BB3658">
            <v>1</v>
          </cell>
        </row>
        <row r="3659">
          <cell r="A3659">
            <v>111089</v>
          </cell>
          <cell r="BB3659">
            <v>1</v>
          </cell>
        </row>
        <row r="3660">
          <cell r="A3660">
            <v>111090</v>
          </cell>
          <cell r="BB3660">
            <v>1</v>
          </cell>
        </row>
        <row r="3661">
          <cell r="A3661">
            <v>111091</v>
          </cell>
          <cell r="BB3661">
            <v>1</v>
          </cell>
        </row>
        <row r="3662">
          <cell r="A3662">
            <v>111092</v>
          </cell>
          <cell r="BB3662">
            <v>1</v>
          </cell>
        </row>
        <row r="3663">
          <cell r="A3663">
            <v>111093</v>
          </cell>
          <cell r="BB3663">
            <v>1</v>
          </cell>
        </row>
        <row r="3664">
          <cell r="A3664">
            <v>111094</v>
          </cell>
          <cell r="BB3664">
            <v>1</v>
          </cell>
        </row>
        <row r="3665">
          <cell r="A3665">
            <v>111095</v>
          </cell>
          <cell r="BB3665">
            <v>1</v>
          </cell>
        </row>
        <row r="3666">
          <cell r="A3666">
            <v>111096</v>
          </cell>
          <cell r="BB3666">
            <v>1</v>
          </cell>
        </row>
        <row r="3667">
          <cell r="A3667">
            <v>111097</v>
          </cell>
          <cell r="BB3667">
            <v>1</v>
          </cell>
        </row>
        <row r="3668">
          <cell r="A3668">
            <v>111098</v>
          </cell>
          <cell r="BB3668">
            <v>1</v>
          </cell>
        </row>
        <row r="3669">
          <cell r="A3669">
            <v>111099</v>
          </cell>
          <cell r="BB3669">
            <v>1</v>
          </cell>
        </row>
        <row r="3670">
          <cell r="A3670">
            <v>111100</v>
          </cell>
          <cell r="BB3670">
            <v>1</v>
          </cell>
        </row>
        <row r="3671">
          <cell r="A3671">
            <v>111101</v>
          </cell>
          <cell r="BB3671">
            <v>1</v>
          </cell>
        </row>
        <row r="3672">
          <cell r="A3672">
            <v>111102</v>
          </cell>
          <cell r="BB3672">
            <v>1</v>
          </cell>
        </row>
        <row r="3673">
          <cell r="A3673">
            <v>111103</v>
          </cell>
          <cell r="BB3673">
            <v>1</v>
          </cell>
        </row>
        <row r="3674">
          <cell r="A3674">
            <v>111104</v>
          </cell>
          <cell r="BB3674">
            <v>1</v>
          </cell>
        </row>
        <row r="3675">
          <cell r="A3675">
            <v>111105</v>
          </cell>
          <cell r="BB3675">
            <v>1</v>
          </cell>
        </row>
        <row r="3676">
          <cell r="A3676">
            <v>111106</v>
          </cell>
          <cell r="BB3676">
            <v>1</v>
          </cell>
        </row>
        <row r="3677">
          <cell r="A3677">
            <v>111107</v>
          </cell>
          <cell r="BB3677">
            <v>1</v>
          </cell>
        </row>
        <row r="3678">
          <cell r="A3678">
            <v>111108</v>
          </cell>
          <cell r="BB3678">
            <v>1</v>
          </cell>
        </row>
        <row r="3679">
          <cell r="A3679">
            <v>111109</v>
          </cell>
          <cell r="BB3679">
            <v>1</v>
          </cell>
        </row>
        <row r="3680">
          <cell r="A3680">
            <v>111110</v>
          </cell>
          <cell r="BB3680">
            <v>1</v>
          </cell>
        </row>
        <row r="3681">
          <cell r="A3681">
            <v>111111</v>
          </cell>
          <cell r="BB3681">
            <v>1</v>
          </cell>
        </row>
        <row r="3682">
          <cell r="A3682">
            <v>111112</v>
          </cell>
          <cell r="BB3682">
            <v>1</v>
          </cell>
        </row>
        <row r="3683">
          <cell r="A3683">
            <v>111113</v>
          </cell>
          <cell r="BB3683">
            <v>1</v>
          </cell>
        </row>
        <row r="3684">
          <cell r="A3684">
            <v>111114</v>
          </cell>
          <cell r="BB3684">
            <v>1</v>
          </cell>
        </row>
        <row r="3685">
          <cell r="A3685">
            <v>111115</v>
          </cell>
          <cell r="BB3685">
            <v>1</v>
          </cell>
        </row>
        <row r="3686">
          <cell r="A3686">
            <v>111116</v>
          </cell>
          <cell r="BB3686">
            <v>1</v>
          </cell>
        </row>
        <row r="3687">
          <cell r="A3687">
            <v>111117</v>
          </cell>
          <cell r="BB3687">
            <v>1</v>
          </cell>
        </row>
        <row r="3688">
          <cell r="A3688">
            <v>111118</v>
          </cell>
          <cell r="BB3688">
            <v>1</v>
          </cell>
        </row>
        <row r="3689">
          <cell r="A3689">
            <v>111119</v>
          </cell>
          <cell r="BB3689">
            <v>1</v>
          </cell>
        </row>
        <row r="3690">
          <cell r="A3690">
            <v>111120</v>
          </cell>
          <cell r="BB3690">
            <v>1</v>
          </cell>
        </row>
        <row r="3691">
          <cell r="A3691">
            <v>111121</v>
          </cell>
          <cell r="BB3691">
            <v>1</v>
          </cell>
        </row>
        <row r="3692">
          <cell r="A3692">
            <v>111122</v>
          </cell>
          <cell r="BB3692">
            <v>1</v>
          </cell>
        </row>
        <row r="3693">
          <cell r="A3693">
            <v>111123</v>
          </cell>
          <cell r="BB3693">
            <v>1</v>
          </cell>
        </row>
        <row r="3694">
          <cell r="A3694">
            <v>111124</v>
          </cell>
          <cell r="BB3694">
            <v>1</v>
          </cell>
        </row>
        <row r="3695">
          <cell r="A3695">
            <v>111125</v>
          </cell>
          <cell r="BB3695">
            <v>1</v>
          </cell>
        </row>
        <row r="3696">
          <cell r="A3696">
            <v>111126</v>
          </cell>
          <cell r="BB3696">
            <v>1</v>
          </cell>
        </row>
        <row r="3697">
          <cell r="A3697">
            <v>111127</v>
          </cell>
          <cell r="BB3697">
            <v>1</v>
          </cell>
        </row>
        <row r="3698">
          <cell r="A3698">
            <v>111128</v>
          </cell>
          <cell r="BB3698">
            <v>1</v>
          </cell>
        </row>
        <row r="3699">
          <cell r="A3699">
            <v>111129</v>
          </cell>
          <cell r="BB3699">
            <v>1</v>
          </cell>
        </row>
        <row r="3700">
          <cell r="A3700">
            <v>111130</v>
          </cell>
          <cell r="BB3700">
            <v>1</v>
          </cell>
        </row>
        <row r="3701">
          <cell r="A3701">
            <v>111131</v>
          </cell>
          <cell r="BB3701">
            <v>1</v>
          </cell>
        </row>
        <row r="3702">
          <cell r="A3702">
            <v>111132</v>
          </cell>
          <cell r="BB3702">
            <v>1</v>
          </cell>
        </row>
        <row r="3703">
          <cell r="A3703">
            <v>111133</v>
          </cell>
          <cell r="BB3703">
            <v>1</v>
          </cell>
        </row>
        <row r="3704">
          <cell r="A3704">
            <v>111134</v>
          </cell>
          <cell r="BB3704">
            <v>1</v>
          </cell>
        </row>
        <row r="3705">
          <cell r="A3705">
            <v>111135</v>
          </cell>
          <cell r="BB3705">
            <v>1</v>
          </cell>
        </row>
        <row r="3706">
          <cell r="A3706">
            <v>111136</v>
          </cell>
          <cell r="BB3706">
            <v>1</v>
          </cell>
        </row>
        <row r="3707">
          <cell r="A3707">
            <v>111137</v>
          </cell>
          <cell r="BB3707">
            <v>1</v>
          </cell>
        </row>
        <row r="3708">
          <cell r="A3708">
            <v>111138</v>
          </cell>
          <cell r="BB3708">
            <v>1</v>
          </cell>
        </row>
        <row r="3709">
          <cell r="A3709">
            <v>111139</v>
          </cell>
          <cell r="BB3709">
            <v>1</v>
          </cell>
        </row>
        <row r="3710">
          <cell r="A3710">
            <v>111140</v>
          </cell>
          <cell r="BB3710">
            <v>1</v>
          </cell>
        </row>
        <row r="3711">
          <cell r="A3711">
            <v>111141</v>
          </cell>
          <cell r="BB3711">
            <v>1</v>
          </cell>
        </row>
        <row r="3712">
          <cell r="A3712">
            <v>111142</v>
          </cell>
          <cell r="BB3712">
            <v>1</v>
          </cell>
        </row>
        <row r="3713">
          <cell r="A3713">
            <v>111143</v>
          </cell>
          <cell r="BB3713">
            <v>1</v>
          </cell>
        </row>
        <row r="3714">
          <cell r="A3714">
            <v>111144</v>
          </cell>
          <cell r="BB3714">
            <v>1</v>
          </cell>
        </row>
        <row r="3715">
          <cell r="A3715">
            <v>111145</v>
          </cell>
          <cell r="BB3715">
            <v>1</v>
          </cell>
        </row>
        <row r="3716">
          <cell r="A3716">
            <v>111146</v>
          </cell>
          <cell r="BB3716">
            <v>1</v>
          </cell>
        </row>
        <row r="3717">
          <cell r="A3717">
            <v>111147</v>
          </cell>
          <cell r="BB3717">
            <v>1</v>
          </cell>
        </row>
        <row r="3718">
          <cell r="A3718">
            <v>111148</v>
          </cell>
          <cell r="BB3718">
            <v>1</v>
          </cell>
        </row>
        <row r="3719">
          <cell r="A3719">
            <v>111149</v>
          </cell>
          <cell r="BB3719">
            <v>1</v>
          </cell>
        </row>
        <row r="3720">
          <cell r="A3720">
            <v>111150</v>
          </cell>
          <cell r="BB3720">
            <v>1</v>
          </cell>
        </row>
        <row r="3721">
          <cell r="A3721">
            <v>111151</v>
          </cell>
          <cell r="BB3721">
            <v>1</v>
          </cell>
        </row>
        <row r="3722">
          <cell r="A3722">
            <v>111152</v>
          </cell>
          <cell r="BB3722">
            <v>1</v>
          </cell>
        </row>
        <row r="3723">
          <cell r="A3723">
            <v>111153</v>
          </cell>
          <cell r="BB3723">
            <v>1</v>
          </cell>
        </row>
        <row r="3724">
          <cell r="A3724">
            <v>111154</v>
          </cell>
          <cell r="BB3724">
            <v>1</v>
          </cell>
        </row>
        <row r="3725">
          <cell r="A3725">
            <v>111155</v>
          </cell>
          <cell r="BB3725">
            <v>1</v>
          </cell>
        </row>
        <row r="3726">
          <cell r="A3726">
            <v>111156</v>
          </cell>
          <cell r="BB3726">
            <v>1</v>
          </cell>
        </row>
        <row r="3727">
          <cell r="A3727">
            <v>111157</v>
          </cell>
          <cell r="BB3727">
            <v>1</v>
          </cell>
        </row>
        <row r="3728">
          <cell r="A3728">
            <v>111158</v>
          </cell>
          <cell r="BB3728">
            <v>1</v>
          </cell>
        </row>
        <row r="3729">
          <cell r="A3729">
            <v>111159</v>
          </cell>
          <cell r="BB3729">
            <v>1</v>
          </cell>
        </row>
        <row r="3730">
          <cell r="A3730">
            <v>111160</v>
          </cell>
          <cell r="BB3730">
            <v>1</v>
          </cell>
        </row>
        <row r="3731">
          <cell r="A3731">
            <v>111161</v>
          </cell>
          <cell r="BB3731">
            <v>1</v>
          </cell>
        </row>
        <row r="3732">
          <cell r="A3732">
            <v>111162</v>
          </cell>
          <cell r="BB3732">
            <v>1</v>
          </cell>
        </row>
        <row r="3733">
          <cell r="A3733">
            <v>111163</v>
          </cell>
          <cell r="BB3733">
            <v>1</v>
          </cell>
        </row>
        <row r="3734">
          <cell r="A3734">
            <v>111164</v>
          </cell>
          <cell r="BB3734">
            <v>1</v>
          </cell>
        </row>
        <row r="3735">
          <cell r="A3735">
            <v>111165</v>
          </cell>
          <cell r="BB3735">
            <v>1</v>
          </cell>
        </row>
        <row r="3736">
          <cell r="A3736">
            <v>111166</v>
          </cell>
          <cell r="BB3736">
            <v>1</v>
          </cell>
        </row>
        <row r="3737">
          <cell r="A3737">
            <v>111167</v>
          </cell>
          <cell r="BB3737">
            <v>1</v>
          </cell>
        </row>
        <row r="3738">
          <cell r="A3738">
            <v>111168</v>
          </cell>
          <cell r="BB3738">
            <v>1</v>
          </cell>
        </row>
        <row r="3739">
          <cell r="A3739">
            <v>111169</v>
          </cell>
          <cell r="BB3739">
            <v>1</v>
          </cell>
        </row>
        <row r="3740">
          <cell r="A3740">
            <v>111170</v>
          </cell>
          <cell r="BB3740">
            <v>1</v>
          </cell>
        </row>
        <row r="3741">
          <cell r="A3741">
            <v>111171</v>
          </cell>
          <cell r="BB3741">
            <v>1</v>
          </cell>
        </row>
        <row r="3742">
          <cell r="A3742">
            <v>111172</v>
          </cell>
          <cell r="BB3742">
            <v>1</v>
          </cell>
        </row>
        <row r="3743">
          <cell r="A3743">
            <v>111173</v>
          </cell>
          <cell r="BB3743">
            <v>1</v>
          </cell>
        </row>
        <row r="3744">
          <cell r="A3744">
            <v>111174</v>
          </cell>
          <cell r="BB3744">
            <v>1</v>
          </cell>
        </row>
        <row r="3745">
          <cell r="A3745">
            <v>111175</v>
          </cell>
          <cell r="BB3745">
            <v>1</v>
          </cell>
        </row>
        <row r="3746">
          <cell r="A3746">
            <v>111176</v>
          </cell>
          <cell r="BB3746">
            <v>1</v>
          </cell>
        </row>
        <row r="3747">
          <cell r="A3747">
            <v>111177</v>
          </cell>
          <cell r="BB3747">
            <v>1</v>
          </cell>
        </row>
        <row r="3748">
          <cell r="A3748">
            <v>111178</v>
          </cell>
          <cell r="BB3748">
            <v>1</v>
          </cell>
        </row>
        <row r="3749">
          <cell r="A3749">
            <v>111179</v>
          </cell>
          <cell r="BB3749">
            <v>1</v>
          </cell>
        </row>
        <row r="3750">
          <cell r="A3750">
            <v>111180</v>
          </cell>
          <cell r="BB3750">
            <v>1</v>
          </cell>
        </row>
        <row r="3751">
          <cell r="A3751">
            <v>111181</v>
          </cell>
          <cell r="BB3751">
            <v>1</v>
          </cell>
        </row>
        <row r="3752">
          <cell r="A3752">
            <v>111182</v>
          </cell>
          <cell r="BB3752">
            <v>1</v>
          </cell>
        </row>
        <row r="3753">
          <cell r="A3753">
            <v>111183</v>
          </cell>
          <cell r="BB3753">
            <v>1</v>
          </cell>
        </row>
        <row r="3754">
          <cell r="A3754">
            <v>111184</v>
          </cell>
          <cell r="BB3754">
            <v>1</v>
          </cell>
        </row>
        <row r="3755">
          <cell r="A3755">
            <v>111185</v>
          </cell>
          <cell r="BB3755">
            <v>1</v>
          </cell>
        </row>
        <row r="3756">
          <cell r="A3756">
            <v>111186</v>
          </cell>
          <cell r="BB3756">
            <v>1</v>
          </cell>
        </row>
        <row r="3757">
          <cell r="A3757">
            <v>111187</v>
          </cell>
          <cell r="BB3757">
            <v>1</v>
          </cell>
        </row>
        <row r="3758">
          <cell r="A3758">
            <v>111188</v>
          </cell>
          <cell r="BB3758">
            <v>1</v>
          </cell>
        </row>
        <row r="3759">
          <cell r="A3759">
            <v>111189</v>
          </cell>
          <cell r="BB3759">
            <v>1</v>
          </cell>
        </row>
        <row r="3760">
          <cell r="A3760">
            <v>111190</v>
          </cell>
          <cell r="BB3760">
            <v>1</v>
          </cell>
        </row>
        <row r="3761">
          <cell r="A3761">
            <v>111191</v>
          </cell>
          <cell r="BB3761">
            <v>1</v>
          </cell>
        </row>
        <row r="3762">
          <cell r="A3762">
            <v>111192</v>
          </cell>
          <cell r="BB3762">
            <v>1</v>
          </cell>
        </row>
        <row r="3763">
          <cell r="A3763">
            <v>111193</v>
          </cell>
          <cell r="BB3763">
            <v>1</v>
          </cell>
        </row>
        <row r="3764">
          <cell r="A3764">
            <v>111194</v>
          </cell>
          <cell r="BB3764">
            <v>1</v>
          </cell>
        </row>
        <row r="3765">
          <cell r="A3765">
            <v>111195</v>
          </cell>
          <cell r="BB3765">
            <v>1</v>
          </cell>
        </row>
        <row r="3766">
          <cell r="A3766">
            <v>111196</v>
          </cell>
          <cell r="BB3766">
            <v>1</v>
          </cell>
        </row>
        <row r="3767">
          <cell r="A3767">
            <v>111197</v>
          </cell>
          <cell r="BB3767">
            <v>1</v>
          </cell>
        </row>
        <row r="3768">
          <cell r="A3768">
            <v>111198</v>
          </cell>
          <cell r="BB3768">
            <v>1</v>
          </cell>
        </row>
        <row r="3769">
          <cell r="A3769">
            <v>111199</v>
          </cell>
          <cell r="BB3769">
            <v>1</v>
          </cell>
        </row>
        <row r="3770">
          <cell r="A3770">
            <v>111200</v>
          </cell>
          <cell r="BB3770">
            <v>1</v>
          </cell>
        </row>
        <row r="3771">
          <cell r="A3771">
            <v>111201</v>
          </cell>
          <cell r="BB3771">
            <v>1</v>
          </cell>
        </row>
        <row r="3772">
          <cell r="A3772">
            <v>111202</v>
          </cell>
          <cell r="BB3772">
            <v>1</v>
          </cell>
        </row>
        <row r="3773">
          <cell r="A3773">
            <v>111203</v>
          </cell>
          <cell r="BB3773">
            <v>1</v>
          </cell>
        </row>
        <row r="3774">
          <cell r="A3774">
            <v>111204</v>
          </cell>
          <cell r="BB3774">
            <v>1</v>
          </cell>
        </row>
        <row r="3775">
          <cell r="A3775">
            <v>111205</v>
          </cell>
          <cell r="BB3775">
            <v>1</v>
          </cell>
        </row>
        <row r="3776">
          <cell r="A3776">
            <v>111206</v>
          </cell>
          <cell r="BB3776">
            <v>1</v>
          </cell>
        </row>
        <row r="3777">
          <cell r="A3777">
            <v>111207</v>
          </cell>
          <cell r="BB3777">
            <v>1</v>
          </cell>
        </row>
        <row r="3778">
          <cell r="A3778">
            <v>111208</v>
          </cell>
          <cell r="BB3778">
            <v>1</v>
          </cell>
        </row>
        <row r="3779">
          <cell r="A3779">
            <v>111209</v>
          </cell>
          <cell r="BB3779">
            <v>1</v>
          </cell>
        </row>
        <row r="3780">
          <cell r="A3780">
            <v>111210</v>
          </cell>
          <cell r="BB3780">
            <v>1</v>
          </cell>
        </row>
        <row r="3781">
          <cell r="A3781">
            <v>111211</v>
          </cell>
          <cell r="BB3781">
            <v>1</v>
          </cell>
        </row>
        <row r="3782">
          <cell r="A3782">
            <v>111212</v>
          </cell>
          <cell r="BB3782">
            <v>1</v>
          </cell>
        </row>
        <row r="3783">
          <cell r="A3783">
            <v>111213</v>
          </cell>
          <cell r="BB3783">
            <v>1</v>
          </cell>
        </row>
        <row r="3784">
          <cell r="A3784">
            <v>111214</v>
          </cell>
          <cell r="BB3784">
            <v>1</v>
          </cell>
        </row>
        <row r="3785">
          <cell r="A3785">
            <v>111215</v>
          </cell>
          <cell r="BB3785">
            <v>1</v>
          </cell>
        </row>
        <row r="3786">
          <cell r="A3786">
            <v>111216</v>
          </cell>
          <cell r="BB3786">
            <v>1</v>
          </cell>
        </row>
        <row r="3787">
          <cell r="A3787">
            <v>111217</v>
          </cell>
          <cell r="BB3787">
            <v>1</v>
          </cell>
        </row>
        <row r="3788">
          <cell r="A3788">
            <v>111218</v>
          </cell>
          <cell r="BB3788">
            <v>1</v>
          </cell>
        </row>
        <row r="3789">
          <cell r="A3789">
            <v>111219</v>
          </cell>
          <cell r="BB3789">
            <v>1</v>
          </cell>
        </row>
        <row r="3790">
          <cell r="A3790">
            <v>111220</v>
          </cell>
          <cell r="BB3790">
            <v>1</v>
          </cell>
        </row>
        <row r="3791">
          <cell r="A3791">
            <v>111221</v>
          </cell>
          <cell r="BB3791">
            <v>1</v>
          </cell>
        </row>
        <row r="3792">
          <cell r="A3792">
            <v>111222</v>
          </cell>
          <cell r="BB3792">
            <v>1</v>
          </cell>
        </row>
        <row r="3793">
          <cell r="A3793">
            <v>111223</v>
          </cell>
          <cell r="BB3793">
            <v>1</v>
          </cell>
        </row>
        <row r="3794">
          <cell r="A3794">
            <v>111224</v>
          </cell>
          <cell r="BB3794">
            <v>1</v>
          </cell>
        </row>
        <row r="3795">
          <cell r="A3795">
            <v>111225</v>
          </cell>
          <cell r="BB3795">
            <v>1</v>
          </cell>
        </row>
        <row r="3796">
          <cell r="A3796">
            <v>111226</v>
          </cell>
          <cell r="BB3796">
            <v>1</v>
          </cell>
        </row>
        <row r="3797">
          <cell r="A3797">
            <v>111227</v>
          </cell>
          <cell r="BB3797">
            <v>1</v>
          </cell>
        </row>
        <row r="3798">
          <cell r="A3798">
            <v>111228</v>
          </cell>
          <cell r="BB3798">
            <v>1</v>
          </cell>
        </row>
        <row r="3799">
          <cell r="A3799">
            <v>111229</v>
          </cell>
          <cell r="BB3799">
            <v>1</v>
          </cell>
        </row>
        <row r="3800">
          <cell r="A3800">
            <v>111230</v>
          </cell>
          <cell r="BB3800">
            <v>1</v>
          </cell>
        </row>
        <row r="3801">
          <cell r="A3801">
            <v>111231</v>
          </cell>
          <cell r="BB3801">
            <v>1</v>
          </cell>
        </row>
        <row r="3802">
          <cell r="A3802">
            <v>111232</v>
          </cell>
          <cell r="BB3802">
            <v>1</v>
          </cell>
        </row>
        <row r="3803">
          <cell r="A3803">
            <v>111233</v>
          </cell>
          <cell r="BB3803">
            <v>1</v>
          </cell>
        </row>
        <row r="3804">
          <cell r="A3804">
            <v>111234</v>
          </cell>
          <cell r="BB3804">
            <v>1</v>
          </cell>
        </row>
        <row r="3805">
          <cell r="A3805">
            <v>111235</v>
          </cell>
          <cell r="BB3805">
            <v>1</v>
          </cell>
        </row>
        <row r="3806">
          <cell r="A3806">
            <v>111236</v>
          </cell>
          <cell r="BB3806">
            <v>1</v>
          </cell>
        </row>
        <row r="3807">
          <cell r="A3807">
            <v>111237</v>
          </cell>
          <cell r="BB3807">
            <v>1</v>
          </cell>
        </row>
        <row r="3808">
          <cell r="A3808">
            <v>111238</v>
          </cell>
          <cell r="BB3808">
            <v>1</v>
          </cell>
        </row>
        <row r="3809">
          <cell r="A3809">
            <v>111239</v>
          </cell>
          <cell r="BB3809">
            <v>1</v>
          </cell>
        </row>
        <row r="3810">
          <cell r="A3810">
            <v>111240</v>
          </cell>
          <cell r="BB3810">
            <v>1</v>
          </cell>
        </row>
        <row r="3811">
          <cell r="A3811">
            <v>111241</v>
          </cell>
          <cell r="BB3811">
            <v>1</v>
          </cell>
        </row>
        <row r="3812">
          <cell r="A3812">
            <v>111242</v>
          </cell>
          <cell r="BB3812">
            <v>1</v>
          </cell>
        </row>
        <row r="3813">
          <cell r="A3813">
            <v>111243</v>
          </cell>
          <cell r="BB3813">
            <v>1</v>
          </cell>
        </row>
        <row r="3814">
          <cell r="A3814">
            <v>111244</v>
          </cell>
          <cell r="BB3814">
            <v>1</v>
          </cell>
        </row>
        <row r="3815">
          <cell r="A3815">
            <v>111245</v>
          </cell>
          <cell r="BB3815">
            <v>1</v>
          </cell>
        </row>
        <row r="3816">
          <cell r="A3816">
            <v>111246</v>
          </cell>
          <cell r="BB3816">
            <v>1</v>
          </cell>
        </row>
        <row r="3817">
          <cell r="A3817">
            <v>111247</v>
          </cell>
          <cell r="BB3817">
            <v>1</v>
          </cell>
        </row>
        <row r="3818">
          <cell r="A3818">
            <v>111248</v>
          </cell>
          <cell r="BB3818">
            <v>1</v>
          </cell>
        </row>
        <row r="3819">
          <cell r="A3819">
            <v>111249</v>
          </cell>
          <cell r="BB3819">
            <v>1</v>
          </cell>
        </row>
        <row r="3820">
          <cell r="A3820">
            <v>111250</v>
          </cell>
          <cell r="BB3820">
            <v>1</v>
          </cell>
        </row>
        <row r="3821">
          <cell r="A3821">
            <v>111251</v>
          </cell>
          <cell r="BB3821">
            <v>1</v>
          </cell>
        </row>
        <row r="3822">
          <cell r="A3822">
            <v>111252</v>
          </cell>
          <cell r="BB3822">
            <v>1</v>
          </cell>
        </row>
        <row r="3823">
          <cell r="A3823">
            <v>111253</v>
          </cell>
          <cell r="BB3823">
            <v>1</v>
          </cell>
        </row>
        <row r="3824">
          <cell r="A3824">
            <v>111254</v>
          </cell>
          <cell r="BB3824">
            <v>1</v>
          </cell>
        </row>
        <row r="3825">
          <cell r="A3825">
            <v>111255</v>
          </cell>
          <cell r="BB3825">
            <v>1</v>
          </cell>
        </row>
        <row r="3826">
          <cell r="A3826">
            <v>111256</v>
          </cell>
          <cell r="BB3826">
            <v>1</v>
          </cell>
        </row>
        <row r="3827">
          <cell r="A3827">
            <v>111257</v>
          </cell>
          <cell r="BB3827">
            <v>1</v>
          </cell>
        </row>
        <row r="3828">
          <cell r="A3828">
            <v>111258</v>
          </cell>
          <cell r="BB3828">
            <v>1</v>
          </cell>
        </row>
        <row r="3829">
          <cell r="A3829">
            <v>111259</v>
          </cell>
          <cell r="BB3829">
            <v>1</v>
          </cell>
        </row>
        <row r="3830">
          <cell r="A3830">
            <v>111260</v>
          </cell>
          <cell r="BB3830">
            <v>1</v>
          </cell>
        </row>
        <row r="3831">
          <cell r="A3831">
            <v>111261</v>
          </cell>
          <cell r="BB3831">
            <v>1</v>
          </cell>
        </row>
        <row r="3832">
          <cell r="A3832">
            <v>111262</v>
          </cell>
          <cell r="BB3832">
            <v>1</v>
          </cell>
        </row>
        <row r="3833">
          <cell r="A3833">
            <v>111263</v>
          </cell>
          <cell r="BB3833">
            <v>1</v>
          </cell>
        </row>
        <row r="3834">
          <cell r="A3834">
            <v>111264</v>
          </cell>
          <cell r="BB3834">
            <v>1</v>
          </cell>
        </row>
        <row r="3835">
          <cell r="A3835">
            <v>111265</v>
          </cell>
          <cell r="BB3835">
            <v>1</v>
          </cell>
        </row>
        <row r="3836">
          <cell r="A3836">
            <v>111266</v>
          </cell>
          <cell r="BB3836">
            <v>1</v>
          </cell>
        </row>
        <row r="3837">
          <cell r="A3837">
            <v>111267</v>
          </cell>
          <cell r="BB3837">
            <v>1</v>
          </cell>
        </row>
        <row r="3838">
          <cell r="A3838">
            <v>111268</v>
          </cell>
          <cell r="BB3838">
            <v>1</v>
          </cell>
        </row>
        <row r="3839">
          <cell r="A3839">
            <v>111269</v>
          </cell>
          <cell r="BB3839">
            <v>1</v>
          </cell>
        </row>
        <row r="3840">
          <cell r="A3840">
            <v>111270</v>
          </cell>
          <cell r="BB3840">
            <v>1</v>
          </cell>
        </row>
        <row r="3841">
          <cell r="A3841">
            <v>111271</v>
          </cell>
          <cell r="BB3841">
            <v>1</v>
          </cell>
        </row>
        <row r="3842">
          <cell r="A3842">
            <v>111272</v>
          </cell>
          <cell r="BB3842">
            <v>1</v>
          </cell>
        </row>
        <row r="3843">
          <cell r="A3843">
            <v>111273</v>
          </cell>
          <cell r="BB3843">
            <v>1</v>
          </cell>
        </row>
        <row r="3844">
          <cell r="A3844">
            <v>111274</v>
          </cell>
          <cell r="BB3844">
            <v>1</v>
          </cell>
        </row>
        <row r="3845">
          <cell r="A3845">
            <v>111275</v>
          </cell>
          <cell r="BB3845">
            <v>1</v>
          </cell>
        </row>
        <row r="3846">
          <cell r="A3846">
            <v>111276</v>
          </cell>
          <cell r="BB3846">
            <v>1</v>
          </cell>
        </row>
        <row r="3847">
          <cell r="A3847">
            <v>111277</v>
          </cell>
          <cell r="BB3847">
            <v>1</v>
          </cell>
        </row>
        <row r="3848">
          <cell r="A3848">
            <v>111278</v>
          </cell>
          <cell r="BB3848">
            <v>1</v>
          </cell>
        </row>
        <row r="3849">
          <cell r="A3849">
            <v>111279</v>
          </cell>
          <cell r="BB3849">
            <v>1</v>
          </cell>
        </row>
        <row r="3850">
          <cell r="A3850">
            <v>111280</v>
          </cell>
          <cell r="BB3850">
            <v>1</v>
          </cell>
        </row>
        <row r="3851">
          <cell r="A3851">
            <v>111281</v>
          </cell>
          <cell r="BB3851">
            <v>1</v>
          </cell>
        </row>
        <row r="3852">
          <cell r="A3852">
            <v>111282</v>
          </cell>
          <cell r="BB3852">
            <v>1</v>
          </cell>
        </row>
        <row r="3853">
          <cell r="A3853">
            <v>111283</v>
          </cell>
          <cell r="BB3853">
            <v>1</v>
          </cell>
        </row>
        <row r="3854">
          <cell r="A3854">
            <v>111284</v>
          </cell>
          <cell r="BB3854">
            <v>1</v>
          </cell>
        </row>
        <row r="3855">
          <cell r="A3855">
            <v>111285</v>
          </cell>
          <cell r="BB3855">
            <v>1</v>
          </cell>
        </row>
        <row r="3856">
          <cell r="A3856">
            <v>111286</v>
          </cell>
          <cell r="BB3856">
            <v>1</v>
          </cell>
        </row>
        <row r="3857">
          <cell r="A3857">
            <v>111287</v>
          </cell>
          <cell r="BB3857">
            <v>1</v>
          </cell>
        </row>
        <row r="3858">
          <cell r="A3858">
            <v>111288</v>
          </cell>
          <cell r="BB3858">
            <v>1</v>
          </cell>
        </row>
        <row r="3859">
          <cell r="A3859">
            <v>111289</v>
          </cell>
          <cell r="BB3859">
            <v>1</v>
          </cell>
        </row>
        <row r="3860">
          <cell r="A3860">
            <v>111290</v>
          </cell>
          <cell r="BB3860">
            <v>1</v>
          </cell>
        </row>
        <row r="3861">
          <cell r="A3861">
            <v>111291</v>
          </cell>
          <cell r="BB3861">
            <v>1</v>
          </cell>
        </row>
        <row r="3862">
          <cell r="A3862">
            <v>111292</v>
          </cell>
          <cell r="BB3862">
            <v>1</v>
          </cell>
        </row>
        <row r="3863">
          <cell r="A3863">
            <v>111293</v>
          </cell>
          <cell r="BB3863">
            <v>1</v>
          </cell>
        </row>
        <row r="3864">
          <cell r="A3864">
            <v>111294</v>
          </cell>
          <cell r="BB3864">
            <v>1</v>
          </cell>
        </row>
        <row r="3865">
          <cell r="A3865">
            <v>111295</v>
          </cell>
          <cell r="BB3865">
            <v>1</v>
          </cell>
        </row>
        <row r="3866">
          <cell r="A3866">
            <v>111296</v>
          </cell>
          <cell r="BB3866">
            <v>1</v>
          </cell>
        </row>
        <row r="3867">
          <cell r="A3867">
            <v>111297</v>
          </cell>
          <cell r="BB3867">
            <v>1</v>
          </cell>
        </row>
        <row r="3868">
          <cell r="A3868">
            <v>111298</v>
          </cell>
          <cell r="BB3868">
            <v>1</v>
          </cell>
        </row>
        <row r="3869">
          <cell r="A3869">
            <v>111299</v>
          </cell>
          <cell r="BB3869">
            <v>1</v>
          </cell>
        </row>
        <row r="3870">
          <cell r="A3870">
            <v>111300</v>
          </cell>
          <cell r="BB3870">
            <v>1</v>
          </cell>
        </row>
        <row r="3871">
          <cell r="A3871">
            <v>111301</v>
          </cell>
          <cell r="BB3871">
            <v>1</v>
          </cell>
        </row>
        <row r="3872">
          <cell r="A3872">
            <v>111302</v>
          </cell>
          <cell r="BB3872">
            <v>1</v>
          </cell>
        </row>
        <row r="3873">
          <cell r="A3873">
            <v>111303</v>
          </cell>
          <cell r="BB3873">
            <v>1</v>
          </cell>
        </row>
        <row r="3874">
          <cell r="A3874">
            <v>111304</v>
          </cell>
          <cell r="BB3874">
            <v>1</v>
          </cell>
        </row>
        <row r="3875">
          <cell r="A3875">
            <v>111305</v>
          </cell>
          <cell r="BB3875">
            <v>1</v>
          </cell>
        </row>
        <row r="3876">
          <cell r="A3876">
            <v>111306</v>
          </cell>
          <cell r="BB3876">
            <v>1</v>
          </cell>
        </row>
        <row r="3877">
          <cell r="A3877">
            <v>111307</v>
          </cell>
          <cell r="BB3877">
            <v>1</v>
          </cell>
        </row>
        <row r="3878">
          <cell r="A3878">
            <v>111308</v>
          </cell>
          <cell r="BB3878">
            <v>1</v>
          </cell>
        </row>
        <row r="3879">
          <cell r="A3879">
            <v>111309</v>
          </cell>
          <cell r="BB3879">
            <v>1</v>
          </cell>
        </row>
        <row r="3880">
          <cell r="A3880">
            <v>111310</v>
          </cell>
          <cell r="BB3880">
            <v>1</v>
          </cell>
        </row>
        <row r="3881">
          <cell r="A3881">
            <v>111311</v>
          </cell>
          <cell r="BB3881">
            <v>1</v>
          </cell>
        </row>
        <row r="3882">
          <cell r="A3882">
            <v>111312</v>
          </cell>
          <cell r="BB3882">
            <v>1</v>
          </cell>
        </row>
        <row r="3883">
          <cell r="A3883">
            <v>111313</v>
          </cell>
          <cell r="BB3883">
            <v>1</v>
          </cell>
        </row>
        <row r="3884">
          <cell r="A3884">
            <v>111314</v>
          </cell>
          <cell r="BB3884">
            <v>1</v>
          </cell>
        </row>
        <row r="3885">
          <cell r="A3885">
            <v>111315</v>
          </cell>
          <cell r="BB3885">
            <v>1</v>
          </cell>
        </row>
        <row r="3886">
          <cell r="A3886">
            <v>111316</v>
          </cell>
          <cell r="BB3886">
            <v>1</v>
          </cell>
        </row>
        <row r="3887">
          <cell r="A3887">
            <v>111317</v>
          </cell>
          <cell r="BB3887">
            <v>1</v>
          </cell>
        </row>
        <row r="3888">
          <cell r="A3888">
            <v>111318</v>
          </cell>
          <cell r="BB3888">
            <v>1</v>
          </cell>
        </row>
        <row r="3889">
          <cell r="A3889">
            <v>111319</v>
          </cell>
          <cell r="BB3889">
            <v>1</v>
          </cell>
        </row>
        <row r="3890">
          <cell r="A3890">
            <v>111320</v>
          </cell>
          <cell r="BB3890">
            <v>1</v>
          </cell>
        </row>
        <row r="3891">
          <cell r="A3891">
            <v>111321</v>
          </cell>
          <cell r="BB3891">
            <v>1</v>
          </cell>
        </row>
        <row r="3892">
          <cell r="A3892">
            <v>111322</v>
          </cell>
          <cell r="BB3892">
            <v>1</v>
          </cell>
        </row>
        <row r="3893">
          <cell r="A3893">
            <v>111323</v>
          </cell>
          <cell r="BB3893">
            <v>1</v>
          </cell>
        </row>
        <row r="3894">
          <cell r="A3894">
            <v>111324</v>
          </cell>
          <cell r="BB3894">
            <v>1</v>
          </cell>
        </row>
        <row r="3895">
          <cell r="A3895">
            <v>111325</v>
          </cell>
          <cell r="BB3895">
            <v>1</v>
          </cell>
        </row>
        <row r="3896">
          <cell r="A3896">
            <v>111326</v>
          </cell>
          <cell r="BB3896">
            <v>1</v>
          </cell>
        </row>
        <row r="3897">
          <cell r="A3897">
            <v>111327</v>
          </cell>
          <cell r="BB3897">
            <v>1</v>
          </cell>
        </row>
        <row r="3898">
          <cell r="A3898">
            <v>111328</v>
          </cell>
          <cell r="BB3898">
            <v>1</v>
          </cell>
        </row>
        <row r="3899">
          <cell r="A3899">
            <v>111329</v>
          </cell>
          <cell r="BB3899">
            <v>1</v>
          </cell>
        </row>
        <row r="3900">
          <cell r="A3900">
            <v>111330</v>
          </cell>
          <cell r="BB3900">
            <v>1</v>
          </cell>
        </row>
        <row r="3901">
          <cell r="A3901">
            <v>111331</v>
          </cell>
          <cell r="BB3901">
            <v>1</v>
          </cell>
        </row>
        <row r="3902">
          <cell r="A3902">
            <v>111332</v>
          </cell>
          <cell r="BB3902">
            <v>1</v>
          </cell>
        </row>
        <row r="3903">
          <cell r="A3903">
            <v>111333</v>
          </cell>
          <cell r="BB3903">
            <v>1</v>
          </cell>
        </row>
        <row r="3904">
          <cell r="A3904">
            <v>111334</v>
          </cell>
          <cell r="BB3904">
            <v>1</v>
          </cell>
        </row>
        <row r="3905">
          <cell r="A3905">
            <v>111335</v>
          </cell>
          <cell r="BB3905">
            <v>1</v>
          </cell>
        </row>
        <row r="3906">
          <cell r="A3906">
            <v>111336</v>
          </cell>
          <cell r="BB3906">
            <v>1</v>
          </cell>
        </row>
        <row r="3907">
          <cell r="A3907">
            <v>111337</v>
          </cell>
          <cell r="BB3907">
            <v>1</v>
          </cell>
        </row>
        <row r="3908">
          <cell r="A3908">
            <v>111338</v>
          </cell>
          <cell r="BB3908">
            <v>1</v>
          </cell>
        </row>
        <row r="3909">
          <cell r="A3909">
            <v>111339</v>
          </cell>
          <cell r="BB3909">
            <v>1</v>
          </cell>
        </row>
        <row r="3910">
          <cell r="A3910">
            <v>111340</v>
          </cell>
          <cell r="BB3910">
            <v>1</v>
          </cell>
        </row>
        <row r="3911">
          <cell r="A3911">
            <v>111341</v>
          </cell>
          <cell r="BB3911">
            <v>1</v>
          </cell>
        </row>
        <row r="3912">
          <cell r="A3912">
            <v>111342</v>
          </cell>
          <cell r="BB3912">
            <v>1</v>
          </cell>
        </row>
        <row r="3913">
          <cell r="A3913">
            <v>111343</v>
          </cell>
          <cell r="BB3913">
            <v>1</v>
          </cell>
        </row>
        <row r="3914">
          <cell r="A3914">
            <v>111344</v>
          </cell>
          <cell r="BB3914">
            <v>1</v>
          </cell>
        </row>
        <row r="3915">
          <cell r="A3915">
            <v>111345</v>
          </cell>
          <cell r="BB3915">
            <v>1</v>
          </cell>
        </row>
        <row r="3916">
          <cell r="A3916">
            <v>111346</v>
          </cell>
          <cell r="BB3916">
            <v>1</v>
          </cell>
        </row>
        <row r="3917">
          <cell r="A3917">
            <v>111347</v>
          </cell>
          <cell r="BB3917">
            <v>1</v>
          </cell>
        </row>
        <row r="3918">
          <cell r="A3918">
            <v>111348</v>
          </cell>
          <cell r="BB3918">
            <v>1</v>
          </cell>
        </row>
        <row r="3919">
          <cell r="A3919">
            <v>111349</v>
          </cell>
          <cell r="BB3919">
            <v>1</v>
          </cell>
        </row>
        <row r="3920">
          <cell r="A3920">
            <v>111350</v>
          </cell>
          <cell r="BB3920">
            <v>1</v>
          </cell>
        </row>
        <row r="3921">
          <cell r="A3921">
            <v>111351</v>
          </cell>
          <cell r="BB3921">
            <v>1</v>
          </cell>
        </row>
        <row r="3922">
          <cell r="A3922">
            <v>111352</v>
          </cell>
          <cell r="BB3922">
            <v>1</v>
          </cell>
        </row>
        <row r="3923">
          <cell r="A3923">
            <v>111353</v>
          </cell>
          <cell r="BB3923">
            <v>1</v>
          </cell>
        </row>
        <row r="3924">
          <cell r="A3924">
            <v>111354</v>
          </cell>
          <cell r="BB3924">
            <v>1</v>
          </cell>
        </row>
        <row r="3925">
          <cell r="A3925">
            <v>111355</v>
          </cell>
          <cell r="BB3925">
            <v>1</v>
          </cell>
        </row>
        <row r="3926">
          <cell r="A3926">
            <v>111356</v>
          </cell>
          <cell r="BB3926">
            <v>1</v>
          </cell>
        </row>
        <row r="3927">
          <cell r="A3927">
            <v>111357</v>
          </cell>
          <cell r="BB3927">
            <v>1</v>
          </cell>
        </row>
        <row r="3928">
          <cell r="A3928">
            <v>111358</v>
          </cell>
          <cell r="BB3928">
            <v>1</v>
          </cell>
        </row>
        <row r="3929">
          <cell r="A3929">
            <v>111359</v>
          </cell>
          <cell r="BB3929">
            <v>1</v>
          </cell>
        </row>
        <row r="3930">
          <cell r="A3930">
            <v>111360</v>
          </cell>
          <cell r="BB3930">
            <v>1</v>
          </cell>
        </row>
        <row r="3931">
          <cell r="A3931">
            <v>111361</v>
          </cell>
          <cell r="BB3931">
            <v>1</v>
          </cell>
        </row>
        <row r="3932">
          <cell r="A3932">
            <v>111362</v>
          </cell>
          <cell r="BB3932">
            <v>1</v>
          </cell>
        </row>
        <row r="3933">
          <cell r="A3933">
            <v>111363</v>
          </cell>
          <cell r="BB3933">
            <v>1</v>
          </cell>
        </row>
        <row r="3934">
          <cell r="A3934">
            <v>111364</v>
          </cell>
          <cell r="BB3934">
            <v>1</v>
          </cell>
        </row>
        <row r="3935">
          <cell r="A3935">
            <v>111365</v>
          </cell>
          <cell r="BB3935">
            <v>1</v>
          </cell>
        </row>
        <row r="3936">
          <cell r="A3936">
            <v>111366</v>
          </cell>
          <cell r="BB3936">
            <v>1</v>
          </cell>
        </row>
        <row r="3937">
          <cell r="A3937">
            <v>111367</v>
          </cell>
          <cell r="BB3937">
            <v>1</v>
          </cell>
        </row>
        <row r="3938">
          <cell r="A3938">
            <v>111368</v>
          </cell>
          <cell r="BB3938">
            <v>1</v>
          </cell>
        </row>
        <row r="3939">
          <cell r="A3939">
            <v>111369</v>
          </cell>
          <cell r="BB3939">
            <v>1</v>
          </cell>
        </row>
        <row r="3940">
          <cell r="A3940">
            <v>111370</v>
          </cell>
          <cell r="BB3940">
            <v>1</v>
          </cell>
        </row>
        <row r="3941">
          <cell r="A3941">
            <v>111371</v>
          </cell>
          <cell r="BB3941">
            <v>1</v>
          </cell>
        </row>
        <row r="3942">
          <cell r="A3942">
            <v>111372</v>
          </cell>
          <cell r="BB3942">
            <v>1</v>
          </cell>
        </row>
        <row r="3943">
          <cell r="A3943">
            <v>111373</v>
          </cell>
          <cell r="BB3943">
            <v>1</v>
          </cell>
        </row>
        <row r="3944">
          <cell r="A3944">
            <v>111374</v>
          </cell>
          <cell r="BB3944">
            <v>1</v>
          </cell>
        </row>
        <row r="3945">
          <cell r="A3945">
            <v>111375</v>
          </cell>
          <cell r="BB3945">
            <v>1</v>
          </cell>
        </row>
        <row r="3946">
          <cell r="A3946">
            <v>111376</v>
          </cell>
          <cell r="BB3946">
            <v>1</v>
          </cell>
        </row>
        <row r="3947">
          <cell r="A3947">
            <v>111377</v>
          </cell>
          <cell r="BB3947">
            <v>1</v>
          </cell>
        </row>
        <row r="3948">
          <cell r="A3948">
            <v>111378</v>
          </cell>
          <cell r="BB3948">
            <v>1</v>
          </cell>
        </row>
        <row r="3949">
          <cell r="A3949">
            <v>111379</v>
          </cell>
          <cell r="BB3949">
            <v>1</v>
          </cell>
        </row>
        <row r="3950">
          <cell r="A3950">
            <v>111380</v>
          </cell>
          <cell r="BB3950">
            <v>1</v>
          </cell>
        </row>
        <row r="3951">
          <cell r="A3951">
            <v>111381</v>
          </cell>
          <cell r="BB3951">
            <v>1</v>
          </cell>
        </row>
        <row r="3952">
          <cell r="A3952">
            <v>111382</v>
          </cell>
          <cell r="BB3952">
            <v>1</v>
          </cell>
        </row>
        <row r="3953">
          <cell r="A3953">
            <v>111383</v>
          </cell>
          <cell r="BB3953">
            <v>1</v>
          </cell>
        </row>
        <row r="3954">
          <cell r="A3954">
            <v>111384</v>
          </cell>
          <cell r="BB3954">
            <v>1</v>
          </cell>
        </row>
        <row r="3955">
          <cell r="A3955">
            <v>111385</v>
          </cell>
          <cell r="BB3955">
            <v>1</v>
          </cell>
        </row>
        <row r="3956">
          <cell r="A3956">
            <v>111386</v>
          </cell>
          <cell r="BB3956">
            <v>1</v>
          </cell>
        </row>
        <row r="3957">
          <cell r="A3957">
            <v>111387</v>
          </cell>
          <cell r="BB3957">
            <v>1</v>
          </cell>
        </row>
        <row r="3958">
          <cell r="A3958">
            <v>111388</v>
          </cell>
          <cell r="BB3958">
            <v>1</v>
          </cell>
        </row>
        <row r="3959">
          <cell r="A3959">
            <v>111389</v>
          </cell>
          <cell r="BB3959">
            <v>1</v>
          </cell>
        </row>
        <row r="3960">
          <cell r="A3960">
            <v>111390</v>
          </cell>
          <cell r="BB3960">
            <v>1</v>
          </cell>
        </row>
        <row r="3961">
          <cell r="A3961">
            <v>111391</v>
          </cell>
          <cell r="BB3961">
            <v>1</v>
          </cell>
        </row>
        <row r="3962">
          <cell r="A3962">
            <v>111392</v>
          </cell>
          <cell r="BB3962">
            <v>1</v>
          </cell>
        </row>
        <row r="3963">
          <cell r="A3963">
            <v>111393</v>
          </cell>
          <cell r="BB3963">
            <v>1</v>
          </cell>
        </row>
        <row r="3964">
          <cell r="A3964">
            <v>111394</v>
          </cell>
          <cell r="BB3964">
            <v>1</v>
          </cell>
        </row>
        <row r="3965">
          <cell r="A3965">
            <v>111395</v>
          </cell>
          <cell r="BB3965">
            <v>1</v>
          </cell>
        </row>
        <row r="3966">
          <cell r="A3966">
            <v>111396</v>
          </cell>
          <cell r="BB3966">
            <v>1</v>
          </cell>
        </row>
        <row r="3967">
          <cell r="A3967">
            <v>111397</v>
          </cell>
          <cell r="BB3967">
            <v>1</v>
          </cell>
        </row>
        <row r="3968">
          <cell r="A3968">
            <v>111398</v>
          </cell>
          <cell r="BB3968">
            <v>1</v>
          </cell>
        </row>
        <row r="3969">
          <cell r="A3969">
            <v>111399</v>
          </cell>
          <cell r="BB3969">
            <v>1</v>
          </cell>
        </row>
        <row r="3970">
          <cell r="A3970">
            <v>111400</v>
          </cell>
          <cell r="BB3970">
            <v>1</v>
          </cell>
        </row>
        <row r="3971">
          <cell r="A3971">
            <v>111401</v>
          </cell>
          <cell r="BB3971">
            <v>1</v>
          </cell>
        </row>
        <row r="3972">
          <cell r="A3972">
            <v>111402</v>
          </cell>
          <cell r="BB3972">
            <v>1</v>
          </cell>
        </row>
        <row r="3973">
          <cell r="A3973">
            <v>111403</v>
          </cell>
          <cell r="BB3973">
            <v>1</v>
          </cell>
        </row>
        <row r="3974">
          <cell r="A3974">
            <v>111404</v>
          </cell>
          <cell r="BB3974">
            <v>1</v>
          </cell>
        </row>
        <row r="3975">
          <cell r="A3975">
            <v>111405</v>
          </cell>
          <cell r="BB3975">
            <v>1</v>
          </cell>
        </row>
        <row r="3976">
          <cell r="A3976">
            <v>111406</v>
          </cell>
          <cell r="BB3976">
            <v>1</v>
          </cell>
        </row>
        <row r="3977">
          <cell r="A3977">
            <v>111407</v>
          </cell>
          <cell r="BB3977">
            <v>1</v>
          </cell>
        </row>
        <row r="3978">
          <cell r="A3978">
            <v>111408</v>
          </cell>
          <cell r="BB3978">
            <v>1</v>
          </cell>
        </row>
        <row r="3979">
          <cell r="A3979">
            <v>111409</v>
          </cell>
          <cell r="BB3979">
            <v>1</v>
          </cell>
        </row>
        <row r="3980">
          <cell r="A3980">
            <v>111410</v>
          </cell>
          <cell r="BB3980">
            <v>1</v>
          </cell>
        </row>
        <row r="3981">
          <cell r="A3981">
            <v>111411</v>
          </cell>
          <cell r="BB3981">
            <v>1</v>
          </cell>
        </row>
        <row r="3982">
          <cell r="A3982">
            <v>111412</v>
          </cell>
          <cell r="BB3982">
            <v>1</v>
          </cell>
        </row>
        <row r="3983">
          <cell r="A3983">
            <v>111413</v>
          </cell>
          <cell r="BB3983">
            <v>1</v>
          </cell>
        </row>
        <row r="3984">
          <cell r="A3984">
            <v>111414</v>
          </cell>
          <cell r="BB3984">
            <v>1</v>
          </cell>
        </row>
        <row r="3985">
          <cell r="A3985">
            <v>111415</v>
          </cell>
          <cell r="BB3985">
            <v>1</v>
          </cell>
        </row>
        <row r="3986">
          <cell r="A3986">
            <v>111416</v>
          </cell>
          <cell r="BB3986">
            <v>1</v>
          </cell>
        </row>
        <row r="3987">
          <cell r="A3987">
            <v>111417</v>
          </cell>
          <cell r="BB3987">
            <v>1</v>
          </cell>
        </row>
        <row r="3988">
          <cell r="A3988">
            <v>111418</v>
          </cell>
          <cell r="BB3988">
            <v>1</v>
          </cell>
        </row>
        <row r="3989">
          <cell r="A3989">
            <v>111419</v>
          </cell>
          <cell r="BB3989">
            <v>1</v>
          </cell>
        </row>
        <row r="3990">
          <cell r="A3990">
            <v>111420</v>
          </cell>
          <cell r="BB3990">
            <v>1</v>
          </cell>
        </row>
        <row r="3991">
          <cell r="A3991">
            <v>111421</v>
          </cell>
          <cell r="BB3991">
            <v>1</v>
          </cell>
        </row>
        <row r="3992">
          <cell r="A3992">
            <v>111422</v>
          </cell>
          <cell r="BB3992">
            <v>1</v>
          </cell>
        </row>
        <row r="3993">
          <cell r="A3993">
            <v>111423</v>
          </cell>
          <cell r="BB3993">
            <v>1</v>
          </cell>
        </row>
        <row r="3994">
          <cell r="A3994">
            <v>111424</v>
          </cell>
          <cell r="BB3994">
            <v>1</v>
          </cell>
        </row>
        <row r="3995">
          <cell r="A3995">
            <v>111425</v>
          </cell>
          <cell r="BB3995">
            <v>1</v>
          </cell>
        </row>
        <row r="3996">
          <cell r="A3996">
            <v>111426</v>
          </cell>
          <cell r="BB3996">
            <v>1</v>
          </cell>
        </row>
        <row r="3997">
          <cell r="A3997">
            <v>111427</v>
          </cell>
          <cell r="BB3997">
            <v>1</v>
          </cell>
        </row>
        <row r="3998">
          <cell r="A3998">
            <v>111428</v>
          </cell>
          <cell r="BB3998">
            <v>1</v>
          </cell>
        </row>
        <row r="3999">
          <cell r="A3999">
            <v>111429</v>
          </cell>
          <cell r="BB3999">
            <v>1</v>
          </cell>
        </row>
        <row r="4000">
          <cell r="A4000">
            <v>111430</v>
          </cell>
          <cell r="BB4000">
            <v>1</v>
          </cell>
        </row>
        <row r="4001">
          <cell r="A4001">
            <v>111431</v>
          </cell>
          <cell r="BB4001">
            <v>1</v>
          </cell>
        </row>
        <row r="4002">
          <cell r="A4002">
            <v>111432</v>
          </cell>
          <cell r="BB4002">
            <v>1</v>
          </cell>
        </row>
        <row r="4003">
          <cell r="A4003">
            <v>111433</v>
          </cell>
          <cell r="BB4003">
            <v>1</v>
          </cell>
        </row>
        <row r="4004">
          <cell r="A4004">
            <v>111434</v>
          </cell>
          <cell r="BB4004">
            <v>1</v>
          </cell>
        </row>
        <row r="4005">
          <cell r="A4005">
            <v>111435</v>
          </cell>
          <cell r="BB4005">
            <v>1</v>
          </cell>
        </row>
        <row r="4006">
          <cell r="A4006">
            <v>111436</v>
          </cell>
          <cell r="BB4006">
            <v>1</v>
          </cell>
        </row>
        <row r="4007">
          <cell r="A4007">
            <v>111437</v>
          </cell>
          <cell r="BB4007">
            <v>1</v>
          </cell>
        </row>
        <row r="4008">
          <cell r="A4008">
            <v>111438</v>
          </cell>
          <cell r="BB4008">
            <v>1</v>
          </cell>
        </row>
        <row r="4009">
          <cell r="A4009">
            <v>111439</v>
          </cell>
          <cell r="BB4009">
            <v>1</v>
          </cell>
        </row>
        <row r="4010">
          <cell r="A4010">
            <v>111440</v>
          </cell>
          <cell r="BB4010">
            <v>1</v>
          </cell>
        </row>
        <row r="4011">
          <cell r="A4011">
            <v>111441</v>
          </cell>
          <cell r="BB4011">
            <v>1</v>
          </cell>
        </row>
        <row r="4012">
          <cell r="A4012">
            <v>111442</v>
          </cell>
          <cell r="BB4012">
            <v>1</v>
          </cell>
        </row>
        <row r="4013">
          <cell r="A4013">
            <v>111443</v>
          </cell>
          <cell r="BB4013">
            <v>1</v>
          </cell>
        </row>
        <row r="4014">
          <cell r="A4014">
            <v>111444</v>
          </cell>
          <cell r="BB4014">
            <v>1</v>
          </cell>
        </row>
        <row r="4015">
          <cell r="A4015">
            <v>111445</v>
          </cell>
          <cell r="BB4015">
            <v>1</v>
          </cell>
        </row>
        <row r="4016">
          <cell r="A4016">
            <v>111446</v>
          </cell>
          <cell r="BB4016">
            <v>1</v>
          </cell>
        </row>
        <row r="4017">
          <cell r="A4017">
            <v>111447</v>
          </cell>
          <cell r="BB4017">
            <v>1</v>
          </cell>
        </row>
        <row r="4018">
          <cell r="A4018">
            <v>111448</v>
          </cell>
          <cell r="BB4018">
            <v>1</v>
          </cell>
        </row>
        <row r="4019">
          <cell r="A4019">
            <v>111449</v>
          </cell>
          <cell r="BB4019">
            <v>1</v>
          </cell>
        </row>
        <row r="4020">
          <cell r="A4020">
            <v>111450</v>
          </cell>
          <cell r="BB4020">
            <v>1</v>
          </cell>
        </row>
        <row r="4021">
          <cell r="A4021">
            <v>111451</v>
          </cell>
          <cell r="BB4021">
            <v>1</v>
          </cell>
        </row>
        <row r="4022">
          <cell r="A4022">
            <v>111452</v>
          </cell>
          <cell r="BB4022">
            <v>1</v>
          </cell>
        </row>
        <row r="4023">
          <cell r="A4023">
            <v>111453</v>
          </cell>
          <cell r="BB4023">
            <v>1</v>
          </cell>
        </row>
        <row r="4024">
          <cell r="A4024">
            <v>111454</v>
          </cell>
          <cell r="BB4024">
            <v>1</v>
          </cell>
        </row>
        <row r="4025">
          <cell r="A4025">
            <v>111455</v>
          </cell>
          <cell r="BB4025">
            <v>1</v>
          </cell>
        </row>
        <row r="4026">
          <cell r="A4026">
            <v>111456</v>
          </cell>
          <cell r="BB4026">
            <v>1</v>
          </cell>
        </row>
        <row r="4027">
          <cell r="A4027">
            <v>111457</v>
          </cell>
          <cell r="BB4027">
            <v>1</v>
          </cell>
        </row>
        <row r="4028">
          <cell r="A4028">
            <v>111458</v>
          </cell>
          <cell r="BB4028">
            <v>1</v>
          </cell>
        </row>
        <row r="4029">
          <cell r="A4029">
            <v>111459</v>
          </cell>
          <cell r="BB4029">
            <v>1</v>
          </cell>
        </row>
        <row r="4030">
          <cell r="A4030">
            <v>111460</v>
          </cell>
          <cell r="BB4030">
            <v>1</v>
          </cell>
        </row>
        <row r="4031">
          <cell r="A4031">
            <v>111461</v>
          </cell>
          <cell r="BB4031">
            <v>1</v>
          </cell>
        </row>
        <row r="4032">
          <cell r="A4032">
            <v>111462</v>
          </cell>
          <cell r="BB4032">
            <v>1</v>
          </cell>
        </row>
        <row r="4033">
          <cell r="A4033">
            <v>111463</v>
          </cell>
          <cell r="BB4033">
            <v>1</v>
          </cell>
        </row>
        <row r="4034">
          <cell r="A4034">
            <v>111464</v>
          </cell>
          <cell r="BB4034">
            <v>1</v>
          </cell>
        </row>
        <row r="4035">
          <cell r="A4035">
            <v>111465</v>
          </cell>
          <cell r="BB4035">
            <v>1</v>
          </cell>
        </row>
        <row r="4036">
          <cell r="A4036">
            <v>111466</v>
          </cell>
          <cell r="BB4036">
            <v>1</v>
          </cell>
        </row>
        <row r="4037">
          <cell r="A4037">
            <v>111467</v>
          </cell>
          <cell r="BB4037">
            <v>1</v>
          </cell>
        </row>
        <row r="4038">
          <cell r="A4038">
            <v>111468</v>
          </cell>
          <cell r="BB4038">
            <v>1</v>
          </cell>
        </row>
        <row r="4039">
          <cell r="A4039">
            <v>111469</v>
          </cell>
          <cell r="BB4039">
            <v>1</v>
          </cell>
        </row>
        <row r="4040">
          <cell r="A4040">
            <v>111470</v>
          </cell>
          <cell r="BB4040">
            <v>1</v>
          </cell>
        </row>
        <row r="4041">
          <cell r="A4041">
            <v>111471</v>
          </cell>
          <cell r="BB4041">
            <v>1</v>
          </cell>
        </row>
        <row r="4042">
          <cell r="A4042">
            <v>111472</v>
          </cell>
          <cell r="BB4042">
            <v>1</v>
          </cell>
        </row>
        <row r="4043">
          <cell r="A4043">
            <v>111473</v>
          </cell>
          <cell r="BB4043">
            <v>1</v>
          </cell>
        </row>
        <row r="4044">
          <cell r="A4044">
            <v>111474</v>
          </cell>
          <cell r="BB4044">
            <v>1</v>
          </cell>
        </row>
        <row r="4045">
          <cell r="A4045">
            <v>111475</v>
          </cell>
          <cell r="BB4045">
            <v>1</v>
          </cell>
        </row>
        <row r="4046">
          <cell r="A4046">
            <v>111476</v>
          </cell>
          <cell r="BB4046">
            <v>1</v>
          </cell>
        </row>
        <row r="4047">
          <cell r="A4047">
            <v>111477</v>
          </cell>
          <cell r="BB4047">
            <v>1</v>
          </cell>
        </row>
        <row r="4048">
          <cell r="A4048">
            <v>111478</v>
          </cell>
          <cell r="BB4048">
            <v>1</v>
          </cell>
        </row>
        <row r="4049">
          <cell r="A4049">
            <v>111479</v>
          </cell>
          <cell r="BB4049">
            <v>1</v>
          </cell>
        </row>
        <row r="4050">
          <cell r="A4050">
            <v>111480</v>
          </cell>
          <cell r="BB4050">
            <v>1</v>
          </cell>
        </row>
        <row r="4051">
          <cell r="A4051">
            <v>111481</v>
          </cell>
          <cell r="BB4051">
            <v>1</v>
          </cell>
        </row>
        <row r="4052">
          <cell r="A4052">
            <v>111482</v>
          </cell>
          <cell r="BB4052">
            <v>1</v>
          </cell>
        </row>
        <row r="4053">
          <cell r="A4053">
            <v>111483</v>
          </cell>
          <cell r="BB4053">
            <v>1</v>
          </cell>
        </row>
        <row r="4054">
          <cell r="A4054">
            <v>111484</v>
          </cell>
          <cell r="BB4054">
            <v>1</v>
          </cell>
        </row>
        <row r="4055">
          <cell r="A4055">
            <v>111485</v>
          </cell>
          <cell r="BB4055">
            <v>1</v>
          </cell>
        </row>
        <row r="4056">
          <cell r="A4056">
            <v>111486</v>
          </cell>
          <cell r="BB4056">
            <v>1</v>
          </cell>
        </row>
        <row r="4057">
          <cell r="A4057">
            <v>111487</v>
          </cell>
          <cell r="BB4057">
            <v>1</v>
          </cell>
        </row>
        <row r="4058">
          <cell r="A4058">
            <v>111488</v>
          </cell>
          <cell r="BB4058">
            <v>1</v>
          </cell>
        </row>
        <row r="4059">
          <cell r="A4059">
            <v>111489</v>
          </cell>
          <cell r="BB4059">
            <v>1</v>
          </cell>
        </row>
        <row r="4060">
          <cell r="A4060">
            <v>111490</v>
          </cell>
          <cell r="BB4060">
            <v>1</v>
          </cell>
        </row>
        <row r="4061">
          <cell r="A4061">
            <v>111491</v>
          </cell>
          <cell r="BB4061">
            <v>1</v>
          </cell>
        </row>
        <row r="4062">
          <cell r="A4062">
            <v>111492</v>
          </cell>
          <cell r="BB4062">
            <v>1</v>
          </cell>
        </row>
        <row r="4063">
          <cell r="A4063">
            <v>111493</v>
          </cell>
          <cell r="BB4063">
            <v>1</v>
          </cell>
        </row>
        <row r="4064">
          <cell r="A4064">
            <v>111494</v>
          </cell>
          <cell r="BB4064">
            <v>1</v>
          </cell>
        </row>
        <row r="4065">
          <cell r="A4065">
            <v>111495</v>
          </cell>
          <cell r="BB4065">
            <v>1</v>
          </cell>
        </row>
        <row r="4066">
          <cell r="A4066">
            <v>111496</v>
          </cell>
          <cell r="BB4066">
            <v>1</v>
          </cell>
        </row>
        <row r="4067">
          <cell r="A4067">
            <v>111497</v>
          </cell>
          <cell r="BB4067">
            <v>1</v>
          </cell>
        </row>
        <row r="4068">
          <cell r="A4068">
            <v>111498</v>
          </cell>
          <cell r="BB4068">
            <v>1</v>
          </cell>
        </row>
        <row r="4069">
          <cell r="A4069">
            <v>111499</v>
          </cell>
          <cell r="BB4069">
            <v>1</v>
          </cell>
        </row>
        <row r="4070">
          <cell r="A4070">
            <v>111500</v>
          </cell>
          <cell r="BB4070">
            <v>1</v>
          </cell>
        </row>
        <row r="4071">
          <cell r="A4071">
            <v>111501</v>
          </cell>
          <cell r="BB4071">
            <v>1</v>
          </cell>
        </row>
        <row r="4072">
          <cell r="A4072">
            <v>111502</v>
          </cell>
          <cell r="BB4072">
            <v>1</v>
          </cell>
        </row>
        <row r="4073">
          <cell r="A4073">
            <v>111503</v>
          </cell>
          <cell r="BB4073">
            <v>1</v>
          </cell>
        </row>
        <row r="4074">
          <cell r="A4074">
            <v>111504</v>
          </cell>
          <cell r="BB4074">
            <v>1</v>
          </cell>
        </row>
        <row r="4075">
          <cell r="A4075">
            <v>111505</v>
          </cell>
          <cell r="BB4075">
            <v>1</v>
          </cell>
        </row>
        <row r="4076">
          <cell r="A4076">
            <v>111506</v>
          </cell>
          <cell r="BB4076">
            <v>1</v>
          </cell>
        </row>
        <row r="4077">
          <cell r="A4077">
            <v>111507</v>
          </cell>
          <cell r="BB4077">
            <v>1</v>
          </cell>
        </row>
        <row r="4078">
          <cell r="A4078">
            <v>111508</v>
          </cell>
          <cell r="BB4078">
            <v>1</v>
          </cell>
        </row>
        <row r="4079">
          <cell r="A4079">
            <v>111509</v>
          </cell>
          <cell r="BB4079">
            <v>1</v>
          </cell>
        </row>
        <row r="4080">
          <cell r="A4080">
            <v>111510</v>
          </cell>
          <cell r="BB4080">
            <v>1</v>
          </cell>
        </row>
        <row r="4081">
          <cell r="A4081">
            <v>111511</v>
          </cell>
          <cell r="BB4081">
            <v>1</v>
          </cell>
        </row>
        <row r="4082">
          <cell r="A4082">
            <v>111512</v>
          </cell>
          <cell r="BB4082">
            <v>1</v>
          </cell>
        </row>
        <row r="4083">
          <cell r="A4083">
            <v>111513</v>
          </cell>
          <cell r="BB4083">
            <v>1</v>
          </cell>
        </row>
        <row r="4084">
          <cell r="A4084">
            <v>111514</v>
          </cell>
          <cell r="BB4084">
            <v>1</v>
          </cell>
        </row>
        <row r="4085">
          <cell r="A4085">
            <v>111515</v>
          </cell>
          <cell r="BB4085">
            <v>1</v>
          </cell>
        </row>
        <row r="4086">
          <cell r="A4086">
            <v>111516</v>
          </cell>
          <cell r="BB4086">
            <v>1</v>
          </cell>
        </row>
        <row r="4087">
          <cell r="A4087">
            <v>111517</v>
          </cell>
          <cell r="BB4087">
            <v>1</v>
          </cell>
        </row>
        <row r="4088">
          <cell r="A4088">
            <v>111518</v>
          </cell>
          <cell r="BB4088">
            <v>1</v>
          </cell>
        </row>
        <row r="4089">
          <cell r="A4089">
            <v>111519</v>
          </cell>
          <cell r="BB4089">
            <v>1</v>
          </cell>
        </row>
        <row r="4090">
          <cell r="A4090">
            <v>111520</v>
          </cell>
          <cell r="BB4090">
            <v>1</v>
          </cell>
        </row>
        <row r="4091">
          <cell r="A4091">
            <v>111521</v>
          </cell>
          <cell r="BB4091">
            <v>1</v>
          </cell>
        </row>
        <row r="4092">
          <cell r="A4092">
            <v>111522</v>
          </cell>
          <cell r="BB4092">
            <v>1</v>
          </cell>
        </row>
        <row r="4093">
          <cell r="A4093">
            <v>111523</v>
          </cell>
          <cell r="BB4093">
            <v>1</v>
          </cell>
        </row>
        <row r="4094">
          <cell r="A4094">
            <v>111524</v>
          </cell>
          <cell r="BB4094">
            <v>1</v>
          </cell>
        </row>
        <row r="4095">
          <cell r="A4095">
            <v>111525</v>
          </cell>
          <cell r="BB4095">
            <v>1</v>
          </cell>
        </row>
        <row r="4096">
          <cell r="A4096">
            <v>111526</v>
          </cell>
          <cell r="BB4096">
            <v>1</v>
          </cell>
        </row>
        <row r="4097">
          <cell r="A4097">
            <v>111527</v>
          </cell>
          <cell r="BB4097">
            <v>1</v>
          </cell>
        </row>
        <row r="4098">
          <cell r="A4098">
            <v>111528</v>
          </cell>
          <cell r="BB4098">
            <v>1</v>
          </cell>
        </row>
        <row r="4099">
          <cell r="A4099">
            <v>111529</v>
          </cell>
          <cell r="BB4099">
            <v>1</v>
          </cell>
        </row>
        <row r="4100">
          <cell r="A4100">
            <v>111530</v>
          </cell>
          <cell r="BB4100">
            <v>1</v>
          </cell>
        </row>
        <row r="4101">
          <cell r="A4101">
            <v>111531</v>
          </cell>
          <cell r="BB4101">
            <v>1</v>
          </cell>
        </row>
        <row r="4102">
          <cell r="A4102">
            <v>111532</v>
          </cell>
          <cell r="BB4102">
            <v>1</v>
          </cell>
        </row>
        <row r="4103">
          <cell r="A4103">
            <v>111533</v>
          </cell>
          <cell r="BB4103">
            <v>1</v>
          </cell>
        </row>
        <row r="4104">
          <cell r="A4104">
            <v>111534</v>
          </cell>
          <cell r="BB4104">
            <v>1</v>
          </cell>
        </row>
        <row r="4105">
          <cell r="A4105">
            <v>111535</v>
          </cell>
          <cell r="BB4105">
            <v>1</v>
          </cell>
        </row>
        <row r="4106">
          <cell r="A4106">
            <v>111536</v>
          </cell>
          <cell r="BB4106">
            <v>1</v>
          </cell>
        </row>
        <row r="4107">
          <cell r="A4107">
            <v>111537</v>
          </cell>
          <cell r="BB4107">
            <v>1</v>
          </cell>
        </row>
        <row r="4108">
          <cell r="A4108">
            <v>111538</v>
          </cell>
          <cell r="BB4108">
            <v>1</v>
          </cell>
        </row>
        <row r="4109">
          <cell r="A4109">
            <v>111539</v>
          </cell>
          <cell r="BB4109">
            <v>1</v>
          </cell>
        </row>
        <row r="4110">
          <cell r="A4110">
            <v>111540</v>
          </cell>
          <cell r="BB4110">
            <v>1</v>
          </cell>
        </row>
        <row r="4111">
          <cell r="A4111">
            <v>111541</v>
          </cell>
          <cell r="BB4111">
            <v>1</v>
          </cell>
        </row>
        <row r="4112">
          <cell r="A4112">
            <v>111542</v>
          </cell>
          <cell r="BB4112">
            <v>1</v>
          </cell>
        </row>
        <row r="4113">
          <cell r="A4113">
            <v>111543</v>
          </cell>
          <cell r="BB4113">
            <v>1</v>
          </cell>
        </row>
        <row r="4114">
          <cell r="A4114">
            <v>111544</v>
          </cell>
          <cell r="BB4114">
            <v>1</v>
          </cell>
        </row>
        <row r="4115">
          <cell r="A4115">
            <v>111545</v>
          </cell>
          <cell r="BB4115">
            <v>1</v>
          </cell>
        </row>
        <row r="4116">
          <cell r="A4116">
            <v>111546</v>
          </cell>
          <cell r="BB4116">
            <v>1</v>
          </cell>
        </row>
        <row r="4117">
          <cell r="A4117">
            <v>111547</v>
          </cell>
          <cell r="BB4117">
            <v>1</v>
          </cell>
        </row>
        <row r="4118">
          <cell r="A4118">
            <v>111548</v>
          </cell>
          <cell r="BB4118">
            <v>1</v>
          </cell>
        </row>
        <row r="4119">
          <cell r="A4119">
            <v>111549</v>
          </cell>
          <cell r="BB4119">
            <v>1</v>
          </cell>
        </row>
        <row r="4120">
          <cell r="A4120">
            <v>111550</v>
          </cell>
          <cell r="BB4120">
            <v>1</v>
          </cell>
        </row>
        <row r="4121">
          <cell r="A4121">
            <v>111551</v>
          </cell>
          <cell r="BB4121">
            <v>1</v>
          </cell>
        </row>
        <row r="4122">
          <cell r="A4122">
            <v>111552</v>
          </cell>
          <cell r="BB4122">
            <v>1</v>
          </cell>
        </row>
        <row r="4123">
          <cell r="A4123">
            <v>111553</v>
          </cell>
          <cell r="BB4123">
            <v>1</v>
          </cell>
        </row>
        <row r="4124">
          <cell r="A4124">
            <v>111554</v>
          </cell>
          <cell r="BB4124">
            <v>1</v>
          </cell>
        </row>
        <row r="4125">
          <cell r="A4125">
            <v>111555</v>
          </cell>
          <cell r="BB4125">
            <v>1</v>
          </cell>
        </row>
        <row r="4126">
          <cell r="A4126">
            <v>111556</v>
          </cell>
          <cell r="BB4126">
            <v>1</v>
          </cell>
        </row>
        <row r="4127">
          <cell r="A4127">
            <v>111557</v>
          </cell>
          <cell r="BB4127">
            <v>1</v>
          </cell>
        </row>
        <row r="4128">
          <cell r="A4128">
            <v>111558</v>
          </cell>
          <cell r="BB4128">
            <v>1</v>
          </cell>
        </row>
        <row r="4129">
          <cell r="A4129">
            <v>111559</v>
          </cell>
          <cell r="BB4129">
            <v>1</v>
          </cell>
        </row>
        <row r="4130">
          <cell r="A4130">
            <v>111560</v>
          </cell>
          <cell r="BB4130">
            <v>1</v>
          </cell>
        </row>
        <row r="4131">
          <cell r="A4131">
            <v>111561</v>
          </cell>
          <cell r="BB4131">
            <v>1</v>
          </cell>
        </row>
        <row r="4132">
          <cell r="A4132">
            <v>111562</v>
          </cell>
          <cell r="BB4132">
            <v>1</v>
          </cell>
        </row>
        <row r="4133">
          <cell r="A4133">
            <v>111563</v>
          </cell>
          <cell r="BB4133">
            <v>1</v>
          </cell>
        </row>
        <row r="4134">
          <cell r="A4134">
            <v>111564</v>
          </cell>
          <cell r="BB4134">
            <v>1</v>
          </cell>
        </row>
        <row r="4135">
          <cell r="A4135">
            <v>111565</v>
          </cell>
          <cell r="BB4135">
            <v>1</v>
          </cell>
        </row>
        <row r="4136">
          <cell r="A4136">
            <v>111566</v>
          </cell>
          <cell r="BB4136">
            <v>1</v>
          </cell>
        </row>
        <row r="4137">
          <cell r="A4137">
            <v>111567</v>
          </cell>
          <cell r="BB4137">
            <v>1</v>
          </cell>
        </row>
        <row r="4138">
          <cell r="A4138">
            <v>111568</v>
          </cell>
          <cell r="BB4138">
            <v>1</v>
          </cell>
        </row>
        <row r="4139">
          <cell r="A4139">
            <v>111569</v>
          </cell>
          <cell r="BB4139">
            <v>1</v>
          </cell>
        </row>
        <row r="4140">
          <cell r="A4140">
            <v>111570</v>
          </cell>
          <cell r="BB4140">
            <v>1</v>
          </cell>
        </row>
        <row r="4141">
          <cell r="A4141">
            <v>111571</v>
          </cell>
          <cell r="BB4141">
            <v>1</v>
          </cell>
        </row>
        <row r="4142">
          <cell r="A4142">
            <v>111572</v>
          </cell>
          <cell r="BB4142">
            <v>1</v>
          </cell>
        </row>
        <row r="4143">
          <cell r="A4143">
            <v>111573</v>
          </cell>
          <cell r="BB4143">
            <v>1</v>
          </cell>
        </row>
        <row r="4144">
          <cell r="A4144">
            <v>111574</v>
          </cell>
          <cell r="BB4144">
            <v>1</v>
          </cell>
        </row>
        <row r="4145">
          <cell r="A4145">
            <v>111575</v>
          </cell>
          <cell r="BB4145">
            <v>1</v>
          </cell>
        </row>
        <row r="4146">
          <cell r="A4146">
            <v>111576</v>
          </cell>
          <cell r="BB4146">
            <v>1</v>
          </cell>
        </row>
        <row r="4147">
          <cell r="A4147">
            <v>111577</v>
          </cell>
          <cell r="BB4147">
            <v>1</v>
          </cell>
        </row>
        <row r="4148">
          <cell r="A4148">
            <v>111578</v>
          </cell>
          <cell r="BB4148">
            <v>1</v>
          </cell>
        </row>
        <row r="4149">
          <cell r="A4149">
            <v>111579</v>
          </cell>
          <cell r="BB4149">
            <v>1</v>
          </cell>
        </row>
        <row r="4150">
          <cell r="A4150">
            <v>111580</v>
          </cell>
          <cell r="BB4150">
            <v>1</v>
          </cell>
        </row>
        <row r="4151">
          <cell r="A4151">
            <v>111581</v>
          </cell>
          <cell r="BB4151">
            <v>1</v>
          </cell>
        </row>
        <row r="4152">
          <cell r="A4152">
            <v>111582</v>
          </cell>
          <cell r="BB4152">
            <v>1</v>
          </cell>
        </row>
        <row r="4153">
          <cell r="A4153">
            <v>111583</v>
          </cell>
          <cell r="BB4153">
            <v>1</v>
          </cell>
        </row>
        <row r="4154">
          <cell r="A4154">
            <v>111584</v>
          </cell>
          <cell r="BB4154">
            <v>1</v>
          </cell>
        </row>
        <row r="4155">
          <cell r="A4155">
            <v>111585</v>
          </cell>
          <cell r="BB4155">
            <v>1</v>
          </cell>
        </row>
        <row r="4156">
          <cell r="A4156">
            <v>111586</v>
          </cell>
          <cell r="BB4156">
            <v>1</v>
          </cell>
        </row>
        <row r="4157">
          <cell r="A4157">
            <v>111587</v>
          </cell>
          <cell r="BB4157">
            <v>1</v>
          </cell>
        </row>
        <row r="4158">
          <cell r="A4158">
            <v>111588</v>
          </cell>
          <cell r="BB4158">
            <v>1</v>
          </cell>
        </row>
        <row r="4159">
          <cell r="A4159">
            <v>111589</v>
          </cell>
          <cell r="BB4159">
            <v>1</v>
          </cell>
        </row>
        <row r="4160">
          <cell r="A4160">
            <v>111590</v>
          </cell>
          <cell r="BB4160">
            <v>1</v>
          </cell>
        </row>
        <row r="4161">
          <cell r="A4161">
            <v>111591</v>
          </cell>
          <cell r="BB4161">
            <v>1</v>
          </cell>
        </row>
        <row r="4162">
          <cell r="A4162">
            <v>111592</v>
          </cell>
          <cell r="BB4162">
            <v>1</v>
          </cell>
        </row>
        <row r="4163">
          <cell r="A4163">
            <v>111593</v>
          </cell>
          <cell r="BB4163">
            <v>1</v>
          </cell>
        </row>
        <row r="4164">
          <cell r="A4164">
            <v>111594</v>
          </cell>
          <cell r="BB4164">
            <v>1</v>
          </cell>
        </row>
        <row r="4165">
          <cell r="A4165">
            <v>111595</v>
          </cell>
          <cell r="BB4165">
            <v>1</v>
          </cell>
        </row>
        <row r="4166">
          <cell r="A4166">
            <v>111596</v>
          </cell>
          <cell r="BB4166">
            <v>1</v>
          </cell>
        </row>
        <row r="4167">
          <cell r="A4167">
            <v>111597</v>
          </cell>
          <cell r="BB4167">
            <v>1</v>
          </cell>
        </row>
        <row r="4168">
          <cell r="A4168">
            <v>111598</v>
          </cell>
          <cell r="BB4168">
            <v>1</v>
          </cell>
        </row>
        <row r="4169">
          <cell r="A4169">
            <v>111599</v>
          </cell>
          <cell r="BB4169">
            <v>1</v>
          </cell>
        </row>
        <row r="4170">
          <cell r="A4170">
            <v>111600</v>
          </cell>
          <cell r="BB4170">
            <v>1</v>
          </cell>
        </row>
        <row r="4171">
          <cell r="A4171">
            <v>111601</v>
          </cell>
          <cell r="BB4171">
            <v>1</v>
          </cell>
        </row>
        <row r="4172">
          <cell r="A4172">
            <v>111602</v>
          </cell>
          <cell r="BB4172">
            <v>1</v>
          </cell>
        </row>
        <row r="4173">
          <cell r="A4173">
            <v>111603</v>
          </cell>
          <cell r="BB4173">
            <v>1</v>
          </cell>
        </row>
        <row r="4174">
          <cell r="A4174">
            <v>111604</v>
          </cell>
          <cell r="BB4174">
            <v>1</v>
          </cell>
        </row>
        <row r="4175">
          <cell r="A4175">
            <v>111605</v>
          </cell>
          <cell r="BB4175">
            <v>1</v>
          </cell>
        </row>
        <row r="4176">
          <cell r="A4176">
            <v>111606</v>
          </cell>
          <cell r="BB4176">
            <v>1</v>
          </cell>
        </row>
        <row r="4177">
          <cell r="A4177">
            <v>111607</v>
          </cell>
          <cell r="BB4177">
            <v>1</v>
          </cell>
        </row>
        <row r="4178">
          <cell r="A4178">
            <v>111608</v>
          </cell>
          <cell r="BB4178">
            <v>1</v>
          </cell>
        </row>
        <row r="4179">
          <cell r="A4179">
            <v>111609</v>
          </cell>
          <cell r="BB4179">
            <v>1</v>
          </cell>
        </row>
        <row r="4180">
          <cell r="A4180">
            <v>111610</v>
          </cell>
          <cell r="BB4180">
            <v>1</v>
          </cell>
        </row>
        <row r="4181">
          <cell r="A4181">
            <v>111611</v>
          </cell>
          <cell r="BB4181">
            <v>1</v>
          </cell>
        </row>
        <row r="4182">
          <cell r="A4182">
            <v>111612</v>
          </cell>
          <cell r="BB4182">
            <v>1</v>
          </cell>
        </row>
        <row r="4183">
          <cell r="A4183">
            <v>111613</v>
          </cell>
          <cell r="BB4183">
            <v>1</v>
          </cell>
        </row>
        <row r="4184">
          <cell r="A4184">
            <v>111614</v>
          </cell>
          <cell r="BB4184">
            <v>1</v>
          </cell>
        </row>
        <row r="4185">
          <cell r="A4185">
            <v>111615</v>
          </cell>
          <cell r="BB4185">
            <v>1</v>
          </cell>
        </row>
        <row r="4186">
          <cell r="A4186">
            <v>111616</v>
          </cell>
          <cell r="BB4186">
            <v>1</v>
          </cell>
        </row>
        <row r="4187">
          <cell r="A4187">
            <v>111617</v>
          </cell>
          <cell r="BB4187">
            <v>1</v>
          </cell>
        </row>
        <row r="4188">
          <cell r="A4188">
            <v>111618</v>
          </cell>
          <cell r="BB4188">
            <v>1</v>
          </cell>
        </row>
        <row r="4189">
          <cell r="A4189">
            <v>111619</v>
          </cell>
          <cell r="BB4189">
            <v>1</v>
          </cell>
        </row>
        <row r="4190">
          <cell r="A4190">
            <v>111620</v>
          </cell>
          <cell r="BB4190">
            <v>1</v>
          </cell>
        </row>
        <row r="4191">
          <cell r="A4191">
            <v>111621</v>
          </cell>
          <cell r="BB4191">
            <v>1</v>
          </cell>
        </row>
        <row r="4192">
          <cell r="A4192">
            <v>111622</v>
          </cell>
          <cell r="BB4192">
            <v>1</v>
          </cell>
        </row>
        <row r="4193">
          <cell r="A4193">
            <v>111623</v>
          </cell>
          <cell r="BB4193">
            <v>1</v>
          </cell>
        </row>
        <row r="4194">
          <cell r="A4194">
            <v>111624</v>
          </cell>
          <cell r="BB4194">
            <v>1</v>
          </cell>
        </row>
        <row r="4195">
          <cell r="A4195">
            <v>111625</v>
          </cell>
          <cell r="BB4195">
            <v>1</v>
          </cell>
        </row>
        <row r="4196">
          <cell r="A4196">
            <v>111626</v>
          </cell>
          <cell r="BB4196">
            <v>1</v>
          </cell>
        </row>
        <row r="4197">
          <cell r="A4197">
            <v>111627</v>
          </cell>
          <cell r="BB4197">
            <v>1</v>
          </cell>
        </row>
        <row r="4198">
          <cell r="A4198">
            <v>111628</v>
          </cell>
          <cell r="BB4198">
            <v>1</v>
          </cell>
        </row>
        <row r="4199">
          <cell r="A4199">
            <v>111629</v>
          </cell>
          <cell r="BB4199">
            <v>1</v>
          </cell>
        </row>
        <row r="4200">
          <cell r="A4200">
            <v>111630</v>
          </cell>
          <cell r="BB4200">
            <v>1</v>
          </cell>
        </row>
        <row r="4201">
          <cell r="A4201">
            <v>111631</v>
          </cell>
          <cell r="BB4201">
            <v>1</v>
          </cell>
        </row>
        <row r="4202">
          <cell r="A4202">
            <v>111632</v>
          </cell>
          <cell r="BB4202">
            <v>1</v>
          </cell>
        </row>
        <row r="4203">
          <cell r="A4203">
            <v>111633</v>
          </cell>
          <cell r="BB4203">
            <v>1</v>
          </cell>
        </row>
        <row r="4204">
          <cell r="A4204">
            <v>111634</v>
          </cell>
          <cell r="BB4204">
            <v>1</v>
          </cell>
        </row>
        <row r="4205">
          <cell r="A4205">
            <v>111635</v>
          </cell>
          <cell r="BB4205">
            <v>1</v>
          </cell>
        </row>
        <row r="4206">
          <cell r="A4206">
            <v>111636</v>
          </cell>
          <cell r="BB4206">
            <v>1</v>
          </cell>
        </row>
        <row r="4207">
          <cell r="A4207">
            <v>111637</v>
          </cell>
          <cell r="BB4207">
            <v>1</v>
          </cell>
        </row>
        <row r="4208">
          <cell r="A4208">
            <v>111638</v>
          </cell>
          <cell r="BB4208">
            <v>1</v>
          </cell>
        </row>
        <row r="4209">
          <cell r="A4209">
            <v>111639</v>
          </cell>
          <cell r="BB4209">
            <v>1</v>
          </cell>
        </row>
        <row r="4210">
          <cell r="A4210">
            <v>111640</v>
          </cell>
          <cell r="BB4210">
            <v>1</v>
          </cell>
        </row>
        <row r="4211">
          <cell r="A4211">
            <v>111641</v>
          </cell>
          <cell r="BB4211">
            <v>1</v>
          </cell>
        </row>
        <row r="4212">
          <cell r="A4212">
            <v>111642</v>
          </cell>
          <cell r="BB4212">
            <v>1</v>
          </cell>
        </row>
        <row r="4213">
          <cell r="A4213">
            <v>111643</v>
          </cell>
          <cell r="BB4213">
            <v>1</v>
          </cell>
        </row>
        <row r="4214">
          <cell r="A4214">
            <v>111644</v>
          </cell>
          <cell r="BB4214">
            <v>1</v>
          </cell>
        </row>
        <row r="4215">
          <cell r="A4215">
            <v>111645</v>
          </cell>
          <cell r="BB4215">
            <v>1</v>
          </cell>
        </row>
        <row r="4216">
          <cell r="A4216">
            <v>111646</v>
          </cell>
          <cell r="BB4216">
            <v>1</v>
          </cell>
        </row>
        <row r="4217">
          <cell r="A4217">
            <v>111647</v>
          </cell>
          <cell r="BB4217">
            <v>1</v>
          </cell>
        </row>
        <row r="4218">
          <cell r="A4218">
            <v>111648</v>
          </cell>
          <cell r="BB4218">
            <v>1</v>
          </cell>
        </row>
        <row r="4219">
          <cell r="A4219">
            <v>111649</v>
          </cell>
          <cell r="BB4219">
            <v>1</v>
          </cell>
        </row>
        <row r="4220">
          <cell r="A4220">
            <v>111650</v>
          </cell>
          <cell r="BB4220">
            <v>1</v>
          </cell>
        </row>
        <row r="4221">
          <cell r="A4221">
            <v>111651</v>
          </cell>
          <cell r="BB4221">
            <v>1</v>
          </cell>
        </row>
        <row r="4222">
          <cell r="A4222">
            <v>111652</v>
          </cell>
          <cell r="BB4222">
            <v>1</v>
          </cell>
        </row>
        <row r="4223">
          <cell r="A4223">
            <v>111653</v>
          </cell>
          <cell r="BB4223">
            <v>1</v>
          </cell>
        </row>
        <row r="4224">
          <cell r="A4224">
            <v>111654</v>
          </cell>
          <cell r="BB4224">
            <v>1</v>
          </cell>
        </row>
        <row r="4225">
          <cell r="A4225">
            <v>111655</v>
          </cell>
          <cell r="BB4225">
            <v>1</v>
          </cell>
        </row>
        <row r="4226">
          <cell r="A4226">
            <v>111656</v>
          </cell>
          <cell r="BB4226">
            <v>1</v>
          </cell>
        </row>
        <row r="4227">
          <cell r="A4227">
            <v>111657</v>
          </cell>
          <cell r="BB4227">
            <v>1</v>
          </cell>
        </row>
        <row r="4228">
          <cell r="A4228">
            <v>111658</v>
          </cell>
          <cell r="BB4228">
            <v>1</v>
          </cell>
        </row>
        <row r="4229">
          <cell r="A4229">
            <v>111659</v>
          </cell>
          <cell r="BB4229">
            <v>1</v>
          </cell>
        </row>
        <row r="4230">
          <cell r="A4230">
            <v>111660</v>
          </cell>
          <cell r="BB4230">
            <v>1</v>
          </cell>
        </row>
        <row r="4231">
          <cell r="A4231">
            <v>111661</v>
          </cell>
          <cell r="BB4231">
            <v>1</v>
          </cell>
        </row>
        <row r="4232">
          <cell r="A4232">
            <v>111662</v>
          </cell>
          <cell r="BB4232">
            <v>1</v>
          </cell>
        </row>
        <row r="4233">
          <cell r="A4233">
            <v>111663</v>
          </cell>
          <cell r="BB4233">
            <v>1</v>
          </cell>
        </row>
        <row r="4234">
          <cell r="A4234">
            <v>111664</v>
          </cell>
          <cell r="BB4234">
            <v>1</v>
          </cell>
        </row>
        <row r="4235">
          <cell r="A4235">
            <v>111665</v>
          </cell>
          <cell r="BB4235">
            <v>1</v>
          </cell>
        </row>
        <row r="4236">
          <cell r="A4236">
            <v>111666</v>
          </cell>
          <cell r="BB4236">
            <v>1</v>
          </cell>
        </row>
        <row r="4237">
          <cell r="A4237">
            <v>111667</v>
          </cell>
          <cell r="BB4237">
            <v>1</v>
          </cell>
        </row>
        <row r="4238">
          <cell r="A4238">
            <v>111668</v>
          </cell>
          <cell r="BB4238">
            <v>1</v>
          </cell>
        </row>
        <row r="4239">
          <cell r="A4239">
            <v>111669</v>
          </cell>
          <cell r="BB4239">
            <v>1</v>
          </cell>
        </row>
        <row r="4240">
          <cell r="A4240">
            <v>111670</v>
          </cell>
          <cell r="BB4240">
            <v>1</v>
          </cell>
        </row>
        <row r="4241">
          <cell r="A4241">
            <v>111671</v>
          </cell>
          <cell r="BB4241">
            <v>1</v>
          </cell>
        </row>
        <row r="4242">
          <cell r="A4242">
            <v>111672</v>
          </cell>
          <cell r="BB4242">
            <v>1</v>
          </cell>
        </row>
        <row r="4243">
          <cell r="A4243">
            <v>111673</v>
          </cell>
          <cell r="BB4243">
            <v>1</v>
          </cell>
        </row>
        <row r="4244">
          <cell r="A4244">
            <v>111674</v>
          </cell>
          <cell r="BB4244">
            <v>1</v>
          </cell>
        </row>
        <row r="4245">
          <cell r="A4245">
            <v>111675</v>
          </cell>
          <cell r="BB4245">
            <v>1</v>
          </cell>
        </row>
        <row r="4246">
          <cell r="A4246">
            <v>111676</v>
          </cell>
          <cell r="BB4246">
            <v>1</v>
          </cell>
        </row>
        <row r="4247">
          <cell r="A4247">
            <v>111677</v>
          </cell>
          <cell r="BB4247">
            <v>1</v>
          </cell>
        </row>
        <row r="4248">
          <cell r="A4248">
            <v>111678</v>
          </cell>
          <cell r="BB4248">
            <v>1</v>
          </cell>
        </row>
        <row r="4249">
          <cell r="A4249">
            <v>111679</v>
          </cell>
          <cell r="BB4249">
            <v>1</v>
          </cell>
        </row>
        <row r="4250">
          <cell r="A4250">
            <v>111680</v>
          </cell>
          <cell r="BB4250">
            <v>1</v>
          </cell>
        </row>
        <row r="4251">
          <cell r="A4251">
            <v>111681</v>
          </cell>
          <cell r="BB4251">
            <v>1</v>
          </cell>
        </row>
        <row r="4252">
          <cell r="A4252">
            <v>111682</v>
          </cell>
          <cell r="BB4252">
            <v>1</v>
          </cell>
        </row>
        <row r="4253">
          <cell r="A4253">
            <v>111683</v>
          </cell>
          <cell r="BB4253">
            <v>1</v>
          </cell>
        </row>
        <row r="4254">
          <cell r="A4254">
            <v>111684</v>
          </cell>
          <cell r="BB4254">
            <v>1</v>
          </cell>
        </row>
        <row r="4255">
          <cell r="A4255">
            <v>111685</v>
          </cell>
          <cell r="BB4255">
            <v>1</v>
          </cell>
        </row>
        <row r="4256">
          <cell r="A4256">
            <v>111686</v>
          </cell>
          <cell r="BB4256">
            <v>1</v>
          </cell>
        </row>
        <row r="4257">
          <cell r="A4257">
            <v>111687</v>
          </cell>
          <cell r="BB4257">
            <v>1</v>
          </cell>
        </row>
        <row r="4258">
          <cell r="A4258">
            <v>111688</v>
          </cell>
          <cell r="BB4258">
            <v>1</v>
          </cell>
        </row>
        <row r="4259">
          <cell r="A4259">
            <v>111689</v>
          </cell>
          <cell r="BB4259">
            <v>1</v>
          </cell>
        </row>
        <row r="4260">
          <cell r="A4260">
            <v>111690</v>
          </cell>
          <cell r="BB4260">
            <v>1</v>
          </cell>
        </row>
        <row r="4261">
          <cell r="A4261">
            <v>111691</v>
          </cell>
          <cell r="BB4261">
            <v>1</v>
          </cell>
        </row>
        <row r="4262">
          <cell r="A4262">
            <v>111692</v>
          </cell>
          <cell r="BB4262">
            <v>1</v>
          </cell>
        </row>
        <row r="4263">
          <cell r="A4263">
            <v>111693</v>
          </cell>
          <cell r="BB4263">
            <v>1</v>
          </cell>
        </row>
        <row r="4264">
          <cell r="A4264">
            <v>111694</v>
          </cell>
          <cell r="BB4264">
            <v>1</v>
          </cell>
        </row>
        <row r="4265">
          <cell r="A4265">
            <v>111695</v>
          </cell>
          <cell r="BB4265">
            <v>1</v>
          </cell>
        </row>
        <row r="4266">
          <cell r="A4266">
            <v>111696</v>
          </cell>
          <cell r="BB4266">
            <v>1</v>
          </cell>
        </row>
        <row r="4267">
          <cell r="A4267">
            <v>111697</v>
          </cell>
          <cell r="BB4267">
            <v>1</v>
          </cell>
        </row>
        <row r="4268">
          <cell r="A4268">
            <v>111698</v>
          </cell>
          <cell r="BB4268">
            <v>1</v>
          </cell>
        </row>
        <row r="4269">
          <cell r="A4269">
            <v>111699</v>
          </cell>
          <cell r="BB4269">
            <v>1</v>
          </cell>
        </row>
        <row r="4270">
          <cell r="A4270">
            <v>111700</v>
          </cell>
          <cell r="BB4270">
            <v>1</v>
          </cell>
        </row>
        <row r="4271">
          <cell r="A4271">
            <v>111701</v>
          </cell>
          <cell r="BB4271">
            <v>1</v>
          </cell>
        </row>
        <row r="4272">
          <cell r="A4272">
            <v>111702</v>
          </cell>
          <cell r="BB4272">
            <v>1</v>
          </cell>
        </row>
        <row r="4273">
          <cell r="A4273">
            <v>111703</v>
          </cell>
          <cell r="BB4273">
            <v>1</v>
          </cell>
        </row>
        <row r="4274">
          <cell r="A4274">
            <v>111704</v>
          </cell>
          <cell r="BB4274">
            <v>1</v>
          </cell>
        </row>
        <row r="4275">
          <cell r="A4275">
            <v>111705</v>
          </cell>
          <cell r="BB4275">
            <v>1</v>
          </cell>
        </row>
        <row r="4276">
          <cell r="A4276">
            <v>111706</v>
          </cell>
          <cell r="BB4276">
            <v>1</v>
          </cell>
        </row>
        <row r="4277">
          <cell r="A4277">
            <v>111707</v>
          </cell>
          <cell r="BB4277">
            <v>1</v>
          </cell>
        </row>
        <row r="4278">
          <cell r="A4278">
            <v>111708</v>
          </cell>
          <cell r="BB4278">
            <v>1</v>
          </cell>
        </row>
        <row r="4279">
          <cell r="A4279">
            <v>111709</v>
          </cell>
          <cell r="BB4279">
            <v>1</v>
          </cell>
        </row>
        <row r="4280">
          <cell r="A4280">
            <v>111710</v>
          </cell>
          <cell r="BB4280">
            <v>1</v>
          </cell>
        </row>
        <row r="4281">
          <cell r="A4281">
            <v>111711</v>
          </cell>
          <cell r="BB4281">
            <v>1</v>
          </cell>
        </row>
        <row r="4282">
          <cell r="A4282">
            <v>111712</v>
          </cell>
          <cell r="BB4282">
            <v>1</v>
          </cell>
        </row>
        <row r="4283">
          <cell r="A4283">
            <v>111713</v>
          </cell>
          <cell r="BB4283">
            <v>1</v>
          </cell>
        </row>
        <row r="4284">
          <cell r="A4284">
            <v>111714</v>
          </cell>
          <cell r="BB4284">
            <v>1</v>
          </cell>
        </row>
        <row r="4285">
          <cell r="A4285">
            <v>111715</v>
          </cell>
          <cell r="BB4285">
            <v>1</v>
          </cell>
        </row>
        <row r="4286">
          <cell r="A4286">
            <v>111716</v>
          </cell>
          <cell r="BB4286">
            <v>1</v>
          </cell>
        </row>
        <row r="4287">
          <cell r="A4287">
            <v>111717</v>
          </cell>
          <cell r="BB4287">
            <v>1</v>
          </cell>
        </row>
        <row r="4288">
          <cell r="A4288">
            <v>111718</v>
          </cell>
          <cell r="BB4288">
            <v>1</v>
          </cell>
        </row>
        <row r="4289">
          <cell r="A4289">
            <v>111719</v>
          </cell>
          <cell r="BB4289">
            <v>1</v>
          </cell>
        </row>
        <row r="4290">
          <cell r="A4290">
            <v>111720</v>
          </cell>
          <cell r="BB4290">
            <v>1</v>
          </cell>
        </row>
        <row r="4291">
          <cell r="A4291">
            <v>111721</v>
          </cell>
          <cell r="BB4291">
            <v>1</v>
          </cell>
        </row>
        <row r="4292">
          <cell r="A4292">
            <v>111722</v>
          </cell>
          <cell r="BB4292">
            <v>1</v>
          </cell>
        </row>
        <row r="4293">
          <cell r="A4293">
            <v>111723</v>
          </cell>
          <cell r="BB4293">
            <v>1</v>
          </cell>
        </row>
        <row r="4294">
          <cell r="A4294">
            <v>111724</v>
          </cell>
          <cell r="BB4294">
            <v>1</v>
          </cell>
        </row>
        <row r="4295">
          <cell r="A4295">
            <v>111725</v>
          </cell>
          <cell r="BB4295">
            <v>1</v>
          </cell>
        </row>
        <row r="4296">
          <cell r="A4296">
            <v>111726</v>
          </cell>
          <cell r="BB4296">
            <v>1</v>
          </cell>
        </row>
        <row r="4297">
          <cell r="A4297">
            <v>111727</v>
          </cell>
          <cell r="BB4297">
            <v>1</v>
          </cell>
        </row>
        <row r="4298">
          <cell r="A4298">
            <v>111728</v>
          </cell>
          <cell r="BB4298">
            <v>1</v>
          </cell>
        </row>
        <row r="4299">
          <cell r="A4299">
            <v>111729</v>
          </cell>
          <cell r="BB4299">
            <v>1</v>
          </cell>
        </row>
        <row r="4300">
          <cell r="A4300">
            <v>111730</v>
          </cell>
          <cell r="BB4300">
            <v>1</v>
          </cell>
        </row>
        <row r="4301">
          <cell r="A4301">
            <v>111731</v>
          </cell>
          <cell r="BB4301">
            <v>1</v>
          </cell>
        </row>
        <row r="4302">
          <cell r="A4302">
            <v>111732</v>
          </cell>
          <cell r="BB4302">
            <v>1</v>
          </cell>
        </row>
        <row r="4303">
          <cell r="A4303">
            <v>111733</v>
          </cell>
          <cell r="BB4303">
            <v>1</v>
          </cell>
        </row>
        <row r="4304">
          <cell r="A4304">
            <v>111734</v>
          </cell>
          <cell r="BB4304">
            <v>1</v>
          </cell>
        </row>
        <row r="4305">
          <cell r="A4305">
            <v>111735</v>
          </cell>
          <cell r="BB4305">
            <v>1</v>
          </cell>
        </row>
        <row r="4306">
          <cell r="A4306">
            <v>111736</v>
          </cell>
          <cell r="BB4306">
            <v>1</v>
          </cell>
        </row>
        <row r="4307">
          <cell r="A4307">
            <v>111737</v>
          </cell>
          <cell r="BB4307">
            <v>1</v>
          </cell>
        </row>
        <row r="4308">
          <cell r="A4308">
            <v>111738</v>
          </cell>
          <cell r="BB4308">
            <v>1</v>
          </cell>
        </row>
        <row r="4309">
          <cell r="A4309">
            <v>111739</v>
          </cell>
          <cell r="BB4309">
            <v>1</v>
          </cell>
        </row>
        <row r="4310">
          <cell r="A4310">
            <v>111740</v>
          </cell>
          <cell r="BB4310">
            <v>1</v>
          </cell>
        </row>
        <row r="4311">
          <cell r="A4311">
            <v>111741</v>
          </cell>
          <cell r="BB4311">
            <v>1</v>
          </cell>
        </row>
        <row r="4312">
          <cell r="A4312">
            <v>111742</v>
          </cell>
          <cell r="BB4312">
            <v>1</v>
          </cell>
        </row>
        <row r="4313">
          <cell r="A4313">
            <v>111743</v>
          </cell>
          <cell r="BB4313">
            <v>1</v>
          </cell>
        </row>
        <row r="4314">
          <cell r="A4314">
            <v>111744</v>
          </cell>
          <cell r="BB4314">
            <v>1</v>
          </cell>
        </row>
        <row r="4315">
          <cell r="A4315">
            <v>111745</v>
          </cell>
          <cell r="BB4315">
            <v>1</v>
          </cell>
        </row>
        <row r="4316">
          <cell r="A4316">
            <v>111746</v>
          </cell>
          <cell r="BB4316">
            <v>1</v>
          </cell>
        </row>
        <row r="4317">
          <cell r="A4317">
            <v>111747</v>
          </cell>
          <cell r="BB4317">
            <v>1</v>
          </cell>
        </row>
        <row r="4318">
          <cell r="A4318">
            <v>111748</v>
          </cell>
          <cell r="BB4318">
            <v>1</v>
          </cell>
        </row>
        <row r="4319">
          <cell r="A4319">
            <v>111749</v>
          </cell>
          <cell r="BB4319">
            <v>1</v>
          </cell>
        </row>
        <row r="4320">
          <cell r="A4320">
            <v>111750</v>
          </cell>
          <cell r="BB4320">
            <v>1</v>
          </cell>
        </row>
        <row r="4321">
          <cell r="A4321">
            <v>111751</v>
          </cell>
          <cell r="BB4321">
            <v>1</v>
          </cell>
        </row>
        <row r="4322">
          <cell r="A4322">
            <v>111752</v>
          </cell>
          <cell r="BB4322">
            <v>1</v>
          </cell>
        </row>
        <row r="4323">
          <cell r="A4323">
            <v>111753</v>
          </cell>
          <cell r="BB4323">
            <v>1</v>
          </cell>
        </row>
        <row r="4324">
          <cell r="A4324">
            <v>111754</v>
          </cell>
          <cell r="BB4324">
            <v>1</v>
          </cell>
        </row>
        <row r="4325">
          <cell r="A4325">
            <v>111755</v>
          </cell>
          <cell r="BB4325">
            <v>1</v>
          </cell>
        </row>
        <row r="4326">
          <cell r="A4326">
            <v>111756</v>
          </cell>
          <cell r="BB4326">
            <v>1</v>
          </cell>
        </row>
        <row r="4327">
          <cell r="A4327">
            <v>111757</v>
          </cell>
          <cell r="BB4327">
            <v>1</v>
          </cell>
        </row>
        <row r="4328">
          <cell r="A4328">
            <v>111758</v>
          </cell>
          <cell r="BB4328">
            <v>1</v>
          </cell>
        </row>
        <row r="4329">
          <cell r="A4329">
            <v>111759</v>
          </cell>
          <cell r="BB4329">
            <v>1</v>
          </cell>
        </row>
        <row r="4330">
          <cell r="A4330">
            <v>111760</v>
          </cell>
          <cell r="BB4330">
            <v>1</v>
          </cell>
        </row>
        <row r="4331">
          <cell r="A4331">
            <v>111761</v>
          </cell>
          <cell r="BB4331">
            <v>1</v>
          </cell>
        </row>
        <row r="4332">
          <cell r="A4332">
            <v>111762</v>
          </cell>
          <cell r="BB4332">
            <v>1</v>
          </cell>
        </row>
        <row r="4333">
          <cell r="A4333">
            <v>111763</v>
          </cell>
          <cell r="BB4333">
            <v>1</v>
          </cell>
        </row>
        <row r="4334">
          <cell r="A4334">
            <v>111764</v>
          </cell>
          <cell r="BB4334">
            <v>1</v>
          </cell>
        </row>
        <row r="4335">
          <cell r="A4335">
            <v>111765</v>
          </cell>
          <cell r="BB4335">
            <v>1</v>
          </cell>
        </row>
        <row r="4336">
          <cell r="A4336">
            <v>111766</v>
          </cell>
          <cell r="BB4336">
            <v>1</v>
          </cell>
        </row>
        <row r="4337">
          <cell r="A4337">
            <v>111767</v>
          </cell>
          <cell r="BB4337">
            <v>1</v>
          </cell>
        </row>
        <row r="4338">
          <cell r="A4338">
            <v>111768</v>
          </cell>
          <cell r="BB4338">
            <v>1</v>
          </cell>
        </row>
        <row r="4339">
          <cell r="A4339">
            <v>111769</v>
          </cell>
          <cell r="BB4339">
            <v>1</v>
          </cell>
        </row>
        <row r="4340">
          <cell r="A4340">
            <v>111770</v>
          </cell>
          <cell r="BB4340">
            <v>1</v>
          </cell>
        </row>
        <row r="4341">
          <cell r="A4341">
            <v>111771</v>
          </cell>
          <cell r="BB4341">
            <v>1</v>
          </cell>
        </row>
        <row r="4342">
          <cell r="A4342">
            <v>111772</v>
          </cell>
          <cell r="BB4342">
            <v>1</v>
          </cell>
        </row>
        <row r="4343">
          <cell r="A4343">
            <v>111773</v>
          </cell>
          <cell r="BB4343">
            <v>1</v>
          </cell>
        </row>
        <row r="4344">
          <cell r="A4344">
            <v>111774</v>
          </cell>
          <cell r="BB4344">
            <v>1</v>
          </cell>
        </row>
        <row r="4345">
          <cell r="A4345">
            <v>111775</v>
          </cell>
          <cell r="BB4345">
            <v>1</v>
          </cell>
        </row>
        <row r="4346">
          <cell r="A4346">
            <v>111776</v>
          </cell>
          <cell r="BB4346">
            <v>1</v>
          </cell>
        </row>
        <row r="4347">
          <cell r="A4347">
            <v>111777</v>
          </cell>
          <cell r="BB4347">
            <v>1</v>
          </cell>
        </row>
        <row r="4348">
          <cell r="A4348">
            <v>111778</v>
          </cell>
          <cell r="BB4348">
            <v>1</v>
          </cell>
        </row>
        <row r="4349">
          <cell r="A4349">
            <v>111779</v>
          </cell>
          <cell r="BB4349">
            <v>1</v>
          </cell>
        </row>
        <row r="4350">
          <cell r="A4350">
            <v>111780</v>
          </cell>
          <cell r="BB4350">
            <v>1</v>
          </cell>
        </row>
        <row r="4351">
          <cell r="A4351">
            <v>111781</v>
          </cell>
          <cell r="BB4351">
            <v>1</v>
          </cell>
        </row>
        <row r="4352">
          <cell r="A4352">
            <v>111782</v>
          </cell>
          <cell r="BB4352">
            <v>1</v>
          </cell>
        </row>
        <row r="4353">
          <cell r="A4353">
            <v>111783</v>
          </cell>
          <cell r="BB4353">
            <v>1</v>
          </cell>
        </row>
        <row r="4354">
          <cell r="A4354">
            <v>111784</v>
          </cell>
          <cell r="BB4354">
            <v>1</v>
          </cell>
        </row>
        <row r="4355">
          <cell r="A4355">
            <v>111785</v>
          </cell>
          <cell r="BB4355">
            <v>1</v>
          </cell>
        </row>
        <row r="4356">
          <cell r="A4356">
            <v>111786</v>
          </cell>
          <cell r="BB4356">
            <v>1</v>
          </cell>
        </row>
        <row r="4357">
          <cell r="A4357">
            <v>111787</v>
          </cell>
          <cell r="BB4357">
            <v>1</v>
          </cell>
        </row>
        <row r="4358">
          <cell r="A4358">
            <v>111788</v>
          </cell>
          <cell r="BB4358">
            <v>1</v>
          </cell>
        </row>
        <row r="4359">
          <cell r="A4359">
            <v>111789</v>
          </cell>
          <cell r="BB4359">
            <v>1</v>
          </cell>
        </row>
        <row r="4360">
          <cell r="A4360">
            <v>111790</v>
          </cell>
          <cell r="BB4360">
            <v>1</v>
          </cell>
        </row>
        <row r="4361">
          <cell r="A4361">
            <v>111791</v>
          </cell>
          <cell r="BB4361">
            <v>1</v>
          </cell>
        </row>
        <row r="4362">
          <cell r="A4362">
            <v>111792</v>
          </cell>
          <cell r="BB4362">
            <v>1</v>
          </cell>
        </row>
        <row r="4363">
          <cell r="A4363">
            <v>111793</v>
          </cell>
          <cell r="BB4363">
            <v>1</v>
          </cell>
        </row>
        <row r="4364">
          <cell r="A4364">
            <v>111794</v>
          </cell>
          <cell r="BB4364">
            <v>1</v>
          </cell>
        </row>
        <row r="4365">
          <cell r="A4365">
            <v>111795</v>
          </cell>
          <cell r="BB4365">
            <v>1</v>
          </cell>
        </row>
        <row r="4366">
          <cell r="A4366">
            <v>111796</v>
          </cell>
          <cell r="BB4366">
            <v>1</v>
          </cell>
        </row>
        <row r="4367">
          <cell r="A4367">
            <v>111797</v>
          </cell>
          <cell r="BB4367">
            <v>1</v>
          </cell>
        </row>
        <row r="4368">
          <cell r="A4368">
            <v>111798</v>
          </cell>
          <cell r="BB4368">
            <v>1</v>
          </cell>
        </row>
        <row r="4369">
          <cell r="A4369">
            <v>111799</v>
          </cell>
          <cell r="BB4369">
            <v>1</v>
          </cell>
        </row>
        <row r="4370">
          <cell r="A4370">
            <v>111800</v>
          </cell>
          <cell r="BB4370">
            <v>1</v>
          </cell>
        </row>
        <row r="4371">
          <cell r="A4371">
            <v>111801</v>
          </cell>
          <cell r="BB4371">
            <v>1</v>
          </cell>
        </row>
        <row r="4372">
          <cell r="A4372">
            <v>111802</v>
          </cell>
          <cell r="BB4372">
            <v>1</v>
          </cell>
        </row>
        <row r="4373">
          <cell r="A4373">
            <v>111803</v>
          </cell>
          <cell r="BB4373">
            <v>1</v>
          </cell>
        </row>
        <row r="4374">
          <cell r="A4374">
            <v>111804</v>
          </cell>
          <cell r="BB4374">
            <v>1</v>
          </cell>
        </row>
        <row r="4375">
          <cell r="A4375">
            <v>111805</v>
          </cell>
          <cell r="BB4375">
            <v>1</v>
          </cell>
        </row>
        <row r="4376">
          <cell r="A4376">
            <v>111806</v>
          </cell>
          <cell r="BB4376">
            <v>1</v>
          </cell>
        </row>
        <row r="4377">
          <cell r="A4377">
            <v>111807</v>
          </cell>
          <cell r="BB4377">
            <v>1</v>
          </cell>
        </row>
        <row r="4378">
          <cell r="A4378">
            <v>111808</v>
          </cell>
          <cell r="BB4378">
            <v>1</v>
          </cell>
        </row>
        <row r="4379">
          <cell r="A4379">
            <v>111809</v>
          </cell>
          <cell r="BB4379">
            <v>1</v>
          </cell>
        </row>
        <row r="4380">
          <cell r="A4380">
            <v>111810</v>
          </cell>
          <cell r="BB4380">
            <v>1</v>
          </cell>
        </row>
        <row r="4381">
          <cell r="A4381">
            <v>111811</v>
          </cell>
          <cell r="BB4381">
            <v>1</v>
          </cell>
        </row>
        <row r="4382">
          <cell r="A4382">
            <v>111812</v>
          </cell>
          <cell r="BB4382">
            <v>1</v>
          </cell>
        </row>
        <row r="4383">
          <cell r="A4383">
            <v>111813</v>
          </cell>
          <cell r="BB4383">
            <v>1</v>
          </cell>
        </row>
        <row r="4384">
          <cell r="A4384">
            <v>111814</v>
          </cell>
          <cell r="BB4384">
            <v>1</v>
          </cell>
        </row>
        <row r="4385">
          <cell r="A4385">
            <v>111815</v>
          </cell>
          <cell r="BB4385">
            <v>1</v>
          </cell>
        </row>
        <row r="4386">
          <cell r="A4386">
            <v>111816</v>
          </cell>
          <cell r="BB4386">
            <v>1</v>
          </cell>
        </row>
        <row r="4387">
          <cell r="A4387">
            <v>111817</v>
          </cell>
          <cell r="BB4387">
            <v>1</v>
          </cell>
        </row>
        <row r="4388">
          <cell r="A4388">
            <v>111818</v>
          </cell>
          <cell r="BB4388">
            <v>1</v>
          </cell>
        </row>
        <row r="4389">
          <cell r="A4389">
            <v>111819</v>
          </cell>
          <cell r="BB4389">
            <v>1</v>
          </cell>
        </row>
        <row r="4390">
          <cell r="A4390">
            <v>111820</v>
          </cell>
          <cell r="BB4390">
            <v>1</v>
          </cell>
        </row>
        <row r="4391">
          <cell r="A4391">
            <v>111821</v>
          </cell>
          <cell r="BB4391">
            <v>1</v>
          </cell>
        </row>
        <row r="4392">
          <cell r="A4392">
            <v>111822</v>
          </cell>
          <cell r="BB4392">
            <v>1</v>
          </cell>
        </row>
        <row r="4393">
          <cell r="A4393">
            <v>111823</v>
          </cell>
          <cell r="BB4393">
            <v>1</v>
          </cell>
        </row>
        <row r="4394">
          <cell r="A4394">
            <v>111824</v>
          </cell>
          <cell r="BB4394">
            <v>1</v>
          </cell>
        </row>
        <row r="4395">
          <cell r="A4395">
            <v>111825</v>
          </cell>
          <cell r="BB4395">
            <v>1</v>
          </cell>
        </row>
        <row r="4396">
          <cell r="A4396">
            <v>111826</v>
          </cell>
          <cell r="BB4396">
            <v>1</v>
          </cell>
        </row>
        <row r="4397">
          <cell r="A4397">
            <v>111827</v>
          </cell>
          <cell r="BB4397">
            <v>1</v>
          </cell>
        </row>
        <row r="4398">
          <cell r="A4398">
            <v>111828</v>
          </cell>
          <cell r="BB4398">
            <v>1</v>
          </cell>
        </row>
        <row r="4399">
          <cell r="A4399">
            <v>111829</v>
          </cell>
          <cell r="BB4399">
            <v>1</v>
          </cell>
        </row>
        <row r="4400">
          <cell r="A4400">
            <v>111830</v>
          </cell>
          <cell r="BB4400">
            <v>1</v>
          </cell>
        </row>
        <row r="4401">
          <cell r="A4401">
            <v>111831</v>
          </cell>
          <cell r="BB4401">
            <v>1</v>
          </cell>
        </row>
        <row r="4402">
          <cell r="A4402">
            <v>111832</v>
          </cell>
          <cell r="BB4402">
            <v>1</v>
          </cell>
        </row>
        <row r="4403">
          <cell r="A4403">
            <v>111833</v>
          </cell>
          <cell r="BB4403">
            <v>1</v>
          </cell>
        </row>
        <row r="4404">
          <cell r="A4404">
            <v>111834</v>
          </cell>
          <cell r="BB4404">
            <v>1</v>
          </cell>
        </row>
        <row r="4405">
          <cell r="A4405">
            <v>111835</v>
          </cell>
          <cell r="BB4405">
            <v>1</v>
          </cell>
        </row>
        <row r="4406">
          <cell r="A4406">
            <v>111836</v>
          </cell>
          <cell r="BB4406">
            <v>1</v>
          </cell>
        </row>
        <row r="4407">
          <cell r="A4407">
            <v>111837</v>
          </cell>
          <cell r="BB4407">
            <v>1</v>
          </cell>
        </row>
        <row r="4408">
          <cell r="A4408">
            <v>111838</v>
          </cell>
          <cell r="BB4408">
            <v>1</v>
          </cell>
        </row>
        <row r="4409">
          <cell r="A4409">
            <v>111839</v>
          </cell>
          <cell r="BB4409">
            <v>1</v>
          </cell>
        </row>
        <row r="4410">
          <cell r="A4410">
            <v>111840</v>
          </cell>
          <cell r="BB4410">
            <v>1</v>
          </cell>
        </row>
        <row r="4411">
          <cell r="A4411">
            <v>111841</v>
          </cell>
          <cell r="BB4411">
            <v>1</v>
          </cell>
        </row>
        <row r="4412">
          <cell r="A4412">
            <v>111842</v>
          </cell>
          <cell r="BB4412">
            <v>1</v>
          </cell>
        </row>
        <row r="4413">
          <cell r="A4413">
            <v>111843</v>
          </cell>
          <cell r="BB4413">
            <v>1</v>
          </cell>
        </row>
        <row r="4414">
          <cell r="A4414">
            <v>111844</v>
          </cell>
          <cell r="BB4414">
            <v>1</v>
          </cell>
        </row>
        <row r="4415">
          <cell r="A4415">
            <v>111845</v>
          </cell>
          <cell r="BB4415">
            <v>1</v>
          </cell>
        </row>
        <row r="4416">
          <cell r="A4416">
            <v>111846</v>
          </cell>
          <cell r="BB4416">
            <v>1</v>
          </cell>
        </row>
        <row r="4417">
          <cell r="A4417">
            <v>111847</v>
          </cell>
          <cell r="BB4417">
            <v>1</v>
          </cell>
        </row>
        <row r="4418">
          <cell r="A4418">
            <v>111848</v>
          </cell>
          <cell r="BB4418">
            <v>1</v>
          </cell>
        </row>
        <row r="4419">
          <cell r="A4419">
            <v>111849</v>
          </cell>
          <cell r="BB4419">
            <v>1</v>
          </cell>
        </row>
        <row r="4420">
          <cell r="A4420">
            <v>111850</v>
          </cell>
          <cell r="BB4420">
            <v>1</v>
          </cell>
        </row>
        <row r="4421">
          <cell r="A4421">
            <v>111851</v>
          </cell>
          <cell r="BB4421">
            <v>1</v>
          </cell>
        </row>
        <row r="4422">
          <cell r="A4422">
            <v>111852</v>
          </cell>
          <cell r="BB4422">
            <v>1</v>
          </cell>
        </row>
        <row r="4423">
          <cell r="A4423">
            <v>111853</v>
          </cell>
          <cell r="BB4423">
            <v>1</v>
          </cell>
        </row>
        <row r="4424">
          <cell r="A4424">
            <v>111854</v>
          </cell>
          <cell r="BB4424">
            <v>1</v>
          </cell>
        </row>
        <row r="4425">
          <cell r="A4425">
            <v>111855</v>
          </cell>
          <cell r="BB4425">
            <v>1</v>
          </cell>
        </row>
        <row r="4426">
          <cell r="A4426">
            <v>111856</v>
          </cell>
          <cell r="BB4426">
            <v>1</v>
          </cell>
        </row>
        <row r="4427">
          <cell r="A4427">
            <v>111857</v>
          </cell>
          <cell r="BB4427">
            <v>1</v>
          </cell>
        </row>
        <row r="4428">
          <cell r="A4428">
            <v>111858</v>
          </cell>
          <cell r="BB4428">
            <v>1</v>
          </cell>
        </row>
        <row r="4429">
          <cell r="A4429">
            <v>111859</v>
          </cell>
          <cell r="BB4429">
            <v>1</v>
          </cell>
        </row>
        <row r="4430">
          <cell r="A4430">
            <v>111860</v>
          </cell>
          <cell r="BB4430">
            <v>1</v>
          </cell>
        </row>
        <row r="4431">
          <cell r="A4431">
            <v>111861</v>
          </cell>
          <cell r="BB4431">
            <v>1</v>
          </cell>
        </row>
        <row r="4432">
          <cell r="A4432">
            <v>111862</v>
          </cell>
          <cell r="BB4432">
            <v>1</v>
          </cell>
        </row>
        <row r="4433">
          <cell r="A4433">
            <v>111863</v>
          </cell>
          <cell r="BB4433">
            <v>1</v>
          </cell>
        </row>
        <row r="4434">
          <cell r="A4434">
            <v>111864</v>
          </cell>
          <cell r="BB4434">
            <v>1</v>
          </cell>
        </row>
        <row r="4435">
          <cell r="A4435">
            <v>111865</v>
          </cell>
          <cell r="BB4435">
            <v>1</v>
          </cell>
        </row>
        <row r="4436">
          <cell r="A4436">
            <v>111866</v>
          </cell>
          <cell r="BB4436">
            <v>1</v>
          </cell>
        </row>
        <row r="4437">
          <cell r="A4437">
            <v>111867</v>
          </cell>
          <cell r="BB4437">
            <v>1</v>
          </cell>
        </row>
        <row r="4438">
          <cell r="A4438">
            <v>111868</v>
          </cell>
          <cell r="BB4438">
            <v>1</v>
          </cell>
        </row>
        <row r="4439">
          <cell r="A4439">
            <v>111869</v>
          </cell>
          <cell r="BB4439">
            <v>1</v>
          </cell>
        </row>
        <row r="4440">
          <cell r="A4440">
            <v>111870</v>
          </cell>
          <cell r="BB4440">
            <v>1</v>
          </cell>
        </row>
        <row r="4441">
          <cell r="A4441">
            <v>111871</v>
          </cell>
          <cell r="BB4441">
            <v>1</v>
          </cell>
        </row>
        <row r="4442">
          <cell r="A4442">
            <v>111872</v>
          </cell>
          <cell r="BB4442">
            <v>1</v>
          </cell>
        </row>
        <row r="4443">
          <cell r="A4443">
            <v>111873</v>
          </cell>
          <cell r="BB4443">
            <v>1</v>
          </cell>
        </row>
        <row r="4444">
          <cell r="A4444">
            <v>111874</v>
          </cell>
          <cell r="BB4444">
            <v>1</v>
          </cell>
        </row>
        <row r="4445">
          <cell r="A4445">
            <v>111875</v>
          </cell>
          <cell r="BB4445">
            <v>1</v>
          </cell>
        </row>
        <row r="4446">
          <cell r="A4446">
            <v>111876</v>
          </cell>
          <cell r="BB4446">
            <v>1</v>
          </cell>
        </row>
        <row r="4447">
          <cell r="A4447">
            <v>111877</v>
          </cell>
          <cell r="BB4447">
            <v>1</v>
          </cell>
        </row>
        <row r="4448">
          <cell r="A4448">
            <v>111878</v>
          </cell>
          <cell r="BB4448">
            <v>1</v>
          </cell>
        </row>
        <row r="4449">
          <cell r="A4449">
            <v>111879</v>
          </cell>
          <cell r="BB4449">
            <v>1</v>
          </cell>
        </row>
        <row r="4450">
          <cell r="A4450">
            <v>111880</v>
          </cell>
          <cell r="BB4450">
            <v>1</v>
          </cell>
        </row>
        <row r="4451">
          <cell r="A4451">
            <v>111881</v>
          </cell>
          <cell r="BB4451">
            <v>1</v>
          </cell>
        </row>
        <row r="4452">
          <cell r="A4452">
            <v>111882</v>
          </cell>
          <cell r="BB4452">
            <v>1</v>
          </cell>
        </row>
        <row r="4453">
          <cell r="A4453">
            <v>111883</v>
          </cell>
          <cell r="BB4453">
            <v>1</v>
          </cell>
        </row>
        <row r="4454">
          <cell r="A4454">
            <v>111884</v>
          </cell>
          <cell r="BB4454">
            <v>1</v>
          </cell>
        </row>
        <row r="4455">
          <cell r="A4455">
            <v>111885</v>
          </cell>
          <cell r="BB4455">
            <v>1</v>
          </cell>
        </row>
        <row r="4456">
          <cell r="A4456">
            <v>111886</v>
          </cell>
          <cell r="BB4456">
            <v>1</v>
          </cell>
        </row>
        <row r="4457">
          <cell r="A4457">
            <v>111887</v>
          </cell>
          <cell r="BB4457">
            <v>1</v>
          </cell>
        </row>
        <row r="4458">
          <cell r="A4458">
            <v>111888</v>
          </cell>
          <cell r="BB4458">
            <v>1</v>
          </cell>
        </row>
        <row r="4459">
          <cell r="A4459">
            <v>111889</v>
          </cell>
          <cell r="BB4459">
            <v>1</v>
          </cell>
        </row>
        <row r="4460">
          <cell r="A4460">
            <v>111890</v>
          </cell>
          <cell r="BB4460">
            <v>1</v>
          </cell>
        </row>
        <row r="4461">
          <cell r="A4461">
            <v>111891</v>
          </cell>
          <cell r="BB4461">
            <v>1</v>
          </cell>
        </row>
        <row r="4462">
          <cell r="A4462">
            <v>111892</v>
          </cell>
          <cell r="BB4462">
            <v>1</v>
          </cell>
        </row>
        <row r="4463">
          <cell r="A4463">
            <v>111893</v>
          </cell>
          <cell r="BB4463">
            <v>1</v>
          </cell>
        </row>
        <row r="4464">
          <cell r="A4464">
            <v>111894</v>
          </cell>
          <cell r="BB4464">
            <v>1</v>
          </cell>
        </row>
        <row r="4465">
          <cell r="A4465">
            <v>111895</v>
          </cell>
          <cell r="BB4465">
            <v>1</v>
          </cell>
        </row>
        <row r="4466">
          <cell r="A4466">
            <v>111896</v>
          </cell>
          <cell r="BB4466">
            <v>1</v>
          </cell>
        </row>
        <row r="4467">
          <cell r="A4467">
            <v>111897</v>
          </cell>
          <cell r="BB4467">
            <v>1</v>
          </cell>
        </row>
        <row r="4468">
          <cell r="A4468">
            <v>111898</v>
          </cell>
          <cell r="BB4468">
            <v>1</v>
          </cell>
        </row>
        <row r="4469">
          <cell r="A4469">
            <v>111899</v>
          </cell>
          <cell r="BB4469">
            <v>1</v>
          </cell>
        </row>
        <row r="4470">
          <cell r="A4470">
            <v>111900</v>
          </cell>
          <cell r="BB4470">
            <v>1</v>
          </cell>
        </row>
        <row r="4471">
          <cell r="A4471">
            <v>111901</v>
          </cell>
          <cell r="BB4471">
            <v>1</v>
          </cell>
        </row>
        <row r="4472">
          <cell r="A4472">
            <v>111902</v>
          </cell>
          <cell r="BB4472">
            <v>1</v>
          </cell>
        </row>
        <row r="4473">
          <cell r="A4473">
            <v>111903</v>
          </cell>
          <cell r="BB4473">
            <v>1</v>
          </cell>
        </row>
        <row r="4474">
          <cell r="A4474">
            <v>111904</v>
          </cell>
          <cell r="BB4474">
            <v>1</v>
          </cell>
        </row>
        <row r="4475">
          <cell r="A4475">
            <v>111905</v>
          </cell>
          <cell r="BB4475">
            <v>1</v>
          </cell>
        </row>
        <row r="4476">
          <cell r="A4476">
            <v>111906</v>
          </cell>
          <cell r="BB4476">
            <v>1</v>
          </cell>
        </row>
        <row r="4477">
          <cell r="A4477">
            <v>111907</v>
          </cell>
          <cell r="BB4477">
            <v>1</v>
          </cell>
        </row>
        <row r="4478">
          <cell r="A4478">
            <v>111908</v>
          </cell>
          <cell r="BB4478">
            <v>1</v>
          </cell>
        </row>
        <row r="4479">
          <cell r="A4479">
            <v>111909</v>
          </cell>
          <cell r="BB4479">
            <v>1</v>
          </cell>
        </row>
        <row r="4480">
          <cell r="A4480">
            <v>111910</v>
          </cell>
          <cell r="BB4480">
            <v>1</v>
          </cell>
        </row>
        <row r="4481">
          <cell r="A4481">
            <v>111911</v>
          </cell>
          <cell r="BB4481">
            <v>1</v>
          </cell>
        </row>
        <row r="4482">
          <cell r="A4482">
            <v>111912</v>
          </cell>
          <cell r="BB4482">
            <v>1</v>
          </cell>
        </row>
        <row r="4483">
          <cell r="A4483">
            <v>111913</v>
          </cell>
          <cell r="BB4483">
            <v>1</v>
          </cell>
        </row>
        <row r="4484">
          <cell r="A4484">
            <v>111914</v>
          </cell>
          <cell r="BB4484">
            <v>1</v>
          </cell>
        </row>
        <row r="4485">
          <cell r="A4485">
            <v>111915</v>
          </cell>
          <cell r="BB4485">
            <v>1</v>
          </cell>
        </row>
        <row r="4486">
          <cell r="A4486">
            <v>111916</v>
          </cell>
          <cell r="BB4486">
            <v>1</v>
          </cell>
        </row>
        <row r="4487">
          <cell r="A4487">
            <v>111917</v>
          </cell>
          <cell r="BB4487">
            <v>1</v>
          </cell>
        </row>
        <row r="4488">
          <cell r="A4488">
            <v>111918</v>
          </cell>
          <cell r="BB4488">
            <v>1</v>
          </cell>
        </row>
        <row r="4489">
          <cell r="A4489">
            <v>111919</v>
          </cell>
          <cell r="BB4489">
            <v>1</v>
          </cell>
        </row>
        <row r="4490">
          <cell r="A4490">
            <v>111920</v>
          </cell>
          <cell r="BB4490">
            <v>1</v>
          </cell>
        </row>
        <row r="4491">
          <cell r="A4491">
            <v>111921</v>
          </cell>
          <cell r="BB4491">
            <v>1</v>
          </cell>
        </row>
        <row r="4492">
          <cell r="A4492">
            <v>111922</v>
          </cell>
          <cell r="BB4492">
            <v>1</v>
          </cell>
        </row>
        <row r="4493">
          <cell r="A4493">
            <v>111923</v>
          </cell>
          <cell r="BB4493">
            <v>1</v>
          </cell>
        </row>
        <row r="4494">
          <cell r="A4494">
            <v>111924</v>
          </cell>
          <cell r="BB4494">
            <v>1</v>
          </cell>
        </row>
        <row r="4495">
          <cell r="A4495">
            <v>111925</v>
          </cell>
          <cell r="BB4495">
            <v>1</v>
          </cell>
        </row>
        <row r="4496">
          <cell r="A4496">
            <v>121001</v>
          </cell>
          <cell r="BB4496">
            <v>1</v>
          </cell>
        </row>
        <row r="4497">
          <cell r="A4497">
            <v>121002</v>
          </cell>
          <cell r="BB4497">
            <v>1</v>
          </cell>
        </row>
        <row r="4498">
          <cell r="A4498">
            <v>121003</v>
          </cell>
          <cell r="BB4498">
            <v>1</v>
          </cell>
        </row>
        <row r="4499">
          <cell r="A4499">
            <v>121004</v>
          </cell>
          <cell r="BB4499">
            <v>1</v>
          </cell>
        </row>
        <row r="4500">
          <cell r="A4500">
            <v>121005</v>
          </cell>
          <cell r="BB4500">
            <v>1</v>
          </cell>
        </row>
        <row r="4501">
          <cell r="A4501">
            <v>121006</v>
          </cell>
          <cell r="BB4501">
            <v>1</v>
          </cell>
        </row>
        <row r="4502">
          <cell r="A4502">
            <v>121007</v>
          </cell>
          <cell r="BB4502">
            <v>1</v>
          </cell>
        </row>
        <row r="4503">
          <cell r="A4503">
            <v>121008</v>
          </cell>
          <cell r="BB4503">
            <v>1</v>
          </cell>
        </row>
        <row r="4504">
          <cell r="A4504">
            <v>121009</v>
          </cell>
          <cell r="BB4504">
            <v>1</v>
          </cell>
        </row>
        <row r="4505">
          <cell r="A4505">
            <v>121010</v>
          </cell>
          <cell r="BB4505">
            <v>1</v>
          </cell>
        </row>
        <row r="4506">
          <cell r="A4506">
            <v>121011</v>
          </cell>
          <cell r="BB4506">
            <v>1</v>
          </cell>
        </row>
        <row r="4507">
          <cell r="A4507">
            <v>121012</v>
          </cell>
          <cell r="BB4507">
            <v>1</v>
          </cell>
        </row>
        <row r="4508">
          <cell r="A4508">
            <v>121013</v>
          </cell>
          <cell r="BB4508">
            <v>1</v>
          </cell>
        </row>
        <row r="4509">
          <cell r="A4509">
            <v>121014</v>
          </cell>
          <cell r="BB4509">
            <v>1</v>
          </cell>
        </row>
        <row r="4510">
          <cell r="A4510">
            <v>121015</v>
          </cell>
          <cell r="BB4510">
            <v>1</v>
          </cell>
        </row>
        <row r="4511">
          <cell r="A4511">
            <v>121016</v>
          </cell>
          <cell r="BB4511">
            <v>1</v>
          </cell>
        </row>
        <row r="4512">
          <cell r="A4512">
            <v>121017</v>
          </cell>
          <cell r="BB4512">
            <v>1</v>
          </cell>
        </row>
        <row r="4513">
          <cell r="A4513">
            <v>121018</v>
          </cell>
          <cell r="BB4513">
            <v>1</v>
          </cell>
        </row>
        <row r="4514">
          <cell r="A4514">
            <v>121019</v>
          </cell>
          <cell r="BB4514">
            <v>1</v>
          </cell>
        </row>
        <row r="4515">
          <cell r="A4515">
            <v>121020</v>
          </cell>
          <cell r="BB4515">
            <v>1</v>
          </cell>
        </row>
        <row r="4516">
          <cell r="A4516">
            <v>121021</v>
          </cell>
          <cell r="BB4516">
            <v>1</v>
          </cell>
        </row>
        <row r="4517">
          <cell r="A4517">
            <v>121022</v>
          </cell>
          <cell r="BB4517">
            <v>1</v>
          </cell>
        </row>
        <row r="4518">
          <cell r="A4518">
            <v>121023</v>
          </cell>
          <cell r="BB4518">
            <v>1</v>
          </cell>
        </row>
        <row r="4519">
          <cell r="A4519">
            <v>121024</v>
          </cell>
          <cell r="BB4519">
            <v>1</v>
          </cell>
        </row>
        <row r="4520">
          <cell r="A4520">
            <v>121025</v>
          </cell>
          <cell r="BB4520">
            <v>1</v>
          </cell>
        </row>
        <row r="4521">
          <cell r="A4521">
            <v>121026</v>
          </cell>
          <cell r="BB4521">
            <v>1</v>
          </cell>
        </row>
        <row r="4522">
          <cell r="A4522">
            <v>121027</v>
          </cell>
          <cell r="BB4522">
            <v>1</v>
          </cell>
        </row>
        <row r="4523">
          <cell r="A4523">
            <v>121028</v>
          </cell>
          <cell r="BB4523">
            <v>1</v>
          </cell>
        </row>
        <row r="4524">
          <cell r="A4524">
            <v>121029</v>
          </cell>
          <cell r="BB4524">
            <v>1</v>
          </cell>
        </row>
        <row r="4525">
          <cell r="A4525">
            <v>121030</v>
          </cell>
          <cell r="BB4525">
            <v>1</v>
          </cell>
        </row>
        <row r="4526">
          <cell r="A4526">
            <v>121031</v>
          </cell>
          <cell r="BB4526">
            <v>1</v>
          </cell>
        </row>
        <row r="4527">
          <cell r="A4527">
            <v>121032</v>
          </cell>
          <cell r="BB4527">
            <v>1</v>
          </cell>
        </row>
        <row r="4528">
          <cell r="A4528">
            <v>121033</v>
          </cell>
          <cell r="BB4528">
            <v>1</v>
          </cell>
        </row>
        <row r="4529">
          <cell r="A4529">
            <v>121034</v>
          </cell>
          <cell r="BB4529">
            <v>1</v>
          </cell>
        </row>
        <row r="4530">
          <cell r="A4530">
            <v>121035</v>
          </cell>
          <cell r="BB4530">
            <v>1</v>
          </cell>
        </row>
        <row r="4531">
          <cell r="A4531">
            <v>121036</v>
          </cell>
          <cell r="BB4531">
            <v>1</v>
          </cell>
        </row>
        <row r="4532">
          <cell r="A4532">
            <v>121037</v>
          </cell>
          <cell r="BB4532">
            <v>1</v>
          </cell>
        </row>
        <row r="4533">
          <cell r="A4533">
            <v>121038</v>
          </cell>
          <cell r="BB4533">
            <v>1</v>
          </cell>
        </row>
        <row r="4534">
          <cell r="A4534">
            <v>121039</v>
          </cell>
          <cell r="BB4534">
            <v>1</v>
          </cell>
        </row>
        <row r="4535">
          <cell r="A4535">
            <v>121040</v>
          </cell>
          <cell r="BB4535">
            <v>1</v>
          </cell>
        </row>
        <row r="4536">
          <cell r="A4536">
            <v>121041</v>
          </cell>
          <cell r="BB4536">
            <v>1</v>
          </cell>
        </row>
        <row r="4537">
          <cell r="A4537">
            <v>121042</v>
          </cell>
          <cell r="BB4537">
            <v>1</v>
          </cell>
        </row>
        <row r="4538">
          <cell r="A4538">
            <v>121043</v>
          </cell>
          <cell r="BB4538">
            <v>1</v>
          </cell>
        </row>
        <row r="4539">
          <cell r="A4539">
            <v>121044</v>
          </cell>
          <cell r="BB4539">
            <v>1</v>
          </cell>
        </row>
        <row r="4540">
          <cell r="A4540">
            <v>121045</v>
          </cell>
          <cell r="BB4540">
            <v>1</v>
          </cell>
        </row>
        <row r="4541">
          <cell r="A4541">
            <v>121046</v>
          </cell>
          <cell r="BB4541">
            <v>1</v>
          </cell>
        </row>
        <row r="4542">
          <cell r="A4542">
            <v>121047</v>
          </cell>
          <cell r="BB4542">
            <v>1</v>
          </cell>
        </row>
        <row r="4543">
          <cell r="A4543">
            <v>121048</v>
          </cell>
          <cell r="BB4543">
            <v>1</v>
          </cell>
        </row>
        <row r="4544">
          <cell r="A4544">
            <v>121049</v>
          </cell>
          <cell r="BB4544">
            <v>1</v>
          </cell>
        </row>
        <row r="4545">
          <cell r="A4545">
            <v>121050</v>
          </cell>
          <cell r="BB4545">
            <v>1</v>
          </cell>
        </row>
        <row r="4546">
          <cell r="A4546">
            <v>121051</v>
          </cell>
          <cell r="BB4546">
            <v>1</v>
          </cell>
        </row>
        <row r="4547">
          <cell r="A4547">
            <v>121052</v>
          </cell>
          <cell r="BB4547">
            <v>1</v>
          </cell>
        </row>
        <row r="4548">
          <cell r="A4548">
            <v>121053</v>
          </cell>
          <cell r="BB4548">
            <v>1</v>
          </cell>
        </row>
        <row r="4549">
          <cell r="A4549">
            <v>121054</v>
          </cell>
          <cell r="BB4549">
            <v>1</v>
          </cell>
        </row>
        <row r="4550">
          <cell r="A4550">
            <v>121055</v>
          </cell>
          <cell r="BB4550">
            <v>1</v>
          </cell>
        </row>
        <row r="4551">
          <cell r="A4551">
            <v>121056</v>
          </cell>
          <cell r="BB4551">
            <v>1</v>
          </cell>
        </row>
        <row r="4552">
          <cell r="A4552">
            <v>121057</v>
          </cell>
          <cell r="BB4552">
            <v>1</v>
          </cell>
        </row>
        <row r="4553">
          <cell r="A4553">
            <v>121058</v>
          </cell>
          <cell r="BB4553">
            <v>1</v>
          </cell>
        </row>
        <row r="4554">
          <cell r="A4554">
            <v>121059</v>
          </cell>
          <cell r="BB4554">
            <v>1</v>
          </cell>
        </row>
        <row r="4555">
          <cell r="A4555">
            <v>121060</v>
          </cell>
          <cell r="BB4555">
            <v>1</v>
          </cell>
        </row>
        <row r="4556">
          <cell r="A4556">
            <v>121061</v>
          </cell>
          <cell r="BB4556">
            <v>1</v>
          </cell>
        </row>
        <row r="4557">
          <cell r="A4557">
            <v>121062</v>
          </cell>
          <cell r="BB4557">
            <v>1</v>
          </cell>
        </row>
        <row r="4558">
          <cell r="A4558">
            <v>121063</v>
          </cell>
          <cell r="BB4558">
            <v>1</v>
          </cell>
        </row>
        <row r="4559">
          <cell r="A4559">
            <v>121064</v>
          </cell>
          <cell r="BB4559">
            <v>1</v>
          </cell>
        </row>
        <row r="4560">
          <cell r="A4560">
            <v>121065</v>
          </cell>
          <cell r="BB4560">
            <v>1</v>
          </cell>
        </row>
        <row r="4561">
          <cell r="A4561">
            <v>121066</v>
          </cell>
          <cell r="BB4561">
            <v>1</v>
          </cell>
        </row>
        <row r="4562">
          <cell r="A4562">
            <v>121067</v>
          </cell>
          <cell r="BB4562">
            <v>1</v>
          </cell>
        </row>
        <row r="4563">
          <cell r="A4563">
            <v>121068</v>
          </cell>
          <cell r="BB4563">
            <v>1</v>
          </cell>
        </row>
        <row r="4564">
          <cell r="A4564">
            <v>121069</v>
          </cell>
          <cell r="BB4564">
            <v>1</v>
          </cell>
        </row>
        <row r="4565">
          <cell r="A4565">
            <v>121070</v>
          </cell>
          <cell r="BB4565">
            <v>1</v>
          </cell>
        </row>
        <row r="4566">
          <cell r="A4566">
            <v>121071</v>
          </cell>
          <cell r="BB4566">
            <v>1</v>
          </cell>
        </row>
        <row r="4567">
          <cell r="A4567">
            <v>121072</v>
          </cell>
          <cell r="BB4567">
            <v>1</v>
          </cell>
        </row>
        <row r="4568">
          <cell r="A4568">
            <v>121073</v>
          </cell>
          <cell r="BB4568">
            <v>1</v>
          </cell>
        </row>
        <row r="4569">
          <cell r="A4569">
            <v>121074</v>
          </cell>
          <cell r="BB4569">
            <v>1</v>
          </cell>
        </row>
        <row r="4570">
          <cell r="A4570">
            <v>121075</v>
          </cell>
          <cell r="BB4570">
            <v>1</v>
          </cell>
        </row>
        <row r="4571">
          <cell r="A4571">
            <v>121076</v>
          </cell>
          <cell r="BB4571">
            <v>1</v>
          </cell>
        </row>
        <row r="4572">
          <cell r="A4572">
            <v>121077</v>
          </cell>
          <cell r="BB4572">
            <v>1</v>
          </cell>
        </row>
        <row r="4573">
          <cell r="A4573">
            <v>121078</v>
          </cell>
          <cell r="BB4573">
            <v>1</v>
          </cell>
        </row>
        <row r="4574">
          <cell r="A4574">
            <v>121079</v>
          </cell>
          <cell r="BB4574">
            <v>1</v>
          </cell>
        </row>
        <row r="4575">
          <cell r="A4575">
            <v>121080</v>
          </cell>
          <cell r="BB4575">
            <v>1</v>
          </cell>
        </row>
        <row r="4576">
          <cell r="A4576">
            <v>121081</v>
          </cell>
          <cell r="BB4576">
            <v>1</v>
          </cell>
        </row>
        <row r="4577">
          <cell r="A4577">
            <v>121082</v>
          </cell>
          <cell r="BB4577">
            <v>1</v>
          </cell>
        </row>
        <row r="4578">
          <cell r="A4578">
            <v>121083</v>
          </cell>
          <cell r="BB4578">
            <v>1</v>
          </cell>
        </row>
        <row r="4579">
          <cell r="A4579">
            <v>121084</v>
          </cell>
          <cell r="BB4579">
            <v>1</v>
          </cell>
        </row>
        <row r="4580">
          <cell r="A4580">
            <v>121085</v>
          </cell>
          <cell r="BB4580">
            <v>1</v>
          </cell>
        </row>
        <row r="4581">
          <cell r="A4581">
            <v>121086</v>
          </cell>
          <cell r="BB4581">
            <v>1</v>
          </cell>
        </row>
        <row r="4582">
          <cell r="A4582">
            <v>121087</v>
          </cell>
          <cell r="BB4582">
            <v>1</v>
          </cell>
        </row>
        <row r="4583">
          <cell r="A4583">
            <v>121088</v>
          </cell>
          <cell r="BB4583">
            <v>1</v>
          </cell>
        </row>
        <row r="4584">
          <cell r="A4584">
            <v>121089</v>
          </cell>
          <cell r="BB4584">
            <v>1</v>
          </cell>
        </row>
        <row r="4585">
          <cell r="A4585">
            <v>121090</v>
          </cell>
          <cell r="BB4585">
            <v>1</v>
          </cell>
        </row>
        <row r="4586">
          <cell r="A4586">
            <v>121091</v>
          </cell>
          <cell r="BB4586">
            <v>1</v>
          </cell>
        </row>
        <row r="4587">
          <cell r="A4587">
            <v>121092</v>
          </cell>
          <cell r="BB4587">
            <v>1</v>
          </cell>
        </row>
        <row r="4588">
          <cell r="A4588">
            <v>121093</v>
          </cell>
          <cell r="BB4588">
            <v>1</v>
          </cell>
        </row>
        <row r="4589">
          <cell r="A4589">
            <v>121094</v>
          </cell>
          <cell r="BB4589">
            <v>1</v>
          </cell>
        </row>
        <row r="4590">
          <cell r="A4590">
            <v>121095</v>
          </cell>
          <cell r="BB4590">
            <v>1</v>
          </cell>
        </row>
        <row r="4591">
          <cell r="A4591">
            <v>121096</v>
          </cell>
          <cell r="BB4591">
            <v>1</v>
          </cell>
        </row>
        <row r="4592">
          <cell r="A4592">
            <v>121097</v>
          </cell>
          <cell r="BB4592">
            <v>1</v>
          </cell>
        </row>
        <row r="4593">
          <cell r="A4593">
            <v>121098</v>
          </cell>
          <cell r="BB4593">
            <v>1</v>
          </cell>
        </row>
        <row r="4594">
          <cell r="A4594">
            <v>121099</v>
          </cell>
          <cell r="BB4594">
            <v>1</v>
          </cell>
        </row>
        <row r="4595">
          <cell r="A4595">
            <v>121100</v>
          </cell>
          <cell r="BB4595">
            <v>1</v>
          </cell>
        </row>
        <row r="4596">
          <cell r="A4596">
            <v>121101</v>
          </cell>
          <cell r="BB4596">
            <v>1</v>
          </cell>
        </row>
        <row r="4597">
          <cell r="A4597">
            <v>121102</v>
          </cell>
          <cell r="BB4597">
            <v>1</v>
          </cell>
        </row>
        <row r="4598">
          <cell r="A4598">
            <v>121103</v>
          </cell>
          <cell r="BB4598">
            <v>1</v>
          </cell>
        </row>
        <row r="4599">
          <cell r="A4599">
            <v>121104</v>
          </cell>
          <cell r="BB4599">
            <v>1</v>
          </cell>
        </row>
        <row r="4600">
          <cell r="A4600">
            <v>121105</v>
          </cell>
          <cell r="BB4600">
            <v>1</v>
          </cell>
        </row>
        <row r="4601">
          <cell r="A4601">
            <v>121106</v>
          </cell>
          <cell r="BB4601">
            <v>1</v>
          </cell>
        </row>
        <row r="4602">
          <cell r="A4602">
            <v>121107</v>
          </cell>
          <cell r="BB4602">
            <v>1</v>
          </cell>
        </row>
        <row r="4603">
          <cell r="A4603">
            <v>121108</v>
          </cell>
          <cell r="BB4603">
            <v>1</v>
          </cell>
        </row>
        <row r="4604">
          <cell r="A4604">
            <v>121109</v>
          </cell>
          <cell r="BB4604">
            <v>1</v>
          </cell>
        </row>
        <row r="4605">
          <cell r="A4605">
            <v>121110</v>
          </cell>
          <cell r="BB4605">
            <v>1</v>
          </cell>
        </row>
        <row r="4606">
          <cell r="A4606">
            <v>121111</v>
          </cell>
          <cell r="BB4606">
            <v>1</v>
          </cell>
        </row>
        <row r="4607">
          <cell r="A4607">
            <v>121112</v>
          </cell>
          <cell r="BB4607">
            <v>1</v>
          </cell>
        </row>
        <row r="4608">
          <cell r="A4608">
            <v>121113</v>
          </cell>
          <cell r="BB4608">
            <v>1</v>
          </cell>
        </row>
        <row r="4609">
          <cell r="A4609">
            <v>121114</v>
          </cell>
          <cell r="BB4609">
            <v>1</v>
          </cell>
        </row>
        <row r="4610">
          <cell r="A4610">
            <v>121115</v>
          </cell>
          <cell r="BB4610">
            <v>1</v>
          </cell>
        </row>
        <row r="4611">
          <cell r="A4611">
            <v>121116</v>
          </cell>
          <cell r="BB4611">
            <v>1</v>
          </cell>
        </row>
        <row r="4612">
          <cell r="A4612">
            <v>121117</v>
          </cell>
          <cell r="BB4612">
            <v>1</v>
          </cell>
        </row>
        <row r="4613">
          <cell r="A4613">
            <v>121118</v>
          </cell>
          <cell r="BB4613">
            <v>1</v>
          </cell>
        </row>
        <row r="4614">
          <cell r="A4614">
            <v>121119</v>
          </cell>
          <cell r="BB4614">
            <v>1</v>
          </cell>
        </row>
        <row r="4615">
          <cell r="A4615">
            <v>121120</v>
          </cell>
          <cell r="BB4615">
            <v>1</v>
          </cell>
        </row>
        <row r="4616">
          <cell r="A4616">
            <v>121121</v>
          </cell>
          <cell r="BB4616">
            <v>1</v>
          </cell>
        </row>
        <row r="4617">
          <cell r="A4617">
            <v>121122</v>
          </cell>
          <cell r="BB4617">
            <v>1</v>
          </cell>
        </row>
        <row r="4618">
          <cell r="A4618">
            <v>121123</v>
          </cell>
          <cell r="BB4618">
            <v>1</v>
          </cell>
        </row>
        <row r="4619">
          <cell r="A4619">
            <v>121124</v>
          </cell>
          <cell r="BB4619">
            <v>1</v>
          </cell>
        </row>
        <row r="4620">
          <cell r="A4620">
            <v>121125</v>
          </cell>
          <cell r="BB4620">
            <v>1</v>
          </cell>
        </row>
        <row r="4621">
          <cell r="A4621">
            <v>121126</v>
          </cell>
          <cell r="BB4621">
            <v>1</v>
          </cell>
        </row>
        <row r="4622">
          <cell r="A4622">
            <v>121127</v>
          </cell>
          <cell r="BB4622">
            <v>1</v>
          </cell>
        </row>
        <row r="4623">
          <cell r="A4623">
            <v>121128</v>
          </cell>
          <cell r="BB4623">
            <v>1</v>
          </cell>
        </row>
        <row r="4624">
          <cell r="A4624">
            <v>121129</v>
          </cell>
          <cell r="BB4624">
            <v>1</v>
          </cell>
        </row>
        <row r="4625">
          <cell r="A4625">
            <v>121130</v>
          </cell>
          <cell r="BB4625">
            <v>1</v>
          </cell>
        </row>
        <row r="4626">
          <cell r="A4626">
            <v>121131</v>
          </cell>
          <cell r="BB4626">
            <v>1</v>
          </cell>
        </row>
        <row r="4627">
          <cell r="A4627">
            <v>121132</v>
          </cell>
          <cell r="BB4627">
            <v>1</v>
          </cell>
        </row>
        <row r="4628">
          <cell r="A4628">
            <v>121133</v>
          </cell>
          <cell r="BB4628">
            <v>1</v>
          </cell>
        </row>
        <row r="4629">
          <cell r="A4629">
            <v>121134</v>
          </cell>
          <cell r="BB4629">
            <v>1</v>
          </cell>
        </row>
        <row r="4630">
          <cell r="A4630">
            <v>121135</v>
          </cell>
          <cell r="BB4630">
            <v>1</v>
          </cell>
        </row>
        <row r="4631">
          <cell r="A4631">
            <v>121136</v>
          </cell>
          <cell r="BB4631">
            <v>1</v>
          </cell>
        </row>
        <row r="4632">
          <cell r="A4632">
            <v>121137</v>
          </cell>
          <cell r="BB4632">
            <v>1</v>
          </cell>
        </row>
        <row r="4633">
          <cell r="A4633">
            <v>121138</v>
          </cell>
          <cell r="BB4633">
            <v>1</v>
          </cell>
        </row>
        <row r="4634">
          <cell r="A4634">
            <v>121139</v>
          </cell>
          <cell r="BB4634">
            <v>1</v>
          </cell>
        </row>
        <row r="4635">
          <cell r="A4635">
            <v>121140</v>
          </cell>
          <cell r="BB4635">
            <v>1</v>
          </cell>
        </row>
        <row r="4636">
          <cell r="A4636">
            <v>121141</v>
          </cell>
          <cell r="BB4636">
            <v>1</v>
          </cell>
        </row>
        <row r="4637">
          <cell r="A4637">
            <v>121142</v>
          </cell>
          <cell r="BB4637">
            <v>1</v>
          </cell>
        </row>
        <row r="4638">
          <cell r="A4638">
            <v>121143</v>
          </cell>
          <cell r="BB4638">
            <v>1</v>
          </cell>
        </row>
        <row r="4639">
          <cell r="A4639">
            <v>121144</v>
          </cell>
          <cell r="BB4639">
            <v>1</v>
          </cell>
        </row>
        <row r="4640">
          <cell r="A4640">
            <v>121145</v>
          </cell>
          <cell r="BB4640">
            <v>1</v>
          </cell>
        </row>
        <row r="4641">
          <cell r="A4641">
            <v>121146</v>
          </cell>
          <cell r="BB4641">
            <v>1</v>
          </cell>
        </row>
        <row r="4642">
          <cell r="A4642">
            <v>121147</v>
          </cell>
          <cell r="BB4642">
            <v>1</v>
          </cell>
        </row>
        <row r="4643">
          <cell r="A4643">
            <v>121148</v>
          </cell>
          <cell r="BB4643">
            <v>1</v>
          </cell>
        </row>
        <row r="4644">
          <cell r="A4644">
            <v>121149</v>
          </cell>
          <cell r="BB4644">
            <v>1</v>
          </cell>
        </row>
        <row r="4645">
          <cell r="A4645">
            <v>121150</v>
          </cell>
          <cell r="BB4645">
            <v>1</v>
          </cell>
        </row>
        <row r="4646">
          <cell r="A4646">
            <v>121151</v>
          </cell>
          <cell r="BB4646">
            <v>1</v>
          </cell>
        </row>
        <row r="4647">
          <cell r="A4647">
            <v>121152</v>
          </cell>
          <cell r="BB4647">
            <v>1</v>
          </cell>
        </row>
        <row r="4648">
          <cell r="A4648">
            <v>121153</v>
          </cell>
          <cell r="BB4648">
            <v>1</v>
          </cell>
        </row>
        <row r="4649">
          <cell r="A4649">
            <v>121154</v>
          </cell>
          <cell r="BB4649">
            <v>1</v>
          </cell>
        </row>
        <row r="4650">
          <cell r="A4650">
            <v>121155</v>
          </cell>
          <cell r="BB4650">
            <v>1</v>
          </cell>
        </row>
        <row r="4651">
          <cell r="A4651">
            <v>121156</v>
          </cell>
          <cell r="BB4651">
            <v>1</v>
          </cell>
        </row>
        <row r="4652">
          <cell r="A4652">
            <v>121157</v>
          </cell>
          <cell r="BB4652">
            <v>1</v>
          </cell>
        </row>
        <row r="4653">
          <cell r="A4653">
            <v>121158</v>
          </cell>
          <cell r="BB4653">
            <v>1</v>
          </cell>
        </row>
        <row r="4654">
          <cell r="A4654">
            <v>121159</v>
          </cell>
          <cell r="BB4654">
            <v>1</v>
          </cell>
        </row>
        <row r="4655">
          <cell r="A4655">
            <v>121160</v>
          </cell>
          <cell r="BB4655">
            <v>1</v>
          </cell>
        </row>
        <row r="4656">
          <cell r="A4656">
            <v>121161</v>
          </cell>
          <cell r="BB4656">
            <v>1</v>
          </cell>
        </row>
        <row r="4657">
          <cell r="A4657">
            <v>121162</v>
          </cell>
          <cell r="BB4657">
            <v>1</v>
          </cell>
        </row>
        <row r="4658">
          <cell r="A4658">
            <v>121163</v>
          </cell>
          <cell r="BB4658">
            <v>1</v>
          </cell>
        </row>
        <row r="4659">
          <cell r="A4659">
            <v>121164</v>
          </cell>
          <cell r="BB4659">
            <v>1</v>
          </cell>
        </row>
        <row r="4660">
          <cell r="A4660">
            <v>121165</v>
          </cell>
          <cell r="BB4660">
            <v>1</v>
          </cell>
        </row>
        <row r="4661">
          <cell r="A4661">
            <v>121166</v>
          </cell>
          <cell r="BB4661">
            <v>1</v>
          </cell>
        </row>
        <row r="4662">
          <cell r="A4662">
            <v>121167</v>
          </cell>
          <cell r="BB4662">
            <v>1</v>
          </cell>
        </row>
        <row r="4663">
          <cell r="A4663">
            <v>121168</v>
          </cell>
          <cell r="BB4663">
            <v>1</v>
          </cell>
        </row>
        <row r="4664">
          <cell r="A4664">
            <v>121169</v>
          </cell>
          <cell r="BB4664">
            <v>1</v>
          </cell>
        </row>
        <row r="4665">
          <cell r="A4665">
            <v>121170</v>
          </cell>
          <cell r="BB4665">
            <v>1</v>
          </cell>
        </row>
        <row r="4666">
          <cell r="A4666">
            <v>121171</v>
          </cell>
          <cell r="BB4666">
            <v>1</v>
          </cell>
        </row>
        <row r="4667">
          <cell r="A4667">
            <v>121172</v>
          </cell>
          <cell r="BB4667">
            <v>1</v>
          </cell>
        </row>
        <row r="4668">
          <cell r="A4668">
            <v>121173</v>
          </cell>
          <cell r="BB4668">
            <v>1</v>
          </cell>
        </row>
        <row r="4669">
          <cell r="A4669">
            <v>121174</v>
          </cell>
          <cell r="BB4669">
            <v>1</v>
          </cell>
        </row>
        <row r="4670">
          <cell r="A4670">
            <v>121175</v>
          </cell>
          <cell r="BB4670">
            <v>1</v>
          </cell>
        </row>
        <row r="4671">
          <cell r="A4671">
            <v>121176</v>
          </cell>
          <cell r="BB4671">
            <v>1</v>
          </cell>
        </row>
        <row r="4672">
          <cell r="A4672">
            <v>121177</v>
          </cell>
          <cell r="BB4672">
            <v>1</v>
          </cell>
        </row>
        <row r="4673">
          <cell r="A4673">
            <v>121178</v>
          </cell>
          <cell r="BB4673">
            <v>1</v>
          </cell>
        </row>
        <row r="4674">
          <cell r="A4674">
            <v>121179</v>
          </cell>
          <cell r="BB4674">
            <v>1</v>
          </cell>
        </row>
        <row r="4675">
          <cell r="A4675">
            <v>121180</v>
          </cell>
          <cell r="BB4675">
            <v>1</v>
          </cell>
        </row>
        <row r="4676">
          <cell r="A4676">
            <v>121181</v>
          </cell>
          <cell r="BB4676">
            <v>1</v>
          </cell>
        </row>
        <row r="4677">
          <cell r="A4677">
            <v>121182</v>
          </cell>
          <cell r="BB4677">
            <v>1</v>
          </cell>
        </row>
        <row r="4678">
          <cell r="A4678">
            <v>121183</v>
          </cell>
          <cell r="BB4678">
            <v>1</v>
          </cell>
        </row>
        <row r="4679">
          <cell r="A4679">
            <v>121184</v>
          </cell>
          <cell r="BB4679">
            <v>1</v>
          </cell>
        </row>
        <row r="4680">
          <cell r="A4680">
            <v>121185</v>
          </cell>
          <cell r="BB4680">
            <v>1</v>
          </cell>
        </row>
        <row r="4681">
          <cell r="A4681">
            <v>121186</v>
          </cell>
          <cell r="BB4681">
            <v>1</v>
          </cell>
        </row>
        <row r="4682">
          <cell r="A4682">
            <v>121187</v>
          </cell>
          <cell r="BB4682">
            <v>1</v>
          </cell>
        </row>
        <row r="4683">
          <cell r="A4683">
            <v>121188</v>
          </cell>
          <cell r="BB4683">
            <v>1</v>
          </cell>
        </row>
        <row r="4684">
          <cell r="A4684">
            <v>121189</v>
          </cell>
          <cell r="BB4684">
            <v>1</v>
          </cell>
        </row>
        <row r="4685">
          <cell r="A4685">
            <v>121190</v>
          </cell>
          <cell r="BB4685">
            <v>1</v>
          </cell>
        </row>
        <row r="4686">
          <cell r="A4686">
            <v>121191</v>
          </cell>
          <cell r="BB4686">
            <v>1</v>
          </cell>
        </row>
        <row r="4687">
          <cell r="A4687">
            <v>121192</v>
          </cell>
          <cell r="BB4687">
            <v>1</v>
          </cell>
        </row>
        <row r="4688">
          <cell r="A4688">
            <v>121193</v>
          </cell>
          <cell r="BB4688">
            <v>1</v>
          </cell>
        </row>
        <row r="4689">
          <cell r="A4689">
            <v>121194</v>
          </cell>
          <cell r="BB4689">
            <v>1</v>
          </cell>
        </row>
        <row r="4690">
          <cell r="A4690">
            <v>121195</v>
          </cell>
          <cell r="BB4690">
            <v>1</v>
          </cell>
        </row>
        <row r="4691">
          <cell r="A4691">
            <v>121196</v>
          </cell>
          <cell r="BB4691">
            <v>1</v>
          </cell>
        </row>
        <row r="4692">
          <cell r="A4692">
            <v>121197</v>
          </cell>
          <cell r="BB4692">
            <v>1</v>
          </cell>
        </row>
        <row r="4693">
          <cell r="A4693">
            <v>121198</v>
          </cell>
          <cell r="BB4693">
            <v>1</v>
          </cell>
        </row>
        <row r="4694">
          <cell r="A4694">
            <v>121199</v>
          </cell>
          <cell r="BB4694">
            <v>1</v>
          </cell>
        </row>
        <row r="4695">
          <cell r="A4695">
            <v>121200</v>
          </cell>
          <cell r="BB4695">
            <v>1</v>
          </cell>
        </row>
        <row r="4696">
          <cell r="A4696">
            <v>121201</v>
          </cell>
          <cell r="BB4696">
            <v>1</v>
          </cell>
        </row>
        <row r="4697">
          <cell r="A4697">
            <v>121202</v>
          </cell>
          <cell r="BB4697">
            <v>1</v>
          </cell>
        </row>
        <row r="4698">
          <cell r="A4698">
            <v>121203</v>
          </cell>
          <cell r="BB4698">
            <v>1</v>
          </cell>
        </row>
        <row r="4699">
          <cell r="A4699">
            <v>121204</v>
          </cell>
          <cell r="BB4699">
            <v>1</v>
          </cell>
        </row>
        <row r="4700">
          <cell r="A4700">
            <v>121205</v>
          </cell>
          <cell r="BB4700">
            <v>1</v>
          </cell>
        </row>
        <row r="4701">
          <cell r="A4701">
            <v>121206</v>
          </cell>
          <cell r="BB4701">
            <v>1</v>
          </cell>
        </row>
        <row r="4702">
          <cell r="A4702">
            <v>121207</v>
          </cell>
          <cell r="BB4702">
            <v>1</v>
          </cell>
        </row>
        <row r="4703">
          <cell r="A4703">
            <v>121208</v>
          </cell>
          <cell r="BB4703">
            <v>1</v>
          </cell>
        </row>
        <row r="4704">
          <cell r="A4704">
            <v>121209</v>
          </cell>
          <cell r="BB4704">
            <v>1</v>
          </cell>
        </row>
        <row r="4705">
          <cell r="A4705">
            <v>121210</v>
          </cell>
          <cell r="BB4705">
            <v>1</v>
          </cell>
        </row>
        <row r="4706">
          <cell r="A4706">
            <v>121211</v>
          </cell>
          <cell r="BB4706">
            <v>1</v>
          </cell>
        </row>
        <row r="4707">
          <cell r="A4707">
            <v>121212</v>
          </cell>
          <cell r="BB4707">
            <v>1</v>
          </cell>
        </row>
        <row r="4708">
          <cell r="A4708">
            <v>121213</v>
          </cell>
          <cell r="BB4708">
            <v>1</v>
          </cell>
        </row>
        <row r="4709">
          <cell r="A4709">
            <v>121214</v>
          </cell>
          <cell r="BB4709">
            <v>1</v>
          </cell>
        </row>
        <row r="4710">
          <cell r="A4710">
            <v>121215</v>
          </cell>
          <cell r="BB4710">
            <v>1</v>
          </cell>
        </row>
        <row r="4711">
          <cell r="A4711">
            <v>121216</v>
          </cell>
          <cell r="BB4711">
            <v>1</v>
          </cell>
        </row>
        <row r="4712">
          <cell r="A4712">
            <v>121217</v>
          </cell>
          <cell r="BB4712">
            <v>1</v>
          </cell>
        </row>
        <row r="4713">
          <cell r="A4713">
            <v>121218</v>
          </cell>
          <cell r="BB4713">
            <v>1</v>
          </cell>
        </row>
        <row r="4714">
          <cell r="A4714">
            <v>121219</v>
          </cell>
          <cell r="BB4714">
            <v>1</v>
          </cell>
        </row>
        <row r="4715">
          <cell r="A4715">
            <v>121220</v>
          </cell>
          <cell r="BB4715">
            <v>1</v>
          </cell>
        </row>
        <row r="4716">
          <cell r="A4716">
            <v>121221</v>
          </cell>
          <cell r="BB4716">
            <v>1</v>
          </cell>
        </row>
        <row r="4717">
          <cell r="A4717">
            <v>121222</v>
          </cell>
          <cell r="BB4717">
            <v>1</v>
          </cell>
        </row>
        <row r="4718">
          <cell r="A4718">
            <v>121223</v>
          </cell>
          <cell r="BB4718">
            <v>1</v>
          </cell>
        </row>
        <row r="4719">
          <cell r="A4719">
            <v>121224</v>
          </cell>
          <cell r="BB4719">
            <v>1</v>
          </cell>
        </row>
        <row r="4720">
          <cell r="A4720">
            <v>121225</v>
          </cell>
          <cell r="BB4720">
            <v>1</v>
          </cell>
        </row>
        <row r="4721">
          <cell r="A4721">
            <v>121226</v>
          </cell>
          <cell r="BB4721">
            <v>1</v>
          </cell>
        </row>
        <row r="4722">
          <cell r="A4722">
            <v>121227</v>
          </cell>
          <cell r="BB4722">
            <v>1</v>
          </cell>
        </row>
        <row r="4723">
          <cell r="A4723">
            <v>121228</v>
          </cell>
          <cell r="BB4723">
            <v>1</v>
          </cell>
        </row>
        <row r="4724">
          <cell r="A4724">
            <v>121229</v>
          </cell>
          <cell r="BB4724">
            <v>1</v>
          </cell>
        </row>
        <row r="4725">
          <cell r="A4725">
            <v>121230</v>
          </cell>
          <cell r="BB4725">
            <v>1</v>
          </cell>
        </row>
        <row r="4726">
          <cell r="A4726">
            <v>121231</v>
          </cell>
          <cell r="BB4726">
            <v>1</v>
          </cell>
        </row>
        <row r="4727">
          <cell r="A4727">
            <v>121232</v>
          </cell>
          <cell r="BB4727">
            <v>1</v>
          </cell>
        </row>
        <row r="4728">
          <cell r="A4728">
            <v>121233</v>
          </cell>
          <cell r="BB4728">
            <v>1</v>
          </cell>
        </row>
        <row r="4729">
          <cell r="A4729">
            <v>121234</v>
          </cell>
          <cell r="BB4729">
            <v>1</v>
          </cell>
        </row>
        <row r="4730">
          <cell r="A4730">
            <v>121235</v>
          </cell>
          <cell r="BB4730">
            <v>1</v>
          </cell>
        </row>
        <row r="4731">
          <cell r="A4731">
            <v>121236</v>
          </cell>
          <cell r="BB4731">
            <v>1</v>
          </cell>
        </row>
        <row r="4732">
          <cell r="A4732">
            <v>121237</v>
          </cell>
          <cell r="BB4732">
            <v>1</v>
          </cell>
        </row>
        <row r="4733">
          <cell r="A4733">
            <v>121238</v>
          </cell>
          <cell r="BB4733">
            <v>1</v>
          </cell>
        </row>
        <row r="4734">
          <cell r="A4734">
            <v>121239</v>
          </cell>
          <cell r="BB4734">
            <v>1</v>
          </cell>
        </row>
        <row r="4735">
          <cell r="A4735">
            <v>121240</v>
          </cell>
          <cell r="BB4735">
            <v>1</v>
          </cell>
        </row>
        <row r="4736">
          <cell r="A4736">
            <v>121241</v>
          </cell>
          <cell r="BB4736">
            <v>1</v>
          </cell>
        </row>
        <row r="4737">
          <cell r="A4737">
            <v>121242</v>
          </cell>
          <cell r="BB4737">
            <v>1</v>
          </cell>
        </row>
        <row r="4738">
          <cell r="A4738">
            <v>121243</v>
          </cell>
          <cell r="BB4738">
            <v>1</v>
          </cell>
        </row>
        <row r="4739">
          <cell r="A4739">
            <v>121244</v>
          </cell>
          <cell r="BB4739">
            <v>1</v>
          </cell>
        </row>
        <row r="4740">
          <cell r="A4740">
            <v>121245</v>
          </cell>
          <cell r="BB4740">
            <v>1</v>
          </cell>
        </row>
        <row r="4741">
          <cell r="A4741">
            <v>121246</v>
          </cell>
          <cell r="BB4741">
            <v>1</v>
          </cell>
        </row>
        <row r="4742">
          <cell r="A4742">
            <v>121247</v>
          </cell>
          <cell r="BB4742">
            <v>1</v>
          </cell>
        </row>
        <row r="4743">
          <cell r="A4743">
            <v>121248</v>
          </cell>
          <cell r="BB4743">
            <v>1</v>
          </cell>
        </row>
        <row r="4744">
          <cell r="A4744">
            <v>121249</v>
          </cell>
          <cell r="BB4744">
            <v>1</v>
          </cell>
        </row>
        <row r="4745">
          <cell r="A4745">
            <v>121250</v>
          </cell>
          <cell r="BB4745">
            <v>1</v>
          </cell>
        </row>
        <row r="4746">
          <cell r="A4746">
            <v>121251</v>
          </cell>
          <cell r="BB4746">
            <v>1</v>
          </cell>
        </row>
        <row r="4747">
          <cell r="A4747">
            <v>121252</v>
          </cell>
          <cell r="BB4747">
            <v>1</v>
          </cell>
        </row>
        <row r="4748">
          <cell r="A4748">
            <v>121253</v>
          </cell>
          <cell r="BB4748">
            <v>1</v>
          </cell>
        </row>
        <row r="4749">
          <cell r="A4749">
            <v>121254</v>
          </cell>
          <cell r="BB4749">
            <v>1</v>
          </cell>
        </row>
        <row r="4750">
          <cell r="A4750">
            <v>121255</v>
          </cell>
          <cell r="BB4750">
            <v>1</v>
          </cell>
        </row>
        <row r="4751">
          <cell r="A4751">
            <v>121256</v>
          </cell>
          <cell r="BB4751">
            <v>1</v>
          </cell>
        </row>
        <row r="4752">
          <cell r="A4752">
            <v>121257</v>
          </cell>
          <cell r="BB4752">
            <v>1</v>
          </cell>
        </row>
        <row r="4753">
          <cell r="A4753">
            <v>121258</v>
          </cell>
          <cell r="BB4753">
            <v>1</v>
          </cell>
        </row>
        <row r="4754">
          <cell r="A4754">
            <v>121259</v>
          </cell>
          <cell r="BB4754">
            <v>1</v>
          </cell>
        </row>
        <row r="4755">
          <cell r="A4755">
            <v>121260</v>
          </cell>
          <cell r="BB4755">
            <v>1</v>
          </cell>
        </row>
        <row r="4756">
          <cell r="A4756">
            <v>121261</v>
          </cell>
          <cell r="BB4756">
            <v>1</v>
          </cell>
        </row>
        <row r="4757">
          <cell r="A4757">
            <v>121262</v>
          </cell>
          <cell r="BB4757">
            <v>1</v>
          </cell>
        </row>
        <row r="4758">
          <cell r="A4758">
            <v>121263</v>
          </cell>
          <cell r="BB4758">
            <v>1</v>
          </cell>
        </row>
        <row r="4759">
          <cell r="A4759">
            <v>121264</v>
          </cell>
          <cell r="BB4759">
            <v>1</v>
          </cell>
        </row>
        <row r="4760">
          <cell r="A4760">
            <v>121265</v>
          </cell>
          <cell r="BB4760">
            <v>1</v>
          </cell>
        </row>
        <row r="4761">
          <cell r="A4761">
            <v>121266</v>
          </cell>
          <cell r="BB4761">
            <v>1</v>
          </cell>
        </row>
        <row r="4762">
          <cell r="A4762">
            <v>121267</v>
          </cell>
          <cell r="BB4762">
            <v>1</v>
          </cell>
        </row>
        <row r="4763">
          <cell r="A4763">
            <v>121268</v>
          </cell>
          <cell r="BB4763">
            <v>1</v>
          </cell>
        </row>
        <row r="4764">
          <cell r="A4764">
            <v>121269</v>
          </cell>
          <cell r="BB4764">
            <v>1</v>
          </cell>
        </row>
        <row r="4765">
          <cell r="A4765">
            <v>121270</v>
          </cell>
          <cell r="BB4765">
            <v>1</v>
          </cell>
        </row>
        <row r="4766">
          <cell r="A4766">
            <v>121271</v>
          </cell>
          <cell r="BB4766">
            <v>1</v>
          </cell>
        </row>
        <row r="4767">
          <cell r="A4767">
            <v>121272</v>
          </cell>
          <cell r="BB4767">
            <v>1</v>
          </cell>
        </row>
        <row r="4768">
          <cell r="A4768">
            <v>121273</v>
          </cell>
          <cell r="BB4768">
            <v>1</v>
          </cell>
        </row>
        <row r="4769">
          <cell r="A4769">
            <v>121274</v>
          </cell>
          <cell r="BB4769">
            <v>1</v>
          </cell>
        </row>
        <row r="4770">
          <cell r="A4770">
            <v>121275</v>
          </cell>
          <cell r="BB4770">
            <v>1</v>
          </cell>
        </row>
        <row r="4771">
          <cell r="A4771">
            <v>121276</v>
          </cell>
          <cell r="BB4771">
            <v>1</v>
          </cell>
        </row>
        <row r="4772">
          <cell r="A4772">
            <v>121277</v>
          </cell>
          <cell r="BB4772">
            <v>1</v>
          </cell>
        </row>
        <row r="4773">
          <cell r="A4773">
            <v>121278</v>
          </cell>
          <cell r="BB4773">
            <v>1</v>
          </cell>
        </row>
        <row r="4774">
          <cell r="A4774">
            <v>121279</v>
          </cell>
          <cell r="BB4774">
            <v>1</v>
          </cell>
        </row>
        <row r="4775">
          <cell r="A4775">
            <v>121280</v>
          </cell>
          <cell r="BB4775">
            <v>1</v>
          </cell>
        </row>
        <row r="4776">
          <cell r="A4776">
            <v>121281</v>
          </cell>
          <cell r="BB4776">
            <v>1</v>
          </cell>
        </row>
        <row r="4777">
          <cell r="A4777">
            <v>121282</v>
          </cell>
          <cell r="BB4777">
            <v>1</v>
          </cell>
        </row>
        <row r="4778">
          <cell r="A4778">
            <v>121283</v>
          </cell>
          <cell r="BB4778">
            <v>1</v>
          </cell>
        </row>
        <row r="4779">
          <cell r="A4779">
            <v>121284</v>
          </cell>
          <cell r="BB4779">
            <v>1</v>
          </cell>
        </row>
        <row r="4780">
          <cell r="A4780">
            <v>121285</v>
          </cell>
          <cell r="BB4780">
            <v>1</v>
          </cell>
        </row>
        <row r="4781">
          <cell r="A4781">
            <v>121286</v>
          </cell>
          <cell r="BB4781">
            <v>1</v>
          </cell>
        </row>
        <row r="4782">
          <cell r="A4782">
            <v>121287</v>
          </cell>
          <cell r="BB4782">
            <v>1</v>
          </cell>
        </row>
        <row r="4783">
          <cell r="A4783">
            <v>121288</v>
          </cell>
          <cell r="BB4783">
            <v>1</v>
          </cell>
        </row>
        <row r="4784">
          <cell r="A4784">
            <v>121289</v>
          </cell>
          <cell r="BB4784">
            <v>1</v>
          </cell>
        </row>
        <row r="4785">
          <cell r="A4785">
            <v>121290</v>
          </cell>
          <cell r="BB4785">
            <v>1</v>
          </cell>
        </row>
        <row r="4786">
          <cell r="A4786">
            <v>121291</v>
          </cell>
          <cell r="BB4786">
            <v>1</v>
          </cell>
        </row>
        <row r="4787">
          <cell r="A4787">
            <v>121292</v>
          </cell>
          <cell r="BB4787">
            <v>1</v>
          </cell>
        </row>
        <row r="4788">
          <cell r="A4788">
            <v>121293</v>
          </cell>
          <cell r="BB4788">
            <v>1</v>
          </cell>
        </row>
        <row r="4789">
          <cell r="A4789">
            <v>121294</v>
          </cell>
          <cell r="BB4789">
            <v>1</v>
          </cell>
        </row>
        <row r="4790">
          <cell r="A4790">
            <v>121295</v>
          </cell>
          <cell r="BB4790">
            <v>1</v>
          </cell>
        </row>
        <row r="4791">
          <cell r="A4791">
            <v>121296</v>
          </cell>
          <cell r="BB4791">
            <v>1</v>
          </cell>
        </row>
        <row r="4792">
          <cell r="A4792">
            <v>121297</v>
          </cell>
          <cell r="BB4792">
            <v>1</v>
          </cell>
        </row>
        <row r="4793">
          <cell r="A4793">
            <v>121298</v>
          </cell>
          <cell r="BB4793">
            <v>1</v>
          </cell>
        </row>
        <row r="4794">
          <cell r="A4794">
            <v>121299</v>
          </cell>
          <cell r="BB4794">
            <v>1</v>
          </cell>
        </row>
        <row r="4795">
          <cell r="A4795">
            <v>121300</v>
          </cell>
          <cell r="BB4795">
            <v>1</v>
          </cell>
        </row>
        <row r="4796">
          <cell r="A4796">
            <v>121301</v>
          </cell>
          <cell r="BB4796">
            <v>1</v>
          </cell>
        </row>
        <row r="4797">
          <cell r="A4797">
            <v>121302</v>
          </cell>
          <cell r="BB4797">
            <v>1</v>
          </cell>
        </row>
        <row r="4798">
          <cell r="A4798">
            <v>121303</v>
          </cell>
          <cell r="BB4798">
            <v>1</v>
          </cell>
        </row>
        <row r="4799">
          <cell r="A4799">
            <v>121304</v>
          </cell>
          <cell r="BB4799">
            <v>1</v>
          </cell>
        </row>
        <row r="4800">
          <cell r="A4800">
            <v>121305</v>
          </cell>
          <cell r="BB4800">
            <v>1</v>
          </cell>
        </row>
        <row r="4801">
          <cell r="A4801">
            <v>121306</v>
          </cell>
          <cell r="BB4801">
            <v>1</v>
          </cell>
        </row>
        <row r="4802">
          <cell r="A4802">
            <v>121307</v>
          </cell>
          <cell r="BB4802">
            <v>1</v>
          </cell>
        </row>
        <row r="4803">
          <cell r="A4803">
            <v>121308</v>
          </cell>
          <cell r="BB4803">
            <v>1</v>
          </cell>
        </row>
        <row r="4804">
          <cell r="A4804">
            <v>121309</v>
          </cell>
          <cell r="BB4804">
            <v>1</v>
          </cell>
        </row>
        <row r="4805">
          <cell r="A4805">
            <v>121310</v>
          </cell>
          <cell r="BB4805">
            <v>1</v>
          </cell>
        </row>
        <row r="4806">
          <cell r="A4806">
            <v>121311</v>
          </cell>
          <cell r="BB4806">
            <v>1</v>
          </cell>
        </row>
        <row r="4807">
          <cell r="A4807">
            <v>121312</v>
          </cell>
          <cell r="BB4807">
            <v>1</v>
          </cell>
        </row>
        <row r="4808">
          <cell r="A4808">
            <v>121313</v>
          </cell>
          <cell r="BB4808">
            <v>1</v>
          </cell>
        </row>
        <row r="4809">
          <cell r="A4809">
            <v>121314</v>
          </cell>
          <cell r="BB4809">
            <v>1</v>
          </cell>
        </row>
        <row r="4810">
          <cell r="A4810">
            <v>121315</v>
          </cell>
          <cell r="BB4810">
            <v>1</v>
          </cell>
        </row>
        <row r="4811">
          <cell r="A4811">
            <v>121316</v>
          </cell>
          <cell r="BB4811">
            <v>1</v>
          </cell>
        </row>
        <row r="4812">
          <cell r="A4812">
            <v>121317</v>
          </cell>
          <cell r="BB4812">
            <v>1</v>
          </cell>
        </row>
        <row r="4813">
          <cell r="A4813">
            <v>121318</v>
          </cell>
          <cell r="BB4813">
            <v>1</v>
          </cell>
        </row>
        <row r="4814">
          <cell r="A4814">
            <v>121319</v>
          </cell>
          <cell r="BB4814">
            <v>1</v>
          </cell>
        </row>
        <row r="4815">
          <cell r="A4815">
            <v>121320</v>
          </cell>
          <cell r="BB4815">
            <v>1</v>
          </cell>
        </row>
        <row r="4816">
          <cell r="A4816">
            <v>121321</v>
          </cell>
          <cell r="BB4816">
            <v>1</v>
          </cell>
        </row>
        <row r="4817">
          <cell r="A4817">
            <v>121322</v>
          </cell>
          <cell r="BB4817">
            <v>1</v>
          </cell>
        </row>
        <row r="4818">
          <cell r="A4818">
            <v>121323</v>
          </cell>
          <cell r="BB4818">
            <v>1</v>
          </cell>
        </row>
        <row r="4819">
          <cell r="A4819">
            <v>121324</v>
          </cell>
          <cell r="BB4819">
            <v>1</v>
          </cell>
        </row>
        <row r="4820">
          <cell r="A4820">
            <v>121325</v>
          </cell>
          <cell r="BB4820">
            <v>1</v>
          </cell>
        </row>
        <row r="4821">
          <cell r="A4821">
            <v>121326</v>
          </cell>
          <cell r="BB4821">
            <v>1</v>
          </cell>
        </row>
        <row r="4822">
          <cell r="A4822">
            <v>121327</v>
          </cell>
          <cell r="BB4822">
            <v>1</v>
          </cell>
        </row>
        <row r="4823">
          <cell r="A4823">
            <v>121328</v>
          </cell>
          <cell r="BB4823">
            <v>1</v>
          </cell>
        </row>
        <row r="4824">
          <cell r="A4824">
            <v>121329</v>
          </cell>
          <cell r="BB4824">
            <v>1</v>
          </cell>
        </row>
        <row r="4825">
          <cell r="A4825">
            <v>121330</v>
          </cell>
          <cell r="BB4825">
            <v>1</v>
          </cell>
        </row>
        <row r="4826">
          <cell r="A4826">
            <v>121331</v>
          </cell>
          <cell r="BB4826">
            <v>1</v>
          </cell>
        </row>
        <row r="4827">
          <cell r="A4827">
            <v>121332</v>
          </cell>
          <cell r="BB4827">
            <v>1</v>
          </cell>
        </row>
        <row r="4828">
          <cell r="A4828">
            <v>121333</v>
          </cell>
          <cell r="BB4828">
            <v>1</v>
          </cell>
        </row>
        <row r="4829">
          <cell r="A4829">
            <v>121334</v>
          </cell>
          <cell r="BB4829">
            <v>1</v>
          </cell>
        </row>
        <row r="4830">
          <cell r="A4830">
            <v>121335</v>
          </cell>
          <cell r="BB4830">
            <v>1</v>
          </cell>
        </row>
        <row r="4831">
          <cell r="A4831">
            <v>121336</v>
          </cell>
          <cell r="BB4831">
            <v>1</v>
          </cell>
        </row>
        <row r="4832">
          <cell r="A4832">
            <v>121337</v>
          </cell>
          <cell r="BB4832">
            <v>1</v>
          </cell>
        </row>
        <row r="4833">
          <cell r="A4833">
            <v>121338</v>
          </cell>
          <cell r="BB4833">
            <v>1</v>
          </cell>
        </row>
        <row r="4834">
          <cell r="A4834">
            <v>121339</v>
          </cell>
          <cell r="BB4834">
            <v>1</v>
          </cell>
        </row>
        <row r="4835">
          <cell r="A4835">
            <v>121340</v>
          </cell>
          <cell r="BB4835">
            <v>1</v>
          </cell>
        </row>
        <row r="4836">
          <cell r="A4836">
            <v>121341</v>
          </cell>
          <cell r="BB4836">
            <v>1</v>
          </cell>
        </row>
        <row r="4837">
          <cell r="A4837">
            <v>121342</v>
          </cell>
          <cell r="BB4837">
            <v>1</v>
          </cell>
        </row>
        <row r="4838">
          <cell r="A4838">
            <v>121343</v>
          </cell>
          <cell r="BB4838">
            <v>1</v>
          </cell>
        </row>
        <row r="4839">
          <cell r="A4839">
            <v>121344</v>
          </cell>
          <cell r="BB4839">
            <v>1</v>
          </cell>
        </row>
        <row r="4840">
          <cell r="A4840">
            <v>121345</v>
          </cell>
          <cell r="BB4840">
            <v>1</v>
          </cell>
        </row>
        <row r="4841">
          <cell r="A4841">
            <v>121346</v>
          </cell>
          <cell r="BB4841">
            <v>1</v>
          </cell>
        </row>
        <row r="4842">
          <cell r="A4842">
            <v>121347</v>
          </cell>
          <cell r="BB4842">
            <v>1</v>
          </cell>
        </row>
        <row r="4843">
          <cell r="A4843">
            <v>121348</v>
          </cell>
          <cell r="BB4843">
            <v>1</v>
          </cell>
        </row>
        <row r="4844">
          <cell r="A4844">
            <v>121349</v>
          </cell>
          <cell r="BB4844">
            <v>1</v>
          </cell>
        </row>
        <row r="4845">
          <cell r="A4845">
            <v>121350</v>
          </cell>
          <cell r="BB4845">
            <v>1</v>
          </cell>
        </row>
        <row r="4846">
          <cell r="A4846">
            <v>121351</v>
          </cell>
          <cell r="BB4846">
            <v>1</v>
          </cell>
        </row>
        <row r="4847">
          <cell r="A4847">
            <v>121352</v>
          </cell>
          <cell r="BB4847">
            <v>1</v>
          </cell>
        </row>
        <row r="4848">
          <cell r="A4848">
            <v>121353</v>
          </cell>
          <cell r="BB4848">
            <v>1</v>
          </cell>
        </row>
        <row r="4849">
          <cell r="A4849">
            <v>121354</v>
          </cell>
          <cell r="BB4849">
            <v>1</v>
          </cell>
        </row>
        <row r="4850">
          <cell r="A4850">
            <v>121355</v>
          </cell>
          <cell r="BB4850">
            <v>1</v>
          </cell>
        </row>
        <row r="4851">
          <cell r="A4851">
            <v>121356</v>
          </cell>
          <cell r="BB4851">
            <v>1</v>
          </cell>
        </row>
        <row r="4852">
          <cell r="A4852">
            <v>121357</v>
          </cell>
          <cell r="BB4852">
            <v>1</v>
          </cell>
        </row>
        <row r="4853">
          <cell r="A4853">
            <v>121358</v>
          </cell>
          <cell r="BB4853">
            <v>1</v>
          </cell>
        </row>
        <row r="4854">
          <cell r="A4854">
            <v>121359</v>
          </cell>
          <cell r="BB4854">
            <v>1</v>
          </cell>
        </row>
        <row r="4855">
          <cell r="A4855">
            <v>121360</v>
          </cell>
          <cell r="BB4855">
            <v>1</v>
          </cell>
        </row>
        <row r="4856">
          <cell r="A4856">
            <v>121361</v>
          </cell>
          <cell r="BB4856">
            <v>1</v>
          </cell>
        </row>
        <row r="4857">
          <cell r="A4857">
            <v>121362</v>
          </cell>
          <cell r="BB4857">
            <v>1</v>
          </cell>
        </row>
        <row r="4858">
          <cell r="A4858">
            <v>121363</v>
          </cell>
          <cell r="BB4858">
            <v>1</v>
          </cell>
        </row>
        <row r="4859">
          <cell r="A4859">
            <v>121364</v>
          </cell>
          <cell r="BB4859">
            <v>1</v>
          </cell>
        </row>
        <row r="4860">
          <cell r="A4860">
            <v>121365</v>
          </cell>
          <cell r="BB4860">
            <v>1</v>
          </cell>
        </row>
        <row r="4861">
          <cell r="A4861">
            <v>121366</v>
          </cell>
          <cell r="BB4861">
            <v>1</v>
          </cell>
        </row>
        <row r="4862">
          <cell r="A4862">
            <v>121367</v>
          </cell>
          <cell r="BB4862">
            <v>1</v>
          </cell>
        </row>
        <row r="4863">
          <cell r="A4863">
            <v>121368</v>
          </cell>
          <cell r="BB4863">
            <v>1</v>
          </cell>
        </row>
        <row r="4864">
          <cell r="A4864">
            <v>121369</v>
          </cell>
          <cell r="BB4864">
            <v>1</v>
          </cell>
        </row>
        <row r="4865">
          <cell r="A4865">
            <v>121370</v>
          </cell>
          <cell r="BB4865">
            <v>1</v>
          </cell>
        </row>
        <row r="4866">
          <cell r="A4866">
            <v>121371</v>
          </cell>
          <cell r="BB4866">
            <v>1</v>
          </cell>
        </row>
        <row r="4867">
          <cell r="A4867">
            <v>121372</v>
          </cell>
          <cell r="BB4867">
            <v>1</v>
          </cell>
        </row>
        <row r="4868">
          <cell r="A4868">
            <v>121373</v>
          </cell>
          <cell r="BB4868">
            <v>1</v>
          </cell>
        </row>
        <row r="4869">
          <cell r="A4869">
            <v>121374</v>
          </cell>
          <cell r="BB4869">
            <v>1</v>
          </cell>
        </row>
        <row r="4870">
          <cell r="A4870">
            <v>121375</v>
          </cell>
          <cell r="BB4870">
            <v>1</v>
          </cell>
        </row>
        <row r="4871">
          <cell r="A4871">
            <v>121376</v>
          </cell>
          <cell r="BB4871">
            <v>1</v>
          </cell>
        </row>
        <row r="4872">
          <cell r="A4872">
            <v>121377</v>
          </cell>
          <cell r="BB4872">
            <v>1</v>
          </cell>
        </row>
        <row r="4873">
          <cell r="A4873">
            <v>121378</v>
          </cell>
          <cell r="BB4873">
            <v>1</v>
          </cell>
        </row>
        <row r="4874">
          <cell r="A4874">
            <v>121379</v>
          </cell>
          <cell r="BB4874">
            <v>1</v>
          </cell>
        </row>
        <row r="4875">
          <cell r="A4875">
            <v>121380</v>
          </cell>
          <cell r="BB4875">
            <v>1</v>
          </cell>
        </row>
        <row r="4876">
          <cell r="A4876">
            <v>121381</v>
          </cell>
          <cell r="BB4876">
            <v>1</v>
          </cell>
        </row>
        <row r="4877">
          <cell r="A4877">
            <v>121382</v>
          </cell>
          <cell r="BB4877">
            <v>1</v>
          </cell>
        </row>
        <row r="4878">
          <cell r="A4878">
            <v>121383</v>
          </cell>
          <cell r="BB4878">
            <v>1</v>
          </cell>
        </row>
        <row r="4879">
          <cell r="A4879">
            <v>121384</v>
          </cell>
          <cell r="BB4879">
            <v>1</v>
          </cell>
        </row>
        <row r="4880">
          <cell r="A4880">
            <v>121385</v>
          </cell>
          <cell r="BB4880">
            <v>1</v>
          </cell>
        </row>
        <row r="4881">
          <cell r="A4881">
            <v>121386</v>
          </cell>
          <cell r="BB4881">
            <v>1</v>
          </cell>
        </row>
        <row r="4882">
          <cell r="A4882">
            <v>121387</v>
          </cell>
          <cell r="BB4882">
            <v>1</v>
          </cell>
        </row>
        <row r="4883">
          <cell r="A4883">
            <v>121388</v>
          </cell>
          <cell r="BB4883">
            <v>1</v>
          </cell>
        </row>
        <row r="4884">
          <cell r="A4884">
            <v>121389</v>
          </cell>
          <cell r="BB4884">
            <v>1</v>
          </cell>
        </row>
        <row r="4885">
          <cell r="A4885">
            <v>121390</v>
          </cell>
          <cell r="BB4885">
            <v>1</v>
          </cell>
        </row>
        <row r="4886">
          <cell r="A4886">
            <v>121391</v>
          </cell>
          <cell r="BB4886">
            <v>1</v>
          </cell>
        </row>
        <row r="4887">
          <cell r="A4887">
            <v>121392</v>
          </cell>
          <cell r="BB4887">
            <v>1</v>
          </cell>
        </row>
        <row r="4888">
          <cell r="A4888">
            <v>121393</v>
          </cell>
          <cell r="BB4888">
            <v>1</v>
          </cell>
        </row>
        <row r="4889">
          <cell r="A4889">
            <v>121394</v>
          </cell>
          <cell r="BB4889">
            <v>1</v>
          </cell>
        </row>
        <row r="4890">
          <cell r="A4890">
            <v>121395</v>
          </cell>
          <cell r="BB4890">
            <v>1</v>
          </cell>
        </row>
        <row r="4891">
          <cell r="A4891">
            <v>121396</v>
          </cell>
          <cell r="BB4891">
            <v>1</v>
          </cell>
        </row>
        <row r="4892">
          <cell r="A4892">
            <v>121397</v>
          </cell>
          <cell r="BB4892">
            <v>1</v>
          </cell>
        </row>
        <row r="4893">
          <cell r="A4893">
            <v>121398</v>
          </cell>
          <cell r="BB4893">
            <v>1</v>
          </cell>
        </row>
        <row r="4894">
          <cell r="A4894">
            <v>121399</v>
          </cell>
          <cell r="BB4894">
            <v>1</v>
          </cell>
        </row>
        <row r="4895">
          <cell r="A4895">
            <v>121400</v>
          </cell>
          <cell r="BB4895">
            <v>1</v>
          </cell>
        </row>
        <row r="4896">
          <cell r="A4896">
            <v>121401</v>
          </cell>
          <cell r="BB4896">
            <v>1</v>
          </cell>
        </row>
        <row r="4897">
          <cell r="A4897">
            <v>121402</v>
          </cell>
          <cell r="BB4897">
            <v>1</v>
          </cell>
        </row>
        <row r="4898">
          <cell r="A4898">
            <v>121403</v>
          </cell>
          <cell r="BB4898">
            <v>1</v>
          </cell>
        </row>
        <row r="4899">
          <cell r="A4899">
            <v>121404</v>
          </cell>
          <cell r="BB4899">
            <v>1</v>
          </cell>
        </row>
        <row r="4900">
          <cell r="A4900">
            <v>121405</v>
          </cell>
          <cell r="BB4900">
            <v>1</v>
          </cell>
        </row>
        <row r="4901">
          <cell r="A4901">
            <v>121406</v>
          </cell>
          <cell r="BB4901">
            <v>1</v>
          </cell>
        </row>
        <row r="4902">
          <cell r="A4902">
            <v>121407</v>
          </cell>
          <cell r="BB4902">
            <v>1</v>
          </cell>
        </row>
        <row r="4903">
          <cell r="A4903">
            <v>121408</v>
          </cell>
          <cell r="BB4903">
            <v>1</v>
          </cell>
        </row>
        <row r="4904">
          <cell r="A4904">
            <v>121409</v>
          </cell>
          <cell r="BB4904">
            <v>1</v>
          </cell>
        </row>
        <row r="4905">
          <cell r="A4905">
            <v>121410</v>
          </cell>
          <cell r="BB4905">
            <v>1</v>
          </cell>
        </row>
        <row r="4906">
          <cell r="A4906">
            <v>121411</v>
          </cell>
          <cell r="BB4906">
            <v>1</v>
          </cell>
        </row>
        <row r="4907">
          <cell r="A4907">
            <v>121412</v>
          </cell>
          <cell r="BB4907">
            <v>1</v>
          </cell>
        </row>
        <row r="4908">
          <cell r="A4908">
            <v>121413</v>
          </cell>
          <cell r="BB4908">
            <v>1</v>
          </cell>
        </row>
        <row r="4909">
          <cell r="A4909">
            <v>121414</v>
          </cell>
          <cell r="BB4909">
            <v>1</v>
          </cell>
        </row>
        <row r="4910">
          <cell r="A4910">
            <v>121415</v>
          </cell>
          <cell r="BB4910">
            <v>1</v>
          </cell>
        </row>
        <row r="4911">
          <cell r="A4911">
            <v>121416</v>
          </cell>
          <cell r="BB4911">
            <v>1</v>
          </cell>
        </row>
        <row r="4912">
          <cell r="A4912">
            <v>121417</v>
          </cell>
          <cell r="BB4912">
            <v>1</v>
          </cell>
        </row>
        <row r="4913">
          <cell r="A4913">
            <v>121418</v>
          </cell>
          <cell r="BB4913">
            <v>1</v>
          </cell>
        </row>
        <row r="4914">
          <cell r="A4914">
            <v>121419</v>
          </cell>
          <cell r="BB4914">
            <v>1</v>
          </cell>
        </row>
        <row r="4915">
          <cell r="A4915">
            <v>121420</v>
          </cell>
          <cell r="BB4915">
            <v>1</v>
          </cell>
        </row>
        <row r="4916">
          <cell r="A4916">
            <v>121421</v>
          </cell>
          <cell r="BB4916">
            <v>1</v>
          </cell>
        </row>
        <row r="4917">
          <cell r="A4917">
            <v>121422</v>
          </cell>
          <cell r="BB4917">
            <v>1</v>
          </cell>
        </row>
        <row r="4918">
          <cell r="A4918">
            <v>121423</v>
          </cell>
          <cell r="BB4918">
            <v>1</v>
          </cell>
        </row>
        <row r="4919">
          <cell r="A4919">
            <v>121424</v>
          </cell>
          <cell r="BB4919">
            <v>1</v>
          </cell>
        </row>
        <row r="4920">
          <cell r="A4920">
            <v>121425</v>
          </cell>
          <cell r="BB4920">
            <v>1</v>
          </cell>
        </row>
        <row r="4921">
          <cell r="A4921">
            <v>121426</v>
          </cell>
          <cell r="BB4921">
            <v>1</v>
          </cell>
        </row>
        <row r="4922">
          <cell r="A4922">
            <v>121427</v>
          </cell>
          <cell r="BB4922">
            <v>1</v>
          </cell>
        </row>
        <row r="4923">
          <cell r="A4923">
            <v>121428</v>
          </cell>
          <cell r="BB4923">
            <v>1</v>
          </cell>
        </row>
        <row r="4924">
          <cell r="A4924">
            <v>121429</v>
          </cell>
          <cell r="BB4924">
            <v>1</v>
          </cell>
        </row>
        <row r="4925">
          <cell r="A4925">
            <v>121430</v>
          </cell>
          <cell r="BB4925">
            <v>1</v>
          </cell>
        </row>
        <row r="4926">
          <cell r="A4926">
            <v>121431</v>
          </cell>
          <cell r="BB4926">
            <v>1</v>
          </cell>
        </row>
        <row r="4927">
          <cell r="A4927">
            <v>121432</v>
          </cell>
          <cell r="BB4927">
            <v>1</v>
          </cell>
        </row>
        <row r="4928">
          <cell r="A4928">
            <v>121433</v>
          </cell>
          <cell r="BB4928">
            <v>1</v>
          </cell>
        </row>
        <row r="4929">
          <cell r="A4929">
            <v>121434</v>
          </cell>
          <cell r="BB4929">
            <v>1</v>
          </cell>
        </row>
        <row r="4930">
          <cell r="A4930">
            <v>121435</v>
          </cell>
          <cell r="BB4930">
            <v>1</v>
          </cell>
        </row>
        <row r="4931">
          <cell r="A4931">
            <v>121436</v>
          </cell>
          <cell r="BB4931">
            <v>1</v>
          </cell>
        </row>
        <row r="4932">
          <cell r="A4932">
            <v>121437</v>
          </cell>
          <cell r="BB4932">
            <v>1</v>
          </cell>
        </row>
        <row r="4933">
          <cell r="A4933">
            <v>121438</v>
          </cell>
          <cell r="BB4933">
            <v>1</v>
          </cell>
        </row>
        <row r="4934">
          <cell r="A4934">
            <v>121439</v>
          </cell>
          <cell r="BB4934">
            <v>1</v>
          </cell>
        </row>
        <row r="4935">
          <cell r="A4935">
            <v>121440</v>
          </cell>
          <cell r="BB4935">
            <v>1</v>
          </cell>
        </row>
        <row r="4936">
          <cell r="A4936">
            <v>121441</v>
          </cell>
          <cell r="BB4936">
            <v>1</v>
          </cell>
        </row>
        <row r="4937">
          <cell r="A4937">
            <v>121442</v>
          </cell>
          <cell r="BB4937">
            <v>1</v>
          </cell>
        </row>
        <row r="4938">
          <cell r="A4938">
            <v>121443</v>
          </cell>
          <cell r="BB4938">
            <v>1</v>
          </cell>
        </row>
        <row r="4939">
          <cell r="A4939">
            <v>121444</v>
          </cell>
          <cell r="BB4939">
            <v>1</v>
          </cell>
        </row>
        <row r="4940">
          <cell r="A4940">
            <v>121445</v>
          </cell>
          <cell r="BB4940">
            <v>1</v>
          </cell>
        </row>
        <row r="4941">
          <cell r="A4941">
            <v>121446</v>
          </cell>
          <cell r="BB4941">
            <v>1</v>
          </cell>
        </row>
        <row r="4942">
          <cell r="A4942">
            <v>121447</v>
          </cell>
          <cell r="BB4942">
            <v>1</v>
          </cell>
        </row>
        <row r="4943">
          <cell r="A4943">
            <v>121448</v>
          </cell>
          <cell r="BB4943">
            <v>1</v>
          </cell>
        </row>
        <row r="4944">
          <cell r="A4944">
            <v>121449</v>
          </cell>
          <cell r="BB4944">
            <v>1</v>
          </cell>
        </row>
        <row r="4945">
          <cell r="A4945">
            <v>121450</v>
          </cell>
          <cell r="BB4945">
            <v>1</v>
          </cell>
        </row>
        <row r="4946">
          <cell r="A4946">
            <v>121451</v>
          </cell>
          <cell r="BB4946">
            <v>1</v>
          </cell>
        </row>
        <row r="4947">
          <cell r="A4947">
            <v>121452</v>
          </cell>
          <cell r="BB4947">
            <v>1</v>
          </cell>
        </row>
        <row r="4948">
          <cell r="A4948">
            <v>121453</v>
          </cell>
          <cell r="BB4948">
            <v>1</v>
          </cell>
        </row>
        <row r="4949">
          <cell r="A4949">
            <v>121454</v>
          </cell>
          <cell r="BB4949">
            <v>1</v>
          </cell>
        </row>
        <row r="4950">
          <cell r="A4950">
            <v>121455</v>
          </cell>
          <cell r="BB4950">
            <v>1</v>
          </cell>
        </row>
        <row r="4951">
          <cell r="A4951">
            <v>121456</v>
          </cell>
          <cell r="BB4951">
            <v>1</v>
          </cell>
        </row>
        <row r="4952">
          <cell r="A4952">
            <v>121457</v>
          </cell>
          <cell r="BB4952">
            <v>1</v>
          </cell>
        </row>
        <row r="4953">
          <cell r="A4953">
            <v>121458</v>
          </cell>
          <cell r="BB4953">
            <v>1</v>
          </cell>
        </row>
        <row r="4954">
          <cell r="A4954">
            <v>121459</v>
          </cell>
          <cell r="BB4954">
            <v>1</v>
          </cell>
        </row>
        <row r="4955">
          <cell r="A4955">
            <v>121460</v>
          </cell>
          <cell r="BB4955">
            <v>1</v>
          </cell>
        </row>
        <row r="4956">
          <cell r="A4956">
            <v>121461</v>
          </cell>
          <cell r="BB4956">
            <v>1</v>
          </cell>
        </row>
        <row r="4957">
          <cell r="A4957">
            <v>121462</v>
          </cell>
          <cell r="BB4957">
            <v>1</v>
          </cell>
        </row>
        <row r="4958">
          <cell r="A4958">
            <v>121463</v>
          </cell>
          <cell r="BB4958">
            <v>1</v>
          </cell>
        </row>
        <row r="4959">
          <cell r="A4959">
            <v>121464</v>
          </cell>
          <cell r="BB4959">
            <v>1</v>
          </cell>
        </row>
        <row r="4960">
          <cell r="A4960">
            <v>121465</v>
          </cell>
          <cell r="BB4960">
            <v>1</v>
          </cell>
        </row>
        <row r="4961">
          <cell r="A4961">
            <v>121466</v>
          </cell>
          <cell r="BB4961">
            <v>1</v>
          </cell>
        </row>
        <row r="4962">
          <cell r="A4962">
            <v>121467</v>
          </cell>
          <cell r="BB4962">
            <v>1</v>
          </cell>
        </row>
        <row r="4963">
          <cell r="A4963">
            <v>121468</v>
          </cell>
          <cell r="BB4963">
            <v>1</v>
          </cell>
        </row>
        <row r="4964">
          <cell r="A4964">
            <v>121469</v>
          </cell>
          <cell r="BB4964">
            <v>1</v>
          </cell>
        </row>
        <row r="4965">
          <cell r="A4965">
            <v>121470</v>
          </cell>
          <cell r="BB4965">
            <v>1</v>
          </cell>
        </row>
        <row r="4966">
          <cell r="A4966">
            <v>121471</v>
          </cell>
          <cell r="BB4966">
            <v>1</v>
          </cell>
        </row>
        <row r="4967">
          <cell r="A4967">
            <v>121472</v>
          </cell>
          <cell r="BB4967">
            <v>1</v>
          </cell>
        </row>
        <row r="4968">
          <cell r="A4968">
            <v>121473</v>
          </cell>
          <cell r="BB4968">
            <v>1</v>
          </cell>
        </row>
        <row r="4969">
          <cell r="A4969">
            <v>121474</v>
          </cell>
          <cell r="BB4969">
            <v>1</v>
          </cell>
        </row>
        <row r="4970">
          <cell r="A4970">
            <v>121475</v>
          </cell>
          <cell r="BB4970">
            <v>1</v>
          </cell>
        </row>
        <row r="4971">
          <cell r="A4971">
            <v>121476</v>
          </cell>
          <cell r="BB4971">
            <v>1</v>
          </cell>
        </row>
        <row r="4972">
          <cell r="A4972">
            <v>121477</v>
          </cell>
          <cell r="BB4972">
            <v>1</v>
          </cell>
        </row>
        <row r="4973">
          <cell r="A4973">
            <v>121478</v>
          </cell>
          <cell r="BB4973">
            <v>1</v>
          </cell>
        </row>
        <row r="4974">
          <cell r="A4974">
            <v>121479</v>
          </cell>
          <cell r="BB4974">
            <v>1</v>
          </cell>
        </row>
        <row r="4975">
          <cell r="A4975">
            <v>121480</v>
          </cell>
          <cell r="BB4975">
            <v>1</v>
          </cell>
        </row>
        <row r="4976">
          <cell r="A4976">
            <v>121481</v>
          </cell>
          <cell r="BB4976">
            <v>1</v>
          </cell>
        </row>
        <row r="4977">
          <cell r="A4977">
            <v>121482</v>
          </cell>
          <cell r="BB4977">
            <v>1</v>
          </cell>
        </row>
        <row r="4978">
          <cell r="A4978">
            <v>121483</v>
          </cell>
          <cell r="BB4978">
            <v>1</v>
          </cell>
        </row>
        <row r="4979">
          <cell r="A4979">
            <v>121484</v>
          </cell>
          <cell r="BB4979">
            <v>1</v>
          </cell>
        </row>
        <row r="4980">
          <cell r="A4980">
            <v>121485</v>
          </cell>
          <cell r="BB4980">
            <v>1</v>
          </cell>
        </row>
        <row r="4981">
          <cell r="A4981">
            <v>121486</v>
          </cell>
          <cell r="BB4981">
            <v>1</v>
          </cell>
        </row>
        <row r="4982">
          <cell r="A4982">
            <v>121487</v>
          </cell>
          <cell r="BB4982">
            <v>1</v>
          </cell>
        </row>
        <row r="4983">
          <cell r="A4983">
            <v>121488</v>
          </cell>
          <cell r="BB4983">
            <v>1</v>
          </cell>
        </row>
        <row r="4984">
          <cell r="A4984">
            <v>121489</v>
          </cell>
          <cell r="BB4984">
            <v>1</v>
          </cell>
        </row>
        <row r="4985">
          <cell r="A4985">
            <v>121490</v>
          </cell>
          <cell r="BB4985">
            <v>1</v>
          </cell>
        </row>
        <row r="4986">
          <cell r="A4986">
            <v>121491</v>
          </cell>
          <cell r="BB4986">
            <v>1</v>
          </cell>
        </row>
        <row r="4987">
          <cell r="A4987">
            <v>121492</v>
          </cell>
          <cell r="BB4987">
            <v>1</v>
          </cell>
        </row>
        <row r="4988">
          <cell r="A4988">
            <v>121493</v>
          </cell>
          <cell r="BB4988">
            <v>1</v>
          </cell>
        </row>
        <row r="4989">
          <cell r="A4989">
            <v>121494</v>
          </cell>
          <cell r="BB4989">
            <v>1</v>
          </cell>
        </row>
        <row r="4990">
          <cell r="A4990">
            <v>121495</v>
          </cell>
          <cell r="BB4990">
            <v>1</v>
          </cell>
        </row>
        <row r="4991">
          <cell r="A4991">
            <v>121496</v>
          </cell>
          <cell r="BB4991">
            <v>1</v>
          </cell>
        </row>
        <row r="4992">
          <cell r="A4992">
            <v>121497</v>
          </cell>
          <cell r="BB4992">
            <v>1</v>
          </cell>
        </row>
        <row r="4993">
          <cell r="A4993">
            <v>121498</v>
          </cell>
          <cell r="BB4993">
            <v>1</v>
          </cell>
        </row>
        <row r="4994">
          <cell r="A4994">
            <v>121499</v>
          </cell>
          <cell r="BB4994">
            <v>1</v>
          </cell>
        </row>
        <row r="4995">
          <cell r="A4995">
            <v>121500</v>
          </cell>
          <cell r="BB4995">
            <v>1</v>
          </cell>
        </row>
        <row r="4996">
          <cell r="A4996">
            <v>121501</v>
          </cell>
          <cell r="BB4996">
            <v>1</v>
          </cell>
        </row>
        <row r="4997">
          <cell r="A4997">
            <v>121502</v>
          </cell>
          <cell r="BB4997">
            <v>1</v>
          </cell>
        </row>
        <row r="4998">
          <cell r="A4998">
            <v>121503</v>
          </cell>
          <cell r="BB4998">
            <v>1</v>
          </cell>
        </row>
        <row r="4999">
          <cell r="A4999">
            <v>121504</v>
          </cell>
          <cell r="BB4999">
            <v>1</v>
          </cell>
        </row>
        <row r="5000">
          <cell r="A5000">
            <v>121505</v>
          </cell>
          <cell r="BB5000">
            <v>1</v>
          </cell>
        </row>
        <row r="5001">
          <cell r="A5001">
            <v>121506</v>
          </cell>
          <cell r="BB5001">
            <v>1</v>
          </cell>
        </row>
        <row r="5002">
          <cell r="A5002">
            <v>121507</v>
          </cell>
          <cell r="BB5002">
            <v>1</v>
          </cell>
        </row>
        <row r="5003">
          <cell r="A5003">
            <v>121508</v>
          </cell>
          <cell r="BB5003">
            <v>1</v>
          </cell>
        </row>
        <row r="5004">
          <cell r="A5004">
            <v>121509</v>
          </cell>
          <cell r="BB5004">
            <v>1</v>
          </cell>
        </row>
        <row r="5005">
          <cell r="A5005">
            <v>121510</v>
          </cell>
          <cell r="BB5005">
            <v>1</v>
          </cell>
        </row>
        <row r="5006">
          <cell r="A5006">
            <v>121511</v>
          </cell>
          <cell r="BB5006">
            <v>1</v>
          </cell>
        </row>
        <row r="5007">
          <cell r="A5007">
            <v>121512</v>
          </cell>
          <cell r="BB5007">
            <v>1</v>
          </cell>
        </row>
        <row r="5008">
          <cell r="A5008">
            <v>121513</v>
          </cell>
          <cell r="BB5008">
            <v>1</v>
          </cell>
        </row>
        <row r="5009">
          <cell r="A5009">
            <v>121514</v>
          </cell>
          <cell r="BB5009">
            <v>1</v>
          </cell>
        </row>
        <row r="5010">
          <cell r="A5010">
            <v>121515</v>
          </cell>
          <cell r="BB5010">
            <v>1</v>
          </cell>
        </row>
        <row r="5011">
          <cell r="A5011">
            <v>121516</v>
          </cell>
          <cell r="BB5011">
            <v>1</v>
          </cell>
        </row>
        <row r="5012">
          <cell r="A5012">
            <v>121517</v>
          </cell>
          <cell r="BB5012">
            <v>1</v>
          </cell>
        </row>
        <row r="5013">
          <cell r="A5013">
            <v>121518</v>
          </cell>
          <cell r="BB5013">
            <v>1</v>
          </cell>
        </row>
        <row r="5014">
          <cell r="A5014">
            <v>121519</v>
          </cell>
          <cell r="BB5014">
            <v>1</v>
          </cell>
        </row>
        <row r="5015">
          <cell r="A5015">
            <v>121520</v>
          </cell>
          <cell r="BB5015">
            <v>1</v>
          </cell>
        </row>
        <row r="5016">
          <cell r="A5016">
            <v>121521</v>
          </cell>
          <cell r="BB5016">
            <v>1</v>
          </cell>
        </row>
        <row r="5017">
          <cell r="A5017">
            <v>121522</v>
          </cell>
          <cell r="BB5017">
            <v>1</v>
          </cell>
        </row>
        <row r="5018">
          <cell r="A5018">
            <v>121523</v>
          </cell>
          <cell r="BB5018">
            <v>1</v>
          </cell>
        </row>
        <row r="5019">
          <cell r="A5019">
            <v>121524</v>
          </cell>
          <cell r="BB5019">
            <v>1</v>
          </cell>
        </row>
        <row r="5020">
          <cell r="A5020">
            <v>121525</v>
          </cell>
          <cell r="BB5020">
            <v>1</v>
          </cell>
        </row>
        <row r="5021">
          <cell r="A5021">
            <v>121526</v>
          </cell>
          <cell r="BB5021">
            <v>1</v>
          </cell>
        </row>
        <row r="5022">
          <cell r="A5022">
            <v>121527</v>
          </cell>
          <cell r="BB5022">
            <v>1</v>
          </cell>
        </row>
        <row r="5023">
          <cell r="A5023">
            <v>121528</v>
          </cell>
          <cell r="BB5023">
            <v>1</v>
          </cell>
        </row>
        <row r="5024">
          <cell r="A5024">
            <v>121529</v>
          </cell>
          <cell r="BB5024">
            <v>1</v>
          </cell>
        </row>
        <row r="5025">
          <cell r="A5025">
            <v>121530</v>
          </cell>
          <cell r="BB5025">
            <v>1</v>
          </cell>
        </row>
        <row r="5026">
          <cell r="A5026">
            <v>121531</v>
          </cell>
          <cell r="BB5026">
            <v>1</v>
          </cell>
        </row>
        <row r="5027">
          <cell r="A5027">
            <v>121532</v>
          </cell>
          <cell r="BB5027">
            <v>1</v>
          </cell>
        </row>
        <row r="5028">
          <cell r="A5028">
            <v>121533</v>
          </cell>
          <cell r="BB5028">
            <v>1</v>
          </cell>
        </row>
        <row r="5029">
          <cell r="A5029">
            <v>121534</v>
          </cell>
          <cell r="BB5029">
            <v>1</v>
          </cell>
        </row>
        <row r="5030">
          <cell r="A5030">
            <v>121535</v>
          </cell>
          <cell r="BB5030">
            <v>1</v>
          </cell>
        </row>
        <row r="5031">
          <cell r="A5031">
            <v>121536</v>
          </cell>
          <cell r="BB5031">
            <v>1</v>
          </cell>
        </row>
        <row r="5032">
          <cell r="A5032">
            <v>121537</v>
          </cell>
          <cell r="BB5032">
            <v>1</v>
          </cell>
        </row>
        <row r="5033">
          <cell r="A5033">
            <v>121538</v>
          </cell>
          <cell r="BB5033">
            <v>1</v>
          </cell>
        </row>
        <row r="5034">
          <cell r="A5034">
            <v>121539</v>
          </cell>
          <cell r="BB5034">
            <v>1</v>
          </cell>
        </row>
        <row r="5035">
          <cell r="A5035">
            <v>121540</v>
          </cell>
          <cell r="BB5035">
            <v>1</v>
          </cell>
        </row>
        <row r="5036">
          <cell r="A5036">
            <v>121541</v>
          </cell>
          <cell r="BB5036">
            <v>1</v>
          </cell>
        </row>
        <row r="5037">
          <cell r="A5037">
            <v>121542</v>
          </cell>
          <cell r="BB5037">
            <v>1</v>
          </cell>
        </row>
        <row r="5038">
          <cell r="A5038">
            <v>121543</v>
          </cell>
          <cell r="BB5038">
            <v>1</v>
          </cell>
        </row>
        <row r="5039">
          <cell r="A5039">
            <v>121544</v>
          </cell>
          <cell r="BB5039">
            <v>1</v>
          </cell>
        </row>
        <row r="5040">
          <cell r="A5040">
            <v>121545</v>
          </cell>
          <cell r="BB5040">
            <v>1</v>
          </cell>
        </row>
        <row r="5041">
          <cell r="A5041">
            <v>121546</v>
          </cell>
          <cell r="BB5041">
            <v>1</v>
          </cell>
        </row>
        <row r="5042">
          <cell r="A5042">
            <v>121547</v>
          </cell>
          <cell r="BB5042">
            <v>1</v>
          </cell>
        </row>
        <row r="5043">
          <cell r="A5043">
            <v>121548</v>
          </cell>
          <cell r="BB5043">
            <v>1</v>
          </cell>
        </row>
        <row r="5044">
          <cell r="A5044">
            <v>121549</v>
          </cell>
          <cell r="BB5044">
            <v>1</v>
          </cell>
        </row>
        <row r="5045">
          <cell r="A5045">
            <v>121550</v>
          </cell>
          <cell r="BB5045">
            <v>1</v>
          </cell>
        </row>
        <row r="5046">
          <cell r="A5046">
            <v>121551</v>
          </cell>
          <cell r="BB5046">
            <v>1</v>
          </cell>
        </row>
        <row r="5047">
          <cell r="A5047">
            <v>121552</v>
          </cell>
          <cell r="BB5047">
            <v>1</v>
          </cell>
        </row>
        <row r="5048">
          <cell r="A5048">
            <v>121553</v>
          </cell>
          <cell r="BB5048">
            <v>1</v>
          </cell>
        </row>
        <row r="5049">
          <cell r="A5049">
            <v>121554</v>
          </cell>
          <cell r="BB5049">
            <v>1</v>
          </cell>
        </row>
        <row r="5050">
          <cell r="A5050">
            <v>121555</v>
          </cell>
          <cell r="BB5050">
            <v>1</v>
          </cell>
        </row>
        <row r="5051">
          <cell r="A5051">
            <v>121556</v>
          </cell>
          <cell r="BB5051">
            <v>1</v>
          </cell>
        </row>
        <row r="5052">
          <cell r="A5052">
            <v>121557</v>
          </cell>
          <cell r="BB5052">
            <v>1</v>
          </cell>
        </row>
        <row r="5053">
          <cell r="A5053">
            <v>121558</v>
          </cell>
          <cell r="BB5053">
            <v>1</v>
          </cell>
        </row>
        <row r="5054">
          <cell r="A5054">
            <v>121559</v>
          </cell>
          <cell r="BB5054">
            <v>1</v>
          </cell>
        </row>
        <row r="5055">
          <cell r="A5055">
            <v>121560</v>
          </cell>
          <cell r="BB5055">
            <v>1</v>
          </cell>
        </row>
        <row r="5056">
          <cell r="A5056">
            <v>121561</v>
          </cell>
          <cell r="BB5056">
            <v>1</v>
          </cell>
        </row>
        <row r="5057">
          <cell r="A5057">
            <v>121562</v>
          </cell>
          <cell r="BB5057">
            <v>1</v>
          </cell>
        </row>
        <row r="5058">
          <cell r="A5058">
            <v>121563</v>
          </cell>
          <cell r="BB5058">
            <v>1</v>
          </cell>
        </row>
        <row r="5059">
          <cell r="A5059">
            <v>121564</v>
          </cell>
          <cell r="BB5059">
            <v>1</v>
          </cell>
        </row>
        <row r="5060">
          <cell r="A5060">
            <v>121565</v>
          </cell>
          <cell r="BB5060">
            <v>1</v>
          </cell>
        </row>
        <row r="5061">
          <cell r="A5061">
            <v>121566</v>
          </cell>
          <cell r="BB5061">
            <v>1</v>
          </cell>
        </row>
        <row r="5062">
          <cell r="A5062">
            <v>121567</v>
          </cell>
          <cell r="BB5062">
            <v>1</v>
          </cell>
        </row>
        <row r="5063">
          <cell r="A5063">
            <v>121568</v>
          </cell>
          <cell r="BB5063">
            <v>1</v>
          </cell>
        </row>
        <row r="5064">
          <cell r="A5064">
            <v>121569</v>
          </cell>
          <cell r="BB5064">
            <v>1</v>
          </cell>
        </row>
        <row r="5065">
          <cell r="A5065">
            <v>121570</v>
          </cell>
          <cell r="BB5065">
            <v>1</v>
          </cell>
        </row>
        <row r="5066">
          <cell r="A5066">
            <v>121571</v>
          </cell>
          <cell r="BB5066">
            <v>1</v>
          </cell>
        </row>
        <row r="5067">
          <cell r="A5067">
            <v>121572</v>
          </cell>
          <cell r="BB5067">
            <v>1</v>
          </cell>
        </row>
        <row r="5068">
          <cell r="A5068">
            <v>121573</v>
          </cell>
          <cell r="BB5068">
            <v>1</v>
          </cell>
        </row>
        <row r="5069">
          <cell r="A5069">
            <v>121574</v>
          </cell>
          <cell r="BB5069">
            <v>1</v>
          </cell>
        </row>
        <row r="5070">
          <cell r="A5070">
            <v>121575</v>
          </cell>
          <cell r="BB5070">
            <v>1</v>
          </cell>
        </row>
        <row r="5071">
          <cell r="A5071">
            <v>121576</v>
          </cell>
          <cell r="BB5071">
            <v>1</v>
          </cell>
        </row>
        <row r="5072">
          <cell r="A5072">
            <v>121577</v>
          </cell>
          <cell r="BB5072">
            <v>1</v>
          </cell>
        </row>
        <row r="5073">
          <cell r="A5073">
            <v>121578</v>
          </cell>
          <cell r="BB5073">
            <v>1</v>
          </cell>
        </row>
        <row r="5074">
          <cell r="A5074">
            <v>121579</v>
          </cell>
          <cell r="BB5074">
            <v>1</v>
          </cell>
        </row>
        <row r="5075">
          <cell r="A5075">
            <v>121580</v>
          </cell>
          <cell r="BB5075">
            <v>1</v>
          </cell>
        </row>
        <row r="5076">
          <cell r="A5076">
            <v>121581</v>
          </cell>
          <cell r="BB5076">
            <v>1</v>
          </cell>
        </row>
        <row r="5077">
          <cell r="A5077">
            <v>121582</v>
          </cell>
          <cell r="BB5077">
            <v>1</v>
          </cell>
        </row>
        <row r="5078">
          <cell r="A5078">
            <v>121583</v>
          </cell>
          <cell r="BB5078">
            <v>1</v>
          </cell>
        </row>
        <row r="5079">
          <cell r="A5079">
            <v>121584</v>
          </cell>
          <cell r="BB5079">
            <v>1</v>
          </cell>
        </row>
        <row r="5080">
          <cell r="A5080">
            <v>121585</v>
          </cell>
          <cell r="BB5080">
            <v>1</v>
          </cell>
        </row>
        <row r="5081">
          <cell r="A5081">
            <v>121586</v>
          </cell>
          <cell r="BB5081">
            <v>1</v>
          </cell>
        </row>
        <row r="5082">
          <cell r="A5082">
            <v>121587</v>
          </cell>
          <cell r="BB5082">
            <v>1</v>
          </cell>
        </row>
        <row r="5083">
          <cell r="A5083">
            <v>121588</v>
          </cell>
          <cell r="BB5083">
            <v>1</v>
          </cell>
        </row>
        <row r="5084">
          <cell r="A5084">
            <v>121589</v>
          </cell>
          <cell r="BB5084">
            <v>1</v>
          </cell>
        </row>
        <row r="5085">
          <cell r="A5085">
            <v>121590</v>
          </cell>
          <cell r="BB5085">
            <v>1</v>
          </cell>
        </row>
        <row r="5086">
          <cell r="A5086">
            <v>121591</v>
          </cell>
          <cell r="BB5086">
            <v>1</v>
          </cell>
        </row>
        <row r="5087">
          <cell r="A5087">
            <v>121592</v>
          </cell>
          <cell r="BB5087">
            <v>1</v>
          </cell>
        </row>
        <row r="5088">
          <cell r="A5088">
            <v>121593</v>
          </cell>
          <cell r="BB5088">
            <v>1</v>
          </cell>
        </row>
        <row r="5089">
          <cell r="A5089">
            <v>121594</v>
          </cell>
          <cell r="BB5089">
            <v>1</v>
          </cell>
        </row>
        <row r="5090">
          <cell r="A5090">
            <v>121595</v>
          </cell>
          <cell r="BB5090">
            <v>1</v>
          </cell>
        </row>
        <row r="5091">
          <cell r="A5091">
            <v>121596</v>
          </cell>
          <cell r="BB5091">
            <v>1</v>
          </cell>
        </row>
        <row r="5092">
          <cell r="A5092">
            <v>121597</v>
          </cell>
          <cell r="BB5092">
            <v>1</v>
          </cell>
        </row>
        <row r="5093">
          <cell r="A5093">
            <v>121598</v>
          </cell>
          <cell r="BB5093">
            <v>1</v>
          </cell>
        </row>
        <row r="5094">
          <cell r="A5094">
            <v>121599</v>
          </cell>
          <cell r="BB5094">
            <v>1</v>
          </cell>
        </row>
        <row r="5095">
          <cell r="A5095">
            <v>121600</v>
          </cell>
          <cell r="BB5095">
            <v>1</v>
          </cell>
        </row>
        <row r="5096">
          <cell r="A5096">
            <v>121601</v>
          </cell>
          <cell r="BB5096">
            <v>1</v>
          </cell>
        </row>
        <row r="5097">
          <cell r="A5097">
            <v>121602</v>
          </cell>
          <cell r="BB5097">
            <v>1</v>
          </cell>
        </row>
        <row r="5098">
          <cell r="A5098">
            <v>121603</v>
          </cell>
          <cell r="BB5098">
            <v>1</v>
          </cell>
        </row>
        <row r="5099">
          <cell r="A5099">
            <v>121604</v>
          </cell>
          <cell r="BB5099">
            <v>1</v>
          </cell>
        </row>
        <row r="5100">
          <cell r="A5100">
            <v>121605</v>
          </cell>
          <cell r="BB5100">
            <v>1</v>
          </cell>
        </row>
        <row r="5101">
          <cell r="A5101">
            <v>121606</v>
          </cell>
          <cell r="BB5101">
            <v>1</v>
          </cell>
        </row>
        <row r="5102">
          <cell r="A5102">
            <v>121607</v>
          </cell>
          <cell r="BB5102">
            <v>1</v>
          </cell>
        </row>
        <row r="5103">
          <cell r="A5103">
            <v>121608</v>
          </cell>
          <cell r="BB5103">
            <v>1</v>
          </cell>
        </row>
        <row r="5104">
          <cell r="A5104">
            <v>121609</v>
          </cell>
          <cell r="BB5104">
            <v>1</v>
          </cell>
        </row>
        <row r="5105">
          <cell r="A5105">
            <v>121610</v>
          </cell>
          <cell r="BB5105">
            <v>1</v>
          </cell>
        </row>
        <row r="5106">
          <cell r="A5106">
            <v>121611</v>
          </cell>
          <cell r="BB5106">
            <v>1</v>
          </cell>
        </row>
        <row r="5107">
          <cell r="A5107">
            <v>121612</v>
          </cell>
          <cell r="BB5107">
            <v>1</v>
          </cell>
        </row>
        <row r="5108">
          <cell r="A5108">
            <v>121613</v>
          </cell>
          <cell r="BB5108">
            <v>1</v>
          </cell>
        </row>
        <row r="5109">
          <cell r="A5109">
            <v>121614</v>
          </cell>
          <cell r="BB5109">
            <v>1</v>
          </cell>
        </row>
        <row r="5110">
          <cell r="A5110">
            <v>121615</v>
          </cell>
          <cell r="BB5110">
            <v>1</v>
          </cell>
        </row>
        <row r="5111">
          <cell r="A5111">
            <v>121616</v>
          </cell>
          <cell r="BB5111">
            <v>1</v>
          </cell>
        </row>
        <row r="5112">
          <cell r="A5112">
            <v>121617</v>
          </cell>
          <cell r="BB5112">
            <v>1</v>
          </cell>
        </row>
        <row r="5113">
          <cell r="A5113">
            <v>121618</v>
          </cell>
          <cell r="BB5113">
            <v>1</v>
          </cell>
        </row>
        <row r="5114">
          <cell r="A5114">
            <v>121619</v>
          </cell>
          <cell r="BB5114">
            <v>1</v>
          </cell>
        </row>
        <row r="5115">
          <cell r="A5115">
            <v>121620</v>
          </cell>
          <cell r="BB5115">
            <v>1</v>
          </cell>
        </row>
        <row r="5116">
          <cell r="A5116">
            <v>121621</v>
          </cell>
          <cell r="BB5116">
            <v>1</v>
          </cell>
        </row>
        <row r="5117">
          <cell r="A5117">
            <v>121622</v>
          </cell>
          <cell r="BB5117">
            <v>1</v>
          </cell>
        </row>
        <row r="5118">
          <cell r="A5118">
            <v>121623</v>
          </cell>
          <cell r="BB5118">
            <v>1</v>
          </cell>
        </row>
        <row r="5119">
          <cell r="A5119">
            <v>121624</v>
          </cell>
          <cell r="BB5119">
            <v>1</v>
          </cell>
        </row>
        <row r="5120">
          <cell r="A5120">
            <v>121625</v>
          </cell>
          <cell r="BB5120">
            <v>1</v>
          </cell>
        </row>
        <row r="5121">
          <cell r="A5121">
            <v>121626</v>
          </cell>
          <cell r="BB5121">
            <v>1</v>
          </cell>
        </row>
        <row r="5122">
          <cell r="A5122">
            <v>121627</v>
          </cell>
          <cell r="BB5122">
            <v>1</v>
          </cell>
        </row>
        <row r="5123">
          <cell r="A5123">
            <v>121628</v>
          </cell>
          <cell r="BB5123">
            <v>1</v>
          </cell>
        </row>
        <row r="5124">
          <cell r="A5124">
            <v>121629</v>
          </cell>
          <cell r="BB5124">
            <v>1</v>
          </cell>
        </row>
        <row r="5125">
          <cell r="A5125">
            <v>121630</v>
          </cell>
          <cell r="BB5125">
            <v>1</v>
          </cell>
        </row>
        <row r="5126">
          <cell r="A5126">
            <v>121631</v>
          </cell>
          <cell r="BB5126">
            <v>1</v>
          </cell>
        </row>
        <row r="5127">
          <cell r="A5127">
            <v>121632</v>
          </cell>
          <cell r="BB5127">
            <v>1</v>
          </cell>
        </row>
        <row r="5128">
          <cell r="A5128">
            <v>121633</v>
          </cell>
          <cell r="BB5128">
            <v>1</v>
          </cell>
        </row>
        <row r="5129">
          <cell r="A5129">
            <v>121634</v>
          </cell>
          <cell r="BB5129">
            <v>1</v>
          </cell>
        </row>
        <row r="5130">
          <cell r="A5130">
            <v>121635</v>
          </cell>
          <cell r="BB5130">
            <v>1</v>
          </cell>
        </row>
        <row r="5131">
          <cell r="A5131">
            <v>121636</v>
          </cell>
          <cell r="BB5131">
            <v>1</v>
          </cell>
        </row>
        <row r="5132">
          <cell r="A5132">
            <v>121637</v>
          </cell>
          <cell r="BB5132">
            <v>1</v>
          </cell>
        </row>
        <row r="5133">
          <cell r="A5133">
            <v>121638</v>
          </cell>
          <cell r="BB5133">
            <v>1</v>
          </cell>
        </row>
        <row r="5134">
          <cell r="A5134">
            <v>121639</v>
          </cell>
          <cell r="BB5134">
            <v>1</v>
          </cell>
        </row>
        <row r="5135">
          <cell r="A5135">
            <v>121640</v>
          </cell>
          <cell r="BB5135">
            <v>1</v>
          </cell>
        </row>
        <row r="5136">
          <cell r="A5136">
            <v>121641</v>
          </cell>
          <cell r="BB5136">
            <v>1</v>
          </cell>
        </row>
        <row r="5137">
          <cell r="A5137">
            <v>121642</v>
          </cell>
          <cell r="BB5137">
            <v>1</v>
          </cell>
        </row>
        <row r="5138">
          <cell r="A5138">
            <v>121643</v>
          </cell>
          <cell r="BB5138">
            <v>1</v>
          </cell>
        </row>
        <row r="5139">
          <cell r="A5139">
            <v>121644</v>
          </cell>
          <cell r="BB5139">
            <v>1</v>
          </cell>
        </row>
        <row r="5140">
          <cell r="A5140">
            <v>121645</v>
          </cell>
          <cell r="BB5140">
            <v>1</v>
          </cell>
        </row>
        <row r="5141">
          <cell r="A5141">
            <v>121646</v>
          </cell>
          <cell r="BB5141">
            <v>1</v>
          </cell>
        </row>
        <row r="5142">
          <cell r="A5142">
            <v>121647</v>
          </cell>
          <cell r="BB5142">
            <v>1</v>
          </cell>
        </row>
        <row r="5143">
          <cell r="A5143">
            <v>121648</v>
          </cell>
          <cell r="BB5143">
            <v>1</v>
          </cell>
        </row>
        <row r="5144">
          <cell r="A5144">
            <v>121649</v>
          </cell>
          <cell r="BB5144">
            <v>1</v>
          </cell>
        </row>
        <row r="5145">
          <cell r="A5145">
            <v>121650</v>
          </cell>
          <cell r="BB5145">
            <v>1</v>
          </cell>
        </row>
        <row r="5146">
          <cell r="A5146">
            <v>121651</v>
          </cell>
          <cell r="BB5146">
            <v>1</v>
          </cell>
        </row>
        <row r="5147">
          <cell r="A5147">
            <v>121652</v>
          </cell>
          <cell r="BB5147">
            <v>1</v>
          </cell>
        </row>
        <row r="5148">
          <cell r="A5148">
            <v>121653</v>
          </cell>
          <cell r="BB5148">
            <v>1</v>
          </cell>
        </row>
        <row r="5149">
          <cell r="A5149">
            <v>121654</v>
          </cell>
          <cell r="BB5149">
            <v>1</v>
          </cell>
        </row>
        <row r="5150">
          <cell r="A5150">
            <v>121655</v>
          </cell>
          <cell r="BB5150">
            <v>1</v>
          </cell>
        </row>
        <row r="5151">
          <cell r="A5151">
            <v>121656</v>
          </cell>
          <cell r="BB5151">
            <v>1</v>
          </cell>
        </row>
        <row r="5152">
          <cell r="A5152">
            <v>121657</v>
          </cell>
          <cell r="BB5152">
            <v>1</v>
          </cell>
        </row>
        <row r="5153">
          <cell r="A5153">
            <v>121658</v>
          </cell>
          <cell r="BB5153">
            <v>1</v>
          </cell>
        </row>
        <row r="5154">
          <cell r="A5154">
            <v>121659</v>
          </cell>
          <cell r="BB5154">
            <v>1</v>
          </cell>
        </row>
        <row r="5155">
          <cell r="A5155">
            <v>121660</v>
          </cell>
          <cell r="BB5155">
            <v>1</v>
          </cell>
        </row>
        <row r="5156">
          <cell r="A5156">
            <v>121661</v>
          </cell>
          <cell r="BB5156">
            <v>1</v>
          </cell>
        </row>
        <row r="5157">
          <cell r="A5157">
            <v>121662</v>
          </cell>
          <cell r="BB5157">
            <v>1</v>
          </cell>
        </row>
        <row r="5158">
          <cell r="A5158">
            <v>121663</v>
          </cell>
          <cell r="BB5158">
            <v>1</v>
          </cell>
        </row>
        <row r="5159">
          <cell r="A5159">
            <v>121664</v>
          </cell>
          <cell r="BB5159">
            <v>1</v>
          </cell>
        </row>
        <row r="5160">
          <cell r="A5160">
            <v>121665</v>
          </cell>
          <cell r="BB5160">
            <v>1</v>
          </cell>
        </row>
        <row r="5161">
          <cell r="A5161">
            <v>121666</v>
          </cell>
          <cell r="BB5161">
            <v>1</v>
          </cell>
        </row>
        <row r="5162">
          <cell r="A5162">
            <v>121667</v>
          </cell>
          <cell r="BB5162">
            <v>1</v>
          </cell>
        </row>
        <row r="5163">
          <cell r="A5163">
            <v>121668</v>
          </cell>
          <cell r="BB5163">
            <v>1</v>
          </cell>
        </row>
        <row r="5164">
          <cell r="A5164">
            <v>121669</v>
          </cell>
          <cell r="BB5164">
            <v>1</v>
          </cell>
        </row>
        <row r="5165">
          <cell r="A5165">
            <v>121670</v>
          </cell>
          <cell r="BB5165">
            <v>1</v>
          </cell>
        </row>
        <row r="5166">
          <cell r="A5166">
            <v>121671</v>
          </cell>
          <cell r="BB5166">
            <v>1</v>
          </cell>
        </row>
        <row r="5167">
          <cell r="A5167">
            <v>121672</v>
          </cell>
          <cell r="BB5167">
            <v>1</v>
          </cell>
        </row>
        <row r="5168">
          <cell r="A5168">
            <v>121673</v>
          </cell>
          <cell r="BB5168">
            <v>1</v>
          </cell>
        </row>
        <row r="5169">
          <cell r="A5169">
            <v>121674</v>
          </cell>
          <cell r="BB5169">
            <v>1</v>
          </cell>
        </row>
        <row r="5170">
          <cell r="A5170">
            <v>121675</v>
          </cell>
          <cell r="BB5170">
            <v>1</v>
          </cell>
        </row>
        <row r="5171">
          <cell r="A5171">
            <v>121676</v>
          </cell>
          <cell r="BB5171">
            <v>1</v>
          </cell>
        </row>
        <row r="5172">
          <cell r="A5172">
            <v>121677</v>
          </cell>
          <cell r="BB5172">
            <v>1</v>
          </cell>
        </row>
        <row r="5173">
          <cell r="A5173">
            <v>121678</v>
          </cell>
          <cell r="BB5173">
            <v>1</v>
          </cell>
        </row>
        <row r="5174">
          <cell r="A5174">
            <v>121679</v>
          </cell>
          <cell r="BB5174">
            <v>1</v>
          </cell>
        </row>
        <row r="5175">
          <cell r="A5175">
            <v>121680</v>
          </cell>
          <cell r="BB5175">
            <v>1</v>
          </cell>
        </row>
        <row r="5176">
          <cell r="A5176">
            <v>121681</v>
          </cell>
          <cell r="BB5176">
            <v>1</v>
          </cell>
        </row>
        <row r="5177">
          <cell r="A5177">
            <v>121682</v>
          </cell>
          <cell r="BB5177">
            <v>1</v>
          </cell>
        </row>
        <row r="5178">
          <cell r="A5178">
            <v>121683</v>
          </cell>
          <cell r="BB5178">
            <v>1</v>
          </cell>
        </row>
        <row r="5179">
          <cell r="A5179">
            <v>121684</v>
          </cell>
          <cell r="BB5179">
            <v>1</v>
          </cell>
        </row>
        <row r="5180">
          <cell r="A5180">
            <v>121685</v>
          </cell>
          <cell r="BB5180">
            <v>1</v>
          </cell>
        </row>
        <row r="5181">
          <cell r="A5181">
            <v>121686</v>
          </cell>
          <cell r="BB5181">
            <v>1</v>
          </cell>
        </row>
        <row r="5182">
          <cell r="A5182">
            <v>121687</v>
          </cell>
          <cell r="BB5182">
            <v>1</v>
          </cell>
        </row>
        <row r="5183">
          <cell r="A5183">
            <v>121688</v>
          </cell>
          <cell r="BB5183">
            <v>1</v>
          </cell>
        </row>
        <row r="5184">
          <cell r="A5184">
            <v>121689</v>
          </cell>
          <cell r="BB5184">
            <v>1</v>
          </cell>
        </row>
        <row r="5185">
          <cell r="A5185">
            <v>121690</v>
          </cell>
          <cell r="BB5185">
            <v>1</v>
          </cell>
        </row>
        <row r="5186">
          <cell r="A5186">
            <v>121691</v>
          </cell>
          <cell r="BB5186">
            <v>1</v>
          </cell>
        </row>
        <row r="5187">
          <cell r="A5187">
            <v>121692</v>
          </cell>
          <cell r="BB5187">
            <v>1</v>
          </cell>
        </row>
        <row r="5188">
          <cell r="A5188">
            <v>121693</v>
          </cell>
          <cell r="BB5188">
            <v>1</v>
          </cell>
        </row>
        <row r="5189">
          <cell r="A5189">
            <v>121694</v>
          </cell>
          <cell r="BB5189">
            <v>1</v>
          </cell>
        </row>
        <row r="5190">
          <cell r="A5190">
            <v>121695</v>
          </cell>
          <cell r="BB5190">
            <v>1</v>
          </cell>
        </row>
        <row r="5191">
          <cell r="A5191">
            <v>121696</v>
          </cell>
          <cell r="BB5191">
            <v>1</v>
          </cell>
        </row>
        <row r="5192">
          <cell r="A5192">
            <v>121697</v>
          </cell>
          <cell r="BB5192">
            <v>1</v>
          </cell>
        </row>
        <row r="5193">
          <cell r="A5193">
            <v>121698</v>
          </cell>
          <cell r="BB5193">
            <v>1</v>
          </cell>
        </row>
        <row r="5194">
          <cell r="A5194">
            <v>121699</v>
          </cell>
          <cell r="BB5194">
            <v>1</v>
          </cell>
        </row>
        <row r="5195">
          <cell r="A5195">
            <v>121700</v>
          </cell>
          <cell r="BB5195">
            <v>1</v>
          </cell>
        </row>
        <row r="5196">
          <cell r="A5196">
            <v>121701</v>
          </cell>
          <cell r="BB5196">
            <v>1</v>
          </cell>
        </row>
        <row r="5197">
          <cell r="A5197">
            <v>121702</v>
          </cell>
          <cell r="BB5197">
            <v>1</v>
          </cell>
        </row>
        <row r="5198">
          <cell r="A5198">
            <v>121703</v>
          </cell>
          <cell r="BB5198">
            <v>1</v>
          </cell>
        </row>
        <row r="5199">
          <cell r="A5199">
            <v>121704</v>
          </cell>
          <cell r="BB5199">
            <v>1</v>
          </cell>
        </row>
        <row r="5200">
          <cell r="A5200">
            <v>121705</v>
          </cell>
          <cell r="BB5200">
            <v>1</v>
          </cell>
        </row>
        <row r="5201">
          <cell r="A5201">
            <v>121706</v>
          </cell>
          <cell r="BB5201">
            <v>1</v>
          </cell>
        </row>
        <row r="5202">
          <cell r="A5202">
            <v>121707</v>
          </cell>
          <cell r="BB5202">
            <v>1</v>
          </cell>
        </row>
        <row r="5203">
          <cell r="A5203">
            <v>121708</v>
          </cell>
          <cell r="BB5203">
            <v>1</v>
          </cell>
        </row>
        <row r="5204">
          <cell r="A5204">
            <v>121709</v>
          </cell>
          <cell r="BB5204">
            <v>1</v>
          </cell>
        </row>
        <row r="5205">
          <cell r="A5205">
            <v>121710</v>
          </cell>
          <cell r="BB5205">
            <v>1</v>
          </cell>
        </row>
        <row r="5206">
          <cell r="A5206">
            <v>121711</v>
          </cell>
          <cell r="BB5206">
            <v>1</v>
          </cell>
        </row>
        <row r="5207">
          <cell r="A5207">
            <v>121712</v>
          </cell>
          <cell r="BB5207">
            <v>1</v>
          </cell>
        </row>
        <row r="5208">
          <cell r="A5208">
            <v>121713</v>
          </cell>
          <cell r="BB5208">
            <v>1</v>
          </cell>
        </row>
        <row r="5209">
          <cell r="A5209">
            <v>121714</v>
          </cell>
          <cell r="BB5209">
            <v>1</v>
          </cell>
        </row>
        <row r="5210">
          <cell r="A5210">
            <v>121715</v>
          </cell>
          <cell r="BB5210">
            <v>1</v>
          </cell>
        </row>
        <row r="5211">
          <cell r="A5211">
            <v>121716</v>
          </cell>
          <cell r="BB5211">
            <v>1</v>
          </cell>
        </row>
        <row r="5212">
          <cell r="A5212">
            <v>121717</v>
          </cell>
          <cell r="BB5212">
            <v>1</v>
          </cell>
        </row>
        <row r="5213">
          <cell r="A5213">
            <v>121718</v>
          </cell>
          <cell r="BB5213">
            <v>1</v>
          </cell>
        </row>
        <row r="5214">
          <cell r="A5214">
            <v>121719</v>
          </cell>
          <cell r="BB5214">
            <v>1</v>
          </cell>
        </row>
        <row r="5215">
          <cell r="A5215">
            <v>121720</v>
          </cell>
          <cell r="BB5215">
            <v>1</v>
          </cell>
        </row>
        <row r="5216">
          <cell r="A5216">
            <v>121721</v>
          </cell>
          <cell r="BB5216">
            <v>1</v>
          </cell>
        </row>
        <row r="5217">
          <cell r="A5217">
            <v>121722</v>
          </cell>
          <cell r="BB5217">
            <v>1</v>
          </cell>
        </row>
        <row r="5218">
          <cell r="A5218">
            <v>121723</v>
          </cell>
          <cell r="BB5218">
            <v>1</v>
          </cell>
        </row>
        <row r="5219">
          <cell r="A5219">
            <v>121724</v>
          </cell>
          <cell r="BB5219">
            <v>1</v>
          </cell>
        </row>
        <row r="5220">
          <cell r="A5220">
            <v>121725</v>
          </cell>
          <cell r="BB5220">
            <v>1</v>
          </cell>
        </row>
        <row r="5221">
          <cell r="A5221">
            <v>121726</v>
          </cell>
          <cell r="BB5221">
            <v>1</v>
          </cell>
        </row>
        <row r="5222">
          <cell r="A5222">
            <v>121727</v>
          </cell>
          <cell r="BB5222">
            <v>1</v>
          </cell>
        </row>
        <row r="5223">
          <cell r="A5223">
            <v>121728</v>
          </cell>
          <cell r="BB5223">
            <v>1</v>
          </cell>
        </row>
        <row r="5224">
          <cell r="A5224">
            <v>121729</v>
          </cell>
          <cell r="BB5224">
            <v>1</v>
          </cell>
        </row>
        <row r="5225">
          <cell r="A5225">
            <v>121730</v>
          </cell>
          <cell r="BB5225">
            <v>1</v>
          </cell>
        </row>
        <row r="5226">
          <cell r="A5226">
            <v>121731</v>
          </cell>
          <cell r="BB5226">
            <v>1</v>
          </cell>
        </row>
        <row r="5227">
          <cell r="A5227">
            <v>121732</v>
          </cell>
          <cell r="BB5227">
            <v>1</v>
          </cell>
        </row>
        <row r="5228">
          <cell r="A5228">
            <v>121733</v>
          </cell>
          <cell r="BB5228">
            <v>1</v>
          </cell>
        </row>
        <row r="5229">
          <cell r="A5229">
            <v>121734</v>
          </cell>
          <cell r="BB5229">
            <v>1</v>
          </cell>
        </row>
        <row r="5230">
          <cell r="A5230">
            <v>121735</v>
          </cell>
          <cell r="BB5230">
            <v>1</v>
          </cell>
        </row>
        <row r="5231">
          <cell r="A5231">
            <v>121736</v>
          </cell>
          <cell r="BB5231">
            <v>1</v>
          </cell>
        </row>
        <row r="5232">
          <cell r="A5232">
            <v>121737</v>
          </cell>
          <cell r="BB5232">
            <v>1</v>
          </cell>
        </row>
        <row r="5233">
          <cell r="A5233">
            <v>121738</v>
          </cell>
          <cell r="BB5233">
            <v>1</v>
          </cell>
        </row>
        <row r="5234">
          <cell r="A5234">
            <v>121739</v>
          </cell>
          <cell r="BB5234">
            <v>1</v>
          </cell>
        </row>
        <row r="5235">
          <cell r="A5235">
            <v>121740</v>
          </cell>
          <cell r="BB5235">
            <v>1</v>
          </cell>
        </row>
        <row r="5236">
          <cell r="A5236">
            <v>121741</v>
          </cell>
          <cell r="BB5236">
            <v>1</v>
          </cell>
        </row>
        <row r="5237">
          <cell r="A5237">
            <v>121742</v>
          </cell>
          <cell r="BB5237">
            <v>1</v>
          </cell>
        </row>
        <row r="5238">
          <cell r="A5238">
            <v>121743</v>
          </cell>
          <cell r="BB5238">
            <v>1</v>
          </cell>
        </row>
        <row r="5239">
          <cell r="A5239">
            <v>121744</v>
          </cell>
          <cell r="BB5239">
            <v>1</v>
          </cell>
        </row>
        <row r="5240">
          <cell r="A5240">
            <v>121745</v>
          </cell>
          <cell r="BB5240">
            <v>1</v>
          </cell>
        </row>
        <row r="5241">
          <cell r="A5241">
            <v>121746</v>
          </cell>
          <cell r="BB5241">
            <v>1</v>
          </cell>
        </row>
        <row r="5242">
          <cell r="A5242">
            <v>121747</v>
          </cell>
          <cell r="BB5242">
            <v>1</v>
          </cell>
        </row>
        <row r="5243">
          <cell r="A5243">
            <v>121748</v>
          </cell>
          <cell r="BB5243">
            <v>1</v>
          </cell>
        </row>
        <row r="5244">
          <cell r="A5244">
            <v>121749</v>
          </cell>
          <cell r="BB5244">
            <v>1</v>
          </cell>
        </row>
        <row r="5245">
          <cell r="A5245">
            <v>121750</v>
          </cell>
          <cell r="BB5245">
            <v>1</v>
          </cell>
        </row>
        <row r="5246">
          <cell r="A5246">
            <v>121751</v>
          </cell>
          <cell r="BB5246">
            <v>1</v>
          </cell>
        </row>
        <row r="5247">
          <cell r="A5247">
            <v>121752</v>
          </cell>
          <cell r="BB5247">
            <v>1</v>
          </cell>
        </row>
        <row r="5248">
          <cell r="A5248">
            <v>121753</v>
          </cell>
          <cell r="BB5248">
            <v>1</v>
          </cell>
        </row>
        <row r="5249">
          <cell r="A5249">
            <v>121754</v>
          </cell>
          <cell r="BB5249">
            <v>1</v>
          </cell>
        </row>
        <row r="5250">
          <cell r="A5250">
            <v>121755</v>
          </cell>
          <cell r="BB5250">
            <v>1</v>
          </cell>
        </row>
        <row r="5251">
          <cell r="A5251">
            <v>121756</v>
          </cell>
          <cell r="BB5251">
            <v>1</v>
          </cell>
        </row>
        <row r="5252">
          <cell r="A5252">
            <v>121757</v>
          </cell>
          <cell r="BB5252">
            <v>1</v>
          </cell>
        </row>
        <row r="5253">
          <cell r="A5253">
            <v>121758</v>
          </cell>
          <cell r="BB5253">
            <v>1</v>
          </cell>
        </row>
        <row r="5254">
          <cell r="A5254">
            <v>121759</v>
          </cell>
          <cell r="BB5254">
            <v>1</v>
          </cell>
        </row>
        <row r="5255">
          <cell r="A5255">
            <v>121760</v>
          </cell>
          <cell r="BB5255">
            <v>1</v>
          </cell>
        </row>
        <row r="5256">
          <cell r="A5256">
            <v>121761</v>
          </cell>
          <cell r="BB5256">
            <v>1</v>
          </cell>
        </row>
        <row r="5257">
          <cell r="A5257">
            <v>121762</v>
          </cell>
          <cell r="BB5257">
            <v>1</v>
          </cell>
        </row>
        <row r="5258">
          <cell r="A5258">
            <v>121763</v>
          </cell>
          <cell r="BB5258">
            <v>1</v>
          </cell>
        </row>
        <row r="5259">
          <cell r="A5259">
            <v>121764</v>
          </cell>
          <cell r="BB5259">
            <v>1</v>
          </cell>
        </row>
        <row r="5260">
          <cell r="A5260">
            <v>121765</v>
          </cell>
          <cell r="BB5260">
            <v>1</v>
          </cell>
        </row>
        <row r="5261">
          <cell r="A5261">
            <v>121766</v>
          </cell>
          <cell r="BB5261">
            <v>1</v>
          </cell>
        </row>
        <row r="5262">
          <cell r="A5262">
            <v>121767</v>
          </cell>
          <cell r="BB5262">
            <v>1</v>
          </cell>
        </row>
        <row r="5263">
          <cell r="A5263">
            <v>121768</v>
          </cell>
          <cell r="BB5263">
            <v>1</v>
          </cell>
        </row>
        <row r="5264">
          <cell r="A5264">
            <v>121769</v>
          </cell>
          <cell r="BB5264">
            <v>1</v>
          </cell>
        </row>
        <row r="5265">
          <cell r="A5265">
            <v>121770</v>
          </cell>
          <cell r="BB5265">
            <v>1</v>
          </cell>
        </row>
        <row r="5266">
          <cell r="A5266">
            <v>121771</v>
          </cell>
          <cell r="BB5266">
            <v>1</v>
          </cell>
        </row>
        <row r="5267">
          <cell r="A5267">
            <v>121772</v>
          </cell>
          <cell r="BB5267">
            <v>1</v>
          </cell>
        </row>
        <row r="5268">
          <cell r="A5268">
            <v>121773</v>
          </cell>
          <cell r="BB5268">
            <v>1</v>
          </cell>
        </row>
        <row r="5269">
          <cell r="A5269">
            <v>121774</v>
          </cell>
          <cell r="BB5269">
            <v>1</v>
          </cell>
        </row>
        <row r="5270">
          <cell r="A5270">
            <v>121775</v>
          </cell>
          <cell r="BB5270">
            <v>1</v>
          </cell>
        </row>
        <row r="5271">
          <cell r="A5271">
            <v>121776</v>
          </cell>
          <cell r="BB5271">
            <v>1</v>
          </cell>
        </row>
        <row r="5272">
          <cell r="A5272">
            <v>121777</v>
          </cell>
          <cell r="BB5272">
            <v>1</v>
          </cell>
        </row>
        <row r="5273">
          <cell r="A5273">
            <v>121778</v>
          </cell>
          <cell r="BB5273">
            <v>1</v>
          </cell>
        </row>
        <row r="5274">
          <cell r="A5274">
            <v>121779</v>
          </cell>
          <cell r="BB5274">
            <v>1</v>
          </cell>
        </row>
        <row r="5275">
          <cell r="A5275">
            <v>121780</v>
          </cell>
          <cell r="BB5275">
            <v>1</v>
          </cell>
        </row>
        <row r="5276">
          <cell r="A5276">
            <v>121781</v>
          </cell>
          <cell r="BB5276">
            <v>1</v>
          </cell>
        </row>
        <row r="5277">
          <cell r="A5277">
            <v>121782</v>
          </cell>
          <cell r="BB5277">
            <v>1</v>
          </cell>
        </row>
        <row r="5278">
          <cell r="A5278">
            <v>121783</v>
          </cell>
          <cell r="BB5278">
            <v>1</v>
          </cell>
        </row>
        <row r="5279">
          <cell r="A5279">
            <v>121784</v>
          </cell>
          <cell r="BB5279">
            <v>1</v>
          </cell>
        </row>
        <row r="5280">
          <cell r="A5280">
            <v>121785</v>
          </cell>
          <cell r="BB5280">
            <v>1</v>
          </cell>
        </row>
        <row r="5281">
          <cell r="A5281">
            <v>121786</v>
          </cell>
          <cell r="BB5281">
            <v>1</v>
          </cell>
        </row>
        <row r="5282">
          <cell r="A5282">
            <v>121787</v>
          </cell>
          <cell r="BB5282">
            <v>1</v>
          </cell>
        </row>
        <row r="5283">
          <cell r="A5283">
            <v>121788</v>
          </cell>
          <cell r="BB5283">
            <v>1</v>
          </cell>
        </row>
        <row r="5284">
          <cell r="A5284">
            <v>121789</v>
          </cell>
          <cell r="BB5284">
            <v>1</v>
          </cell>
        </row>
        <row r="5285">
          <cell r="A5285">
            <v>121790</v>
          </cell>
          <cell r="BB5285">
            <v>1</v>
          </cell>
        </row>
        <row r="5286">
          <cell r="A5286">
            <v>121791</v>
          </cell>
          <cell r="BB5286">
            <v>1</v>
          </cell>
        </row>
        <row r="5287">
          <cell r="A5287">
            <v>121792</v>
          </cell>
          <cell r="BB5287">
            <v>1</v>
          </cell>
        </row>
        <row r="5288">
          <cell r="A5288">
            <v>121793</v>
          </cell>
          <cell r="BB5288">
            <v>1</v>
          </cell>
        </row>
        <row r="5289">
          <cell r="A5289">
            <v>121794</v>
          </cell>
          <cell r="BB5289">
            <v>1</v>
          </cell>
        </row>
        <row r="5290">
          <cell r="A5290">
            <v>121795</v>
          </cell>
          <cell r="BB5290">
            <v>1</v>
          </cell>
        </row>
        <row r="5291">
          <cell r="A5291">
            <v>121796</v>
          </cell>
          <cell r="BB5291">
            <v>1</v>
          </cell>
        </row>
        <row r="5292">
          <cell r="A5292">
            <v>121797</v>
          </cell>
          <cell r="BB5292">
            <v>1</v>
          </cell>
        </row>
        <row r="5293">
          <cell r="A5293">
            <v>121798</v>
          </cell>
          <cell r="BB5293">
            <v>1</v>
          </cell>
        </row>
        <row r="5294">
          <cell r="A5294">
            <v>121799</v>
          </cell>
          <cell r="BB5294">
            <v>1</v>
          </cell>
        </row>
        <row r="5295">
          <cell r="A5295">
            <v>121800</v>
          </cell>
          <cell r="BB5295">
            <v>1</v>
          </cell>
        </row>
        <row r="5296">
          <cell r="A5296">
            <v>121801</v>
          </cell>
          <cell r="BB5296">
            <v>1</v>
          </cell>
        </row>
        <row r="5297">
          <cell r="A5297">
            <v>121802</v>
          </cell>
          <cell r="BB5297">
            <v>1</v>
          </cell>
        </row>
        <row r="5298">
          <cell r="A5298">
            <v>121803</v>
          </cell>
          <cell r="BB5298">
            <v>1</v>
          </cell>
        </row>
        <row r="5299">
          <cell r="A5299">
            <v>121804</v>
          </cell>
          <cell r="BB5299">
            <v>1</v>
          </cell>
        </row>
        <row r="5300">
          <cell r="A5300">
            <v>121805</v>
          </cell>
          <cell r="BB5300">
            <v>1</v>
          </cell>
        </row>
        <row r="5301">
          <cell r="A5301">
            <v>121806</v>
          </cell>
          <cell r="BB5301">
            <v>1</v>
          </cell>
        </row>
        <row r="5302">
          <cell r="A5302">
            <v>121807</v>
          </cell>
          <cell r="BB5302">
            <v>1</v>
          </cell>
        </row>
        <row r="5303">
          <cell r="A5303">
            <v>121808</v>
          </cell>
          <cell r="BB5303">
            <v>1</v>
          </cell>
        </row>
        <row r="5304">
          <cell r="A5304">
            <v>121809</v>
          </cell>
          <cell r="BB5304">
            <v>1</v>
          </cell>
        </row>
        <row r="5305">
          <cell r="A5305">
            <v>121810</v>
          </cell>
          <cell r="BB5305">
            <v>1</v>
          </cell>
        </row>
        <row r="5306">
          <cell r="A5306">
            <v>121811</v>
          </cell>
          <cell r="BB5306">
            <v>1</v>
          </cell>
        </row>
        <row r="5307">
          <cell r="A5307">
            <v>121812</v>
          </cell>
          <cell r="BB5307">
            <v>1</v>
          </cell>
        </row>
        <row r="5308">
          <cell r="A5308">
            <v>121813</v>
          </cell>
          <cell r="BB5308">
            <v>1</v>
          </cell>
        </row>
        <row r="5309">
          <cell r="A5309">
            <v>121814</v>
          </cell>
          <cell r="BB5309">
            <v>1</v>
          </cell>
        </row>
        <row r="5310">
          <cell r="A5310">
            <v>121815</v>
          </cell>
          <cell r="BB5310">
            <v>1</v>
          </cell>
        </row>
        <row r="5311">
          <cell r="A5311">
            <v>121816</v>
          </cell>
          <cell r="BB5311">
            <v>1</v>
          </cell>
        </row>
        <row r="5312">
          <cell r="A5312">
            <v>121817</v>
          </cell>
          <cell r="BB5312">
            <v>1</v>
          </cell>
        </row>
        <row r="5313">
          <cell r="A5313">
            <v>121818</v>
          </cell>
          <cell r="BB5313">
            <v>1</v>
          </cell>
        </row>
        <row r="5314">
          <cell r="A5314">
            <v>121819</v>
          </cell>
          <cell r="BB5314">
            <v>1</v>
          </cell>
        </row>
        <row r="5315">
          <cell r="A5315">
            <v>121820</v>
          </cell>
          <cell r="BB5315">
            <v>1</v>
          </cell>
        </row>
        <row r="5316">
          <cell r="A5316">
            <v>121821</v>
          </cell>
          <cell r="BB5316">
            <v>1</v>
          </cell>
        </row>
        <row r="5317">
          <cell r="A5317">
            <v>121822</v>
          </cell>
          <cell r="BB5317">
            <v>1</v>
          </cell>
        </row>
        <row r="5318">
          <cell r="A5318">
            <v>121823</v>
          </cell>
          <cell r="BB5318">
            <v>1</v>
          </cell>
        </row>
        <row r="5319">
          <cell r="A5319">
            <v>121824</v>
          </cell>
          <cell r="BB5319">
            <v>1</v>
          </cell>
        </row>
        <row r="5320">
          <cell r="A5320">
            <v>121825</v>
          </cell>
          <cell r="BB5320">
            <v>1</v>
          </cell>
        </row>
        <row r="5321">
          <cell r="A5321">
            <v>121826</v>
          </cell>
          <cell r="BB5321">
            <v>1</v>
          </cell>
        </row>
        <row r="5322">
          <cell r="A5322">
            <v>121827</v>
          </cell>
          <cell r="BB5322">
            <v>1</v>
          </cell>
        </row>
        <row r="5323">
          <cell r="A5323">
            <v>121828</v>
          </cell>
          <cell r="BB5323">
            <v>1</v>
          </cell>
        </row>
        <row r="5324">
          <cell r="A5324">
            <v>121829</v>
          </cell>
          <cell r="BB5324">
            <v>1</v>
          </cell>
        </row>
        <row r="5325">
          <cell r="A5325">
            <v>121830</v>
          </cell>
          <cell r="BB5325">
            <v>1</v>
          </cell>
        </row>
        <row r="5326">
          <cell r="A5326">
            <v>121831</v>
          </cell>
          <cell r="BB5326">
            <v>1</v>
          </cell>
        </row>
        <row r="5327">
          <cell r="A5327">
            <v>121832</v>
          </cell>
          <cell r="BB5327">
            <v>1</v>
          </cell>
        </row>
        <row r="5328">
          <cell r="A5328">
            <v>121833</v>
          </cell>
          <cell r="BB5328">
            <v>1</v>
          </cell>
        </row>
        <row r="5329">
          <cell r="A5329">
            <v>121834</v>
          </cell>
          <cell r="BB5329">
            <v>1</v>
          </cell>
        </row>
        <row r="5330">
          <cell r="A5330">
            <v>121835</v>
          </cell>
          <cell r="BB5330">
            <v>1</v>
          </cell>
        </row>
        <row r="5331">
          <cell r="A5331">
            <v>121836</v>
          </cell>
          <cell r="BB5331">
            <v>1</v>
          </cell>
        </row>
        <row r="5332">
          <cell r="A5332">
            <v>121837</v>
          </cell>
          <cell r="BB5332">
            <v>1</v>
          </cell>
        </row>
        <row r="5333">
          <cell r="A5333">
            <v>121838</v>
          </cell>
          <cell r="BB5333">
            <v>1</v>
          </cell>
        </row>
        <row r="5334">
          <cell r="A5334">
            <v>121839</v>
          </cell>
          <cell r="BB5334">
            <v>1</v>
          </cell>
        </row>
        <row r="5335">
          <cell r="A5335">
            <v>121840</v>
          </cell>
          <cell r="BB5335">
            <v>1</v>
          </cell>
        </row>
        <row r="5336">
          <cell r="A5336">
            <v>121841</v>
          </cell>
          <cell r="BB5336">
            <v>1</v>
          </cell>
        </row>
        <row r="5337">
          <cell r="A5337">
            <v>121842</v>
          </cell>
          <cell r="BB5337">
            <v>1</v>
          </cell>
        </row>
        <row r="5338">
          <cell r="A5338">
            <v>121843</v>
          </cell>
          <cell r="BB5338">
            <v>1</v>
          </cell>
        </row>
        <row r="5339">
          <cell r="A5339">
            <v>121844</v>
          </cell>
          <cell r="BB5339">
            <v>1</v>
          </cell>
        </row>
        <row r="5340">
          <cell r="A5340">
            <v>121845</v>
          </cell>
          <cell r="BB5340">
            <v>1</v>
          </cell>
        </row>
        <row r="5341">
          <cell r="A5341">
            <v>121846</v>
          </cell>
          <cell r="BB5341">
            <v>1</v>
          </cell>
        </row>
        <row r="5342">
          <cell r="A5342">
            <v>121847</v>
          </cell>
          <cell r="BB5342">
            <v>1</v>
          </cell>
        </row>
        <row r="5343">
          <cell r="A5343">
            <v>121848</v>
          </cell>
          <cell r="BB5343">
            <v>1</v>
          </cell>
        </row>
        <row r="5344">
          <cell r="A5344">
            <v>121849</v>
          </cell>
          <cell r="BB5344">
            <v>1</v>
          </cell>
        </row>
        <row r="5345">
          <cell r="A5345">
            <v>121850</v>
          </cell>
          <cell r="BB5345">
            <v>1</v>
          </cell>
        </row>
        <row r="5346">
          <cell r="A5346">
            <v>121851</v>
          </cell>
          <cell r="BB5346">
            <v>1</v>
          </cell>
        </row>
        <row r="5347">
          <cell r="A5347">
            <v>121852</v>
          </cell>
          <cell r="BB5347">
            <v>1</v>
          </cell>
        </row>
        <row r="5348">
          <cell r="A5348">
            <v>121853</v>
          </cell>
          <cell r="BB5348">
            <v>1</v>
          </cell>
        </row>
        <row r="5349">
          <cell r="A5349">
            <v>121854</v>
          </cell>
          <cell r="BB5349">
            <v>1</v>
          </cell>
        </row>
        <row r="5350">
          <cell r="A5350">
            <v>121855</v>
          </cell>
          <cell r="BB5350">
            <v>1</v>
          </cell>
        </row>
        <row r="5351">
          <cell r="A5351">
            <v>121856</v>
          </cell>
          <cell r="BB5351">
            <v>1</v>
          </cell>
        </row>
        <row r="5352">
          <cell r="A5352">
            <v>121857</v>
          </cell>
          <cell r="BB5352">
            <v>1</v>
          </cell>
        </row>
        <row r="5353">
          <cell r="A5353">
            <v>121858</v>
          </cell>
          <cell r="BB5353">
            <v>1</v>
          </cell>
        </row>
        <row r="5354">
          <cell r="A5354">
            <v>121859</v>
          </cell>
          <cell r="BB5354">
            <v>1</v>
          </cell>
        </row>
        <row r="5355">
          <cell r="A5355">
            <v>121860</v>
          </cell>
          <cell r="BB5355">
            <v>1</v>
          </cell>
        </row>
        <row r="5356">
          <cell r="A5356">
            <v>121861</v>
          </cell>
          <cell r="BB5356">
            <v>1</v>
          </cell>
        </row>
        <row r="5357">
          <cell r="A5357">
            <v>121862</v>
          </cell>
          <cell r="BB5357">
            <v>1</v>
          </cell>
        </row>
        <row r="5358">
          <cell r="A5358">
            <v>121863</v>
          </cell>
          <cell r="BB5358">
            <v>1</v>
          </cell>
        </row>
        <row r="5359">
          <cell r="A5359">
            <v>121864</v>
          </cell>
          <cell r="BB5359">
            <v>1</v>
          </cell>
        </row>
        <row r="5360">
          <cell r="A5360">
            <v>121865</v>
          </cell>
          <cell r="BB5360">
            <v>1</v>
          </cell>
        </row>
        <row r="5361">
          <cell r="A5361">
            <v>121866</v>
          </cell>
          <cell r="BB5361">
            <v>1</v>
          </cell>
        </row>
        <row r="5362">
          <cell r="A5362">
            <v>121867</v>
          </cell>
          <cell r="BB5362">
            <v>1</v>
          </cell>
        </row>
        <row r="5363">
          <cell r="A5363">
            <v>121868</v>
          </cell>
          <cell r="BB5363">
            <v>1</v>
          </cell>
        </row>
        <row r="5364">
          <cell r="A5364">
            <v>121869</v>
          </cell>
          <cell r="BB5364">
            <v>1</v>
          </cell>
        </row>
        <row r="5365">
          <cell r="A5365">
            <v>121870</v>
          </cell>
          <cell r="BB5365">
            <v>1</v>
          </cell>
        </row>
        <row r="5366">
          <cell r="A5366">
            <v>121871</v>
          </cell>
          <cell r="BB5366">
            <v>1</v>
          </cell>
        </row>
        <row r="5367">
          <cell r="A5367">
            <v>121872</v>
          </cell>
          <cell r="BB5367">
            <v>1</v>
          </cell>
        </row>
        <row r="5368">
          <cell r="A5368">
            <v>121873</v>
          </cell>
          <cell r="BB5368">
            <v>1</v>
          </cell>
        </row>
        <row r="5369">
          <cell r="A5369">
            <v>121874</v>
          </cell>
          <cell r="BB5369">
            <v>1</v>
          </cell>
        </row>
        <row r="5370">
          <cell r="A5370">
            <v>121875</v>
          </cell>
          <cell r="BB5370">
            <v>1</v>
          </cell>
        </row>
        <row r="5371">
          <cell r="A5371">
            <v>121876</v>
          </cell>
          <cell r="BB5371">
            <v>1</v>
          </cell>
        </row>
        <row r="5372">
          <cell r="A5372">
            <v>121877</v>
          </cell>
          <cell r="BB5372">
            <v>1</v>
          </cell>
        </row>
        <row r="5373">
          <cell r="A5373">
            <v>121878</v>
          </cell>
          <cell r="BB5373">
            <v>1</v>
          </cell>
        </row>
        <row r="5374">
          <cell r="A5374">
            <v>121879</v>
          </cell>
          <cell r="BB5374">
            <v>1</v>
          </cell>
        </row>
        <row r="5375">
          <cell r="A5375">
            <v>121880</v>
          </cell>
          <cell r="BB5375">
            <v>1</v>
          </cell>
        </row>
        <row r="5376">
          <cell r="A5376">
            <v>121881</v>
          </cell>
          <cell r="BB5376">
            <v>1</v>
          </cell>
        </row>
        <row r="5377">
          <cell r="A5377">
            <v>121882</v>
          </cell>
          <cell r="BB5377">
            <v>1</v>
          </cell>
        </row>
        <row r="5378">
          <cell r="A5378">
            <v>121883</v>
          </cell>
          <cell r="BB5378">
            <v>1</v>
          </cell>
        </row>
        <row r="5379">
          <cell r="A5379">
            <v>121884</v>
          </cell>
          <cell r="BB5379">
            <v>1</v>
          </cell>
        </row>
        <row r="5380">
          <cell r="A5380">
            <v>121885</v>
          </cell>
          <cell r="BB5380">
            <v>1</v>
          </cell>
        </row>
        <row r="5381">
          <cell r="A5381">
            <v>121886</v>
          </cell>
          <cell r="BB5381">
            <v>1</v>
          </cell>
        </row>
        <row r="5382">
          <cell r="A5382">
            <v>121887</v>
          </cell>
          <cell r="BB5382">
            <v>1</v>
          </cell>
        </row>
        <row r="5383">
          <cell r="A5383">
            <v>121888</v>
          </cell>
          <cell r="BB5383">
            <v>1</v>
          </cell>
        </row>
        <row r="5384">
          <cell r="A5384">
            <v>121889</v>
          </cell>
          <cell r="BB5384">
            <v>1</v>
          </cell>
        </row>
        <row r="5385">
          <cell r="A5385">
            <v>121890</v>
          </cell>
          <cell r="BB5385">
            <v>1</v>
          </cell>
        </row>
        <row r="5386">
          <cell r="A5386">
            <v>121891</v>
          </cell>
          <cell r="BB5386">
            <v>1</v>
          </cell>
        </row>
        <row r="5387">
          <cell r="A5387">
            <v>121892</v>
          </cell>
          <cell r="BB5387">
            <v>1</v>
          </cell>
        </row>
        <row r="5388">
          <cell r="A5388">
            <v>121893</v>
          </cell>
          <cell r="BB5388">
            <v>1</v>
          </cell>
        </row>
        <row r="5389">
          <cell r="A5389">
            <v>121894</v>
          </cell>
          <cell r="BB5389">
            <v>1</v>
          </cell>
        </row>
        <row r="5390">
          <cell r="A5390">
            <v>121895</v>
          </cell>
          <cell r="BB5390">
            <v>1</v>
          </cell>
        </row>
        <row r="5391">
          <cell r="A5391">
            <v>121896</v>
          </cell>
          <cell r="BB5391">
            <v>1</v>
          </cell>
        </row>
        <row r="5392">
          <cell r="A5392">
            <v>121897</v>
          </cell>
          <cell r="BB5392">
            <v>1</v>
          </cell>
        </row>
        <row r="5393">
          <cell r="A5393">
            <v>121898</v>
          </cell>
          <cell r="BB5393">
            <v>1</v>
          </cell>
        </row>
        <row r="5394">
          <cell r="A5394">
            <v>121899</v>
          </cell>
          <cell r="BB5394">
            <v>1</v>
          </cell>
        </row>
        <row r="5395">
          <cell r="A5395">
            <v>121900</v>
          </cell>
          <cell r="BB5395">
            <v>1</v>
          </cell>
        </row>
        <row r="5396">
          <cell r="A5396">
            <v>121901</v>
          </cell>
          <cell r="BB5396">
            <v>1</v>
          </cell>
        </row>
        <row r="5397">
          <cell r="A5397">
            <v>121902</v>
          </cell>
          <cell r="BB5397">
            <v>1</v>
          </cell>
        </row>
        <row r="5398">
          <cell r="A5398">
            <v>121903</v>
          </cell>
          <cell r="BB5398">
            <v>1</v>
          </cell>
        </row>
        <row r="5399">
          <cell r="A5399">
            <v>121904</v>
          </cell>
          <cell r="BB5399">
            <v>1</v>
          </cell>
        </row>
        <row r="5400">
          <cell r="A5400">
            <v>121905</v>
          </cell>
          <cell r="BB5400">
            <v>1</v>
          </cell>
        </row>
        <row r="5401">
          <cell r="A5401">
            <v>121906</v>
          </cell>
          <cell r="BB5401">
            <v>1</v>
          </cell>
        </row>
        <row r="5402">
          <cell r="A5402">
            <v>121907</v>
          </cell>
          <cell r="BB5402">
            <v>1</v>
          </cell>
        </row>
        <row r="5403">
          <cell r="A5403">
            <v>121908</v>
          </cell>
          <cell r="BB5403">
            <v>1</v>
          </cell>
        </row>
        <row r="5404">
          <cell r="A5404">
            <v>121909</v>
          </cell>
          <cell r="BB5404">
            <v>1</v>
          </cell>
        </row>
        <row r="5405">
          <cell r="A5405">
            <v>121910</v>
          </cell>
          <cell r="BB5405">
            <v>1</v>
          </cell>
        </row>
        <row r="5406">
          <cell r="A5406">
            <v>121911</v>
          </cell>
          <cell r="BB5406">
            <v>1</v>
          </cell>
        </row>
        <row r="5407">
          <cell r="A5407">
            <v>121912</v>
          </cell>
          <cell r="BB5407">
            <v>1</v>
          </cell>
        </row>
        <row r="5408">
          <cell r="A5408">
            <v>121913</v>
          </cell>
          <cell r="BB5408">
            <v>1</v>
          </cell>
        </row>
        <row r="5409">
          <cell r="A5409">
            <v>121914</v>
          </cell>
          <cell r="BB5409">
            <v>1</v>
          </cell>
        </row>
        <row r="5410">
          <cell r="A5410">
            <v>121915</v>
          </cell>
          <cell r="BB5410">
            <v>1</v>
          </cell>
        </row>
        <row r="5411">
          <cell r="A5411">
            <v>121916</v>
          </cell>
          <cell r="BB5411">
            <v>1</v>
          </cell>
        </row>
        <row r="5412">
          <cell r="A5412">
            <v>121917</v>
          </cell>
          <cell r="BB5412">
            <v>1</v>
          </cell>
        </row>
        <row r="5413">
          <cell r="A5413">
            <v>121918</v>
          </cell>
          <cell r="BB5413">
            <v>1</v>
          </cell>
        </row>
        <row r="5414">
          <cell r="A5414">
            <v>121919</v>
          </cell>
          <cell r="BB5414">
            <v>1</v>
          </cell>
        </row>
        <row r="5415">
          <cell r="A5415">
            <v>121920</v>
          </cell>
          <cell r="BB5415">
            <v>1</v>
          </cell>
        </row>
        <row r="5416">
          <cell r="A5416">
            <v>121921</v>
          </cell>
          <cell r="BB5416">
            <v>1</v>
          </cell>
        </row>
        <row r="5417">
          <cell r="A5417">
            <v>121922</v>
          </cell>
          <cell r="BB5417">
            <v>1</v>
          </cell>
        </row>
        <row r="5418">
          <cell r="A5418">
            <v>121923</v>
          </cell>
          <cell r="BB5418">
            <v>1</v>
          </cell>
        </row>
        <row r="5419">
          <cell r="A5419">
            <v>121924</v>
          </cell>
          <cell r="BB5419">
            <v>1</v>
          </cell>
        </row>
        <row r="5420">
          <cell r="A5420">
            <v>121925</v>
          </cell>
          <cell r="BB5420">
            <v>1</v>
          </cell>
        </row>
        <row r="5421">
          <cell r="A5421">
            <v>131001</v>
          </cell>
          <cell r="BB5421">
            <v>1</v>
          </cell>
        </row>
        <row r="5422">
          <cell r="A5422">
            <v>131002</v>
          </cell>
          <cell r="BB5422">
            <v>1</v>
          </cell>
        </row>
        <row r="5423">
          <cell r="A5423">
            <v>131003</v>
          </cell>
          <cell r="BB5423">
            <v>1</v>
          </cell>
        </row>
        <row r="5424">
          <cell r="A5424">
            <v>131004</v>
          </cell>
          <cell r="BB5424">
            <v>1</v>
          </cell>
        </row>
        <row r="5425">
          <cell r="A5425">
            <v>131005</v>
          </cell>
          <cell r="BB5425">
            <v>1</v>
          </cell>
        </row>
        <row r="5426">
          <cell r="A5426">
            <v>131006</v>
          </cell>
          <cell r="BB5426">
            <v>1</v>
          </cell>
        </row>
        <row r="5427">
          <cell r="A5427">
            <v>131007</v>
          </cell>
          <cell r="BB5427">
            <v>1</v>
          </cell>
        </row>
        <row r="5428">
          <cell r="A5428">
            <v>131008</v>
          </cell>
          <cell r="BB5428">
            <v>1</v>
          </cell>
        </row>
        <row r="5429">
          <cell r="A5429">
            <v>131009</v>
          </cell>
          <cell r="BB5429">
            <v>1</v>
          </cell>
        </row>
        <row r="5430">
          <cell r="A5430">
            <v>131010</v>
          </cell>
          <cell r="BB5430">
            <v>1</v>
          </cell>
        </row>
        <row r="5431">
          <cell r="A5431">
            <v>131011</v>
          </cell>
          <cell r="BB5431">
            <v>1</v>
          </cell>
        </row>
        <row r="5432">
          <cell r="A5432">
            <v>131012</v>
          </cell>
          <cell r="BB5432">
            <v>1</v>
          </cell>
        </row>
        <row r="5433">
          <cell r="A5433">
            <v>131013</v>
          </cell>
          <cell r="BB5433">
            <v>1</v>
          </cell>
        </row>
        <row r="5434">
          <cell r="A5434">
            <v>131014</v>
          </cell>
          <cell r="BB5434">
            <v>1</v>
          </cell>
        </row>
        <row r="5435">
          <cell r="A5435">
            <v>131015</v>
          </cell>
          <cell r="BB5435">
            <v>1</v>
          </cell>
        </row>
        <row r="5436">
          <cell r="A5436">
            <v>131016</v>
          </cell>
          <cell r="BB5436">
            <v>1</v>
          </cell>
        </row>
        <row r="5437">
          <cell r="A5437">
            <v>131017</v>
          </cell>
          <cell r="BB5437">
            <v>1</v>
          </cell>
        </row>
        <row r="5438">
          <cell r="A5438">
            <v>131018</v>
          </cell>
          <cell r="BB5438">
            <v>1</v>
          </cell>
        </row>
        <row r="5439">
          <cell r="A5439">
            <v>131019</v>
          </cell>
          <cell r="BB5439">
            <v>1</v>
          </cell>
        </row>
        <row r="5440">
          <cell r="A5440">
            <v>131020</v>
          </cell>
          <cell r="BB5440">
            <v>1</v>
          </cell>
        </row>
        <row r="5441">
          <cell r="A5441">
            <v>131021</v>
          </cell>
          <cell r="BB5441">
            <v>1</v>
          </cell>
        </row>
        <row r="5442">
          <cell r="A5442">
            <v>131022</v>
          </cell>
          <cell r="BB5442">
            <v>1</v>
          </cell>
        </row>
        <row r="5443">
          <cell r="A5443">
            <v>131023</v>
          </cell>
          <cell r="BB5443">
            <v>1</v>
          </cell>
        </row>
        <row r="5444">
          <cell r="A5444">
            <v>131024</v>
          </cell>
          <cell r="BB5444">
            <v>1</v>
          </cell>
        </row>
        <row r="5445">
          <cell r="A5445">
            <v>131025</v>
          </cell>
          <cell r="BB5445">
            <v>1</v>
          </cell>
        </row>
        <row r="5446">
          <cell r="A5446">
            <v>131026</v>
          </cell>
          <cell r="BB5446">
            <v>1</v>
          </cell>
        </row>
        <row r="5447">
          <cell r="A5447">
            <v>131027</v>
          </cell>
          <cell r="BB5447">
            <v>1</v>
          </cell>
        </row>
        <row r="5448">
          <cell r="A5448">
            <v>131028</v>
          </cell>
          <cell r="BB5448">
            <v>1</v>
          </cell>
        </row>
        <row r="5449">
          <cell r="A5449">
            <v>131029</v>
          </cell>
          <cell r="BB5449">
            <v>1</v>
          </cell>
        </row>
        <row r="5450">
          <cell r="A5450">
            <v>131030</v>
          </cell>
          <cell r="BB5450">
            <v>1</v>
          </cell>
        </row>
        <row r="5451">
          <cell r="A5451">
            <v>131031</v>
          </cell>
          <cell r="BB5451">
            <v>1</v>
          </cell>
        </row>
        <row r="5452">
          <cell r="A5452">
            <v>131032</v>
          </cell>
          <cell r="BB5452">
            <v>1</v>
          </cell>
        </row>
        <row r="5453">
          <cell r="A5453">
            <v>131033</v>
          </cell>
          <cell r="BB5453">
            <v>1</v>
          </cell>
        </row>
        <row r="5454">
          <cell r="A5454">
            <v>131034</v>
          </cell>
          <cell r="BB5454">
            <v>1</v>
          </cell>
        </row>
        <row r="5455">
          <cell r="A5455">
            <v>131035</v>
          </cell>
          <cell r="BB5455">
            <v>1</v>
          </cell>
        </row>
        <row r="5456">
          <cell r="A5456">
            <v>131036</v>
          </cell>
          <cell r="BB5456">
            <v>1</v>
          </cell>
        </row>
        <row r="5457">
          <cell r="A5457">
            <v>131037</v>
          </cell>
          <cell r="BB5457">
            <v>1</v>
          </cell>
        </row>
        <row r="5458">
          <cell r="A5458">
            <v>131038</v>
          </cell>
          <cell r="BB5458">
            <v>1</v>
          </cell>
        </row>
        <row r="5459">
          <cell r="A5459">
            <v>131039</v>
          </cell>
          <cell r="BB5459">
            <v>1</v>
          </cell>
        </row>
        <row r="5460">
          <cell r="A5460">
            <v>131040</v>
          </cell>
          <cell r="BB5460">
            <v>1</v>
          </cell>
        </row>
        <row r="5461">
          <cell r="A5461">
            <v>131041</v>
          </cell>
          <cell r="BB5461">
            <v>1</v>
          </cell>
        </row>
        <row r="5462">
          <cell r="A5462">
            <v>131042</v>
          </cell>
          <cell r="BB5462">
            <v>1</v>
          </cell>
        </row>
        <row r="5463">
          <cell r="A5463">
            <v>131043</v>
          </cell>
          <cell r="BB5463">
            <v>1</v>
          </cell>
        </row>
        <row r="5464">
          <cell r="A5464">
            <v>131044</v>
          </cell>
          <cell r="BB5464">
            <v>1</v>
          </cell>
        </row>
        <row r="5465">
          <cell r="A5465">
            <v>131045</v>
          </cell>
          <cell r="BB5465">
            <v>1</v>
          </cell>
        </row>
        <row r="5466">
          <cell r="A5466">
            <v>131046</v>
          </cell>
          <cell r="BB5466">
            <v>1</v>
          </cell>
        </row>
        <row r="5467">
          <cell r="A5467">
            <v>131047</v>
          </cell>
          <cell r="BB5467">
            <v>1</v>
          </cell>
        </row>
        <row r="5468">
          <cell r="A5468">
            <v>131048</v>
          </cell>
          <cell r="BB5468">
            <v>1</v>
          </cell>
        </row>
        <row r="5469">
          <cell r="A5469">
            <v>131049</v>
          </cell>
          <cell r="BB5469">
            <v>1</v>
          </cell>
        </row>
        <row r="5470">
          <cell r="A5470">
            <v>131050</v>
          </cell>
          <cell r="BB5470">
            <v>1</v>
          </cell>
        </row>
        <row r="5471">
          <cell r="A5471">
            <v>131051</v>
          </cell>
          <cell r="BB5471">
            <v>1</v>
          </cell>
        </row>
        <row r="5472">
          <cell r="A5472">
            <v>131052</v>
          </cell>
          <cell r="BB5472">
            <v>1</v>
          </cell>
        </row>
        <row r="5473">
          <cell r="A5473">
            <v>131053</v>
          </cell>
          <cell r="BB5473">
            <v>1</v>
          </cell>
        </row>
        <row r="5474">
          <cell r="A5474">
            <v>131054</v>
          </cell>
          <cell r="BB5474">
            <v>1</v>
          </cell>
        </row>
        <row r="5475">
          <cell r="A5475">
            <v>131055</v>
          </cell>
          <cell r="BB5475">
            <v>1</v>
          </cell>
        </row>
        <row r="5476">
          <cell r="A5476">
            <v>131056</v>
          </cell>
          <cell r="BB5476">
            <v>1</v>
          </cell>
        </row>
        <row r="5477">
          <cell r="A5477">
            <v>131057</v>
          </cell>
          <cell r="BB5477">
            <v>1</v>
          </cell>
        </row>
        <row r="5478">
          <cell r="A5478">
            <v>131058</v>
          </cell>
          <cell r="BB5478">
            <v>1</v>
          </cell>
        </row>
        <row r="5479">
          <cell r="A5479">
            <v>131059</v>
          </cell>
          <cell r="BB5479">
            <v>1</v>
          </cell>
        </row>
        <row r="5480">
          <cell r="A5480">
            <v>131060</v>
          </cell>
          <cell r="BB5480">
            <v>1</v>
          </cell>
        </row>
        <row r="5481">
          <cell r="A5481">
            <v>131061</v>
          </cell>
          <cell r="BB5481">
            <v>1</v>
          </cell>
        </row>
        <row r="5482">
          <cell r="A5482">
            <v>131062</v>
          </cell>
          <cell r="BB5482">
            <v>1</v>
          </cell>
        </row>
        <row r="5483">
          <cell r="A5483">
            <v>131063</v>
          </cell>
          <cell r="BB5483">
            <v>1</v>
          </cell>
        </row>
        <row r="5484">
          <cell r="A5484">
            <v>131064</v>
          </cell>
          <cell r="BB5484">
            <v>1</v>
          </cell>
        </row>
        <row r="5485">
          <cell r="A5485">
            <v>131065</v>
          </cell>
          <cell r="BB5485">
            <v>1</v>
          </cell>
        </row>
        <row r="5486">
          <cell r="A5486">
            <v>131066</v>
          </cell>
          <cell r="BB5486">
            <v>1</v>
          </cell>
        </row>
        <row r="5487">
          <cell r="A5487">
            <v>131067</v>
          </cell>
          <cell r="BB5487">
            <v>1</v>
          </cell>
        </row>
        <row r="5488">
          <cell r="A5488">
            <v>131068</v>
          </cell>
          <cell r="BB5488">
            <v>1</v>
          </cell>
        </row>
        <row r="5489">
          <cell r="A5489">
            <v>131069</v>
          </cell>
          <cell r="BB5489">
            <v>1</v>
          </cell>
        </row>
        <row r="5490">
          <cell r="A5490">
            <v>131070</v>
          </cell>
          <cell r="BB5490">
            <v>1</v>
          </cell>
        </row>
        <row r="5491">
          <cell r="A5491">
            <v>131071</v>
          </cell>
          <cell r="BB5491">
            <v>1</v>
          </cell>
        </row>
        <row r="5492">
          <cell r="A5492">
            <v>131072</v>
          </cell>
          <cell r="BB5492">
            <v>1</v>
          </cell>
        </row>
        <row r="5493">
          <cell r="A5493">
            <v>131073</v>
          </cell>
          <cell r="BB5493">
            <v>1</v>
          </cell>
        </row>
        <row r="5494">
          <cell r="A5494">
            <v>131074</v>
          </cell>
          <cell r="BB5494">
            <v>1</v>
          </cell>
        </row>
        <row r="5495">
          <cell r="A5495">
            <v>131075</v>
          </cell>
          <cell r="BB5495">
            <v>1</v>
          </cell>
        </row>
        <row r="5496">
          <cell r="A5496">
            <v>131076</v>
          </cell>
          <cell r="BB5496">
            <v>1</v>
          </cell>
        </row>
        <row r="5497">
          <cell r="A5497">
            <v>131077</v>
          </cell>
          <cell r="BB5497">
            <v>1</v>
          </cell>
        </row>
        <row r="5498">
          <cell r="A5498">
            <v>131078</v>
          </cell>
          <cell r="BB5498">
            <v>1</v>
          </cell>
        </row>
        <row r="5499">
          <cell r="A5499">
            <v>131079</v>
          </cell>
          <cell r="BB5499">
            <v>1</v>
          </cell>
        </row>
        <row r="5500">
          <cell r="A5500">
            <v>131080</v>
          </cell>
          <cell r="BB5500">
            <v>1</v>
          </cell>
        </row>
        <row r="5501">
          <cell r="A5501">
            <v>131081</v>
          </cell>
          <cell r="BB5501">
            <v>1</v>
          </cell>
        </row>
        <row r="5502">
          <cell r="A5502">
            <v>131082</v>
          </cell>
          <cell r="BB5502">
            <v>1</v>
          </cell>
        </row>
        <row r="5503">
          <cell r="A5503">
            <v>131083</v>
          </cell>
          <cell r="BB5503">
            <v>1</v>
          </cell>
        </row>
        <row r="5504">
          <cell r="A5504">
            <v>131084</v>
          </cell>
          <cell r="BB5504">
            <v>1</v>
          </cell>
        </row>
        <row r="5505">
          <cell r="A5505">
            <v>131085</v>
          </cell>
          <cell r="BB5505">
            <v>1</v>
          </cell>
        </row>
        <row r="5506">
          <cell r="A5506">
            <v>131086</v>
          </cell>
          <cell r="BB5506">
            <v>1</v>
          </cell>
        </row>
        <row r="5507">
          <cell r="A5507">
            <v>131087</v>
          </cell>
          <cell r="BB5507">
            <v>1</v>
          </cell>
        </row>
        <row r="5508">
          <cell r="A5508">
            <v>131088</v>
          </cell>
          <cell r="BB5508">
            <v>1</v>
          </cell>
        </row>
        <row r="5509">
          <cell r="A5509">
            <v>131089</v>
          </cell>
          <cell r="BB5509">
            <v>1</v>
          </cell>
        </row>
        <row r="5510">
          <cell r="A5510">
            <v>131090</v>
          </cell>
          <cell r="BB5510">
            <v>1</v>
          </cell>
        </row>
        <row r="5511">
          <cell r="A5511">
            <v>131091</v>
          </cell>
          <cell r="BB5511">
            <v>1</v>
          </cell>
        </row>
        <row r="5512">
          <cell r="A5512">
            <v>131092</v>
          </cell>
          <cell r="BB5512">
            <v>1</v>
          </cell>
        </row>
        <row r="5513">
          <cell r="A5513">
            <v>131093</v>
          </cell>
          <cell r="BB5513">
            <v>1</v>
          </cell>
        </row>
        <row r="5514">
          <cell r="A5514">
            <v>131094</v>
          </cell>
          <cell r="BB5514">
            <v>1</v>
          </cell>
        </row>
        <row r="5515">
          <cell r="A5515">
            <v>131095</v>
          </cell>
          <cell r="BB5515">
            <v>1</v>
          </cell>
        </row>
        <row r="5516">
          <cell r="A5516">
            <v>131096</v>
          </cell>
          <cell r="BB5516">
            <v>1</v>
          </cell>
        </row>
        <row r="5517">
          <cell r="A5517">
            <v>131097</v>
          </cell>
          <cell r="BB5517">
            <v>1</v>
          </cell>
        </row>
        <row r="5518">
          <cell r="A5518">
            <v>131098</v>
          </cell>
          <cell r="BB5518">
            <v>1</v>
          </cell>
        </row>
        <row r="5519">
          <cell r="A5519">
            <v>131099</v>
          </cell>
          <cell r="BB5519">
            <v>1</v>
          </cell>
        </row>
        <row r="5520">
          <cell r="A5520">
            <v>131100</v>
          </cell>
          <cell r="BB5520">
            <v>1</v>
          </cell>
        </row>
        <row r="5521">
          <cell r="A5521">
            <v>131101</v>
          </cell>
          <cell r="BB5521">
            <v>1</v>
          </cell>
        </row>
        <row r="5522">
          <cell r="A5522">
            <v>131102</v>
          </cell>
          <cell r="BB5522">
            <v>1</v>
          </cell>
        </row>
        <row r="5523">
          <cell r="A5523">
            <v>131103</v>
          </cell>
          <cell r="BB5523">
            <v>1</v>
          </cell>
        </row>
        <row r="5524">
          <cell r="A5524">
            <v>131104</v>
          </cell>
          <cell r="BB5524">
            <v>1</v>
          </cell>
        </row>
        <row r="5525">
          <cell r="A5525">
            <v>131105</v>
          </cell>
          <cell r="BB5525">
            <v>1</v>
          </cell>
        </row>
        <row r="5526">
          <cell r="A5526">
            <v>131106</v>
          </cell>
          <cell r="BB5526">
            <v>1</v>
          </cell>
        </row>
        <row r="5527">
          <cell r="A5527">
            <v>131107</v>
          </cell>
          <cell r="BB5527">
            <v>1</v>
          </cell>
        </row>
        <row r="5528">
          <cell r="A5528">
            <v>131108</v>
          </cell>
          <cell r="BB5528">
            <v>1</v>
          </cell>
        </row>
        <row r="5529">
          <cell r="A5529">
            <v>131109</v>
          </cell>
          <cell r="BB5529">
            <v>1</v>
          </cell>
        </row>
        <row r="5530">
          <cell r="A5530">
            <v>131110</v>
          </cell>
          <cell r="BB5530">
            <v>1</v>
          </cell>
        </row>
        <row r="5531">
          <cell r="A5531">
            <v>131111</v>
          </cell>
          <cell r="BB5531">
            <v>1</v>
          </cell>
        </row>
        <row r="5532">
          <cell r="A5532">
            <v>131112</v>
          </cell>
          <cell r="BB5532">
            <v>1</v>
          </cell>
        </row>
        <row r="5533">
          <cell r="A5533">
            <v>131113</v>
          </cell>
          <cell r="BB5533">
            <v>1</v>
          </cell>
        </row>
        <row r="5534">
          <cell r="A5534">
            <v>131114</v>
          </cell>
          <cell r="BB5534">
            <v>1</v>
          </cell>
        </row>
        <row r="5535">
          <cell r="A5535">
            <v>131115</v>
          </cell>
          <cell r="BB5535">
            <v>1</v>
          </cell>
        </row>
        <row r="5536">
          <cell r="A5536">
            <v>131116</v>
          </cell>
          <cell r="BB5536">
            <v>1</v>
          </cell>
        </row>
        <row r="5537">
          <cell r="A5537">
            <v>131117</v>
          </cell>
          <cell r="BB5537">
            <v>1</v>
          </cell>
        </row>
        <row r="5538">
          <cell r="A5538">
            <v>131118</v>
          </cell>
          <cell r="BB5538">
            <v>1</v>
          </cell>
        </row>
        <row r="5539">
          <cell r="A5539">
            <v>131119</v>
          </cell>
          <cell r="BB5539">
            <v>1</v>
          </cell>
        </row>
        <row r="5540">
          <cell r="A5540">
            <v>131120</v>
          </cell>
          <cell r="BB5540">
            <v>1</v>
          </cell>
        </row>
        <row r="5541">
          <cell r="A5541">
            <v>131121</v>
          </cell>
          <cell r="BB5541">
            <v>1</v>
          </cell>
        </row>
        <row r="5542">
          <cell r="A5542">
            <v>131122</v>
          </cell>
          <cell r="BB5542">
            <v>1</v>
          </cell>
        </row>
        <row r="5543">
          <cell r="A5543">
            <v>131123</v>
          </cell>
          <cell r="BB5543">
            <v>1</v>
          </cell>
        </row>
        <row r="5544">
          <cell r="A5544">
            <v>131124</v>
          </cell>
          <cell r="BB5544">
            <v>1</v>
          </cell>
        </row>
        <row r="5545">
          <cell r="A5545">
            <v>131125</v>
          </cell>
          <cell r="BB5545">
            <v>1</v>
          </cell>
        </row>
        <row r="5546">
          <cell r="A5546">
            <v>131126</v>
          </cell>
          <cell r="BB5546">
            <v>1</v>
          </cell>
        </row>
        <row r="5547">
          <cell r="A5547">
            <v>131127</v>
          </cell>
          <cell r="BB5547">
            <v>1</v>
          </cell>
        </row>
        <row r="5548">
          <cell r="A5548">
            <v>131128</v>
          </cell>
          <cell r="BB5548">
            <v>1</v>
          </cell>
        </row>
        <row r="5549">
          <cell r="A5549">
            <v>131129</v>
          </cell>
          <cell r="BB5549">
            <v>1</v>
          </cell>
        </row>
        <row r="5550">
          <cell r="A5550">
            <v>131130</v>
          </cell>
          <cell r="BB5550">
            <v>1</v>
          </cell>
        </row>
        <row r="5551">
          <cell r="A5551">
            <v>131131</v>
          </cell>
          <cell r="BB5551">
            <v>1</v>
          </cell>
        </row>
        <row r="5552">
          <cell r="A5552">
            <v>131132</v>
          </cell>
          <cell r="BB5552">
            <v>1</v>
          </cell>
        </row>
        <row r="5553">
          <cell r="A5553">
            <v>131133</v>
          </cell>
          <cell r="BB5553">
            <v>1</v>
          </cell>
        </row>
        <row r="5554">
          <cell r="A5554">
            <v>131134</v>
          </cell>
          <cell r="BB5554">
            <v>1</v>
          </cell>
        </row>
        <row r="5555">
          <cell r="A5555">
            <v>131135</v>
          </cell>
          <cell r="BB5555">
            <v>1</v>
          </cell>
        </row>
        <row r="5556">
          <cell r="A5556">
            <v>131136</v>
          </cell>
          <cell r="BB5556">
            <v>1</v>
          </cell>
        </row>
        <row r="5557">
          <cell r="A5557">
            <v>131137</v>
          </cell>
          <cell r="BB5557">
            <v>1</v>
          </cell>
        </row>
        <row r="5558">
          <cell r="A5558">
            <v>131138</v>
          </cell>
          <cell r="BB5558">
            <v>1</v>
          </cell>
        </row>
        <row r="5559">
          <cell r="A5559">
            <v>131139</v>
          </cell>
          <cell r="BB5559">
            <v>1</v>
          </cell>
        </row>
        <row r="5560">
          <cell r="A5560">
            <v>131140</v>
          </cell>
          <cell r="BB5560">
            <v>1</v>
          </cell>
        </row>
        <row r="5561">
          <cell r="A5561">
            <v>131141</v>
          </cell>
          <cell r="BB5561">
            <v>1</v>
          </cell>
        </row>
        <row r="5562">
          <cell r="A5562">
            <v>131142</v>
          </cell>
          <cell r="BB5562">
            <v>1</v>
          </cell>
        </row>
        <row r="5563">
          <cell r="A5563">
            <v>131143</v>
          </cell>
          <cell r="BB5563">
            <v>1</v>
          </cell>
        </row>
        <row r="5564">
          <cell r="A5564">
            <v>131144</v>
          </cell>
          <cell r="BB5564">
            <v>1</v>
          </cell>
        </row>
        <row r="5565">
          <cell r="A5565">
            <v>131145</v>
          </cell>
          <cell r="BB5565">
            <v>1</v>
          </cell>
        </row>
        <row r="5566">
          <cell r="A5566">
            <v>131146</v>
          </cell>
          <cell r="BB5566">
            <v>1</v>
          </cell>
        </row>
        <row r="5567">
          <cell r="A5567">
            <v>131147</v>
          </cell>
          <cell r="BB5567">
            <v>1</v>
          </cell>
        </row>
        <row r="5568">
          <cell r="A5568">
            <v>131148</v>
          </cell>
          <cell r="BB5568">
            <v>1</v>
          </cell>
        </row>
        <row r="5569">
          <cell r="A5569">
            <v>131149</v>
          </cell>
          <cell r="BB5569">
            <v>1</v>
          </cell>
        </row>
        <row r="5570">
          <cell r="A5570">
            <v>131150</v>
          </cell>
          <cell r="BB5570">
            <v>1</v>
          </cell>
        </row>
        <row r="5571">
          <cell r="A5571">
            <v>131151</v>
          </cell>
          <cell r="BB5571">
            <v>1</v>
          </cell>
        </row>
        <row r="5572">
          <cell r="A5572">
            <v>131152</v>
          </cell>
          <cell r="BB5572">
            <v>1</v>
          </cell>
        </row>
        <row r="5573">
          <cell r="A5573">
            <v>131153</v>
          </cell>
          <cell r="BB5573">
            <v>1</v>
          </cell>
        </row>
        <row r="5574">
          <cell r="A5574">
            <v>131154</v>
          </cell>
          <cell r="BB5574">
            <v>1</v>
          </cell>
        </row>
        <row r="5575">
          <cell r="A5575">
            <v>131155</v>
          </cell>
          <cell r="BB5575">
            <v>1</v>
          </cell>
        </row>
        <row r="5576">
          <cell r="A5576">
            <v>131156</v>
          </cell>
          <cell r="BB5576">
            <v>1</v>
          </cell>
        </row>
        <row r="5577">
          <cell r="A5577">
            <v>131157</v>
          </cell>
          <cell r="BB5577">
            <v>1</v>
          </cell>
        </row>
        <row r="5578">
          <cell r="A5578">
            <v>131158</v>
          </cell>
          <cell r="BB5578">
            <v>1</v>
          </cell>
        </row>
        <row r="5579">
          <cell r="A5579">
            <v>131159</v>
          </cell>
          <cell r="BB5579">
            <v>1</v>
          </cell>
        </row>
        <row r="5580">
          <cell r="A5580">
            <v>131160</v>
          </cell>
          <cell r="BB5580">
            <v>1</v>
          </cell>
        </row>
        <row r="5581">
          <cell r="A5581">
            <v>131161</v>
          </cell>
          <cell r="BB5581">
            <v>1</v>
          </cell>
        </row>
        <row r="5582">
          <cell r="A5582">
            <v>131162</v>
          </cell>
          <cell r="BB5582">
            <v>1</v>
          </cell>
        </row>
        <row r="5583">
          <cell r="A5583">
            <v>131163</v>
          </cell>
          <cell r="BB5583">
            <v>1</v>
          </cell>
        </row>
        <row r="5584">
          <cell r="A5584">
            <v>131164</v>
          </cell>
          <cell r="BB5584">
            <v>1</v>
          </cell>
        </row>
        <row r="5585">
          <cell r="A5585">
            <v>131165</v>
          </cell>
          <cell r="BB5585">
            <v>1</v>
          </cell>
        </row>
        <row r="5586">
          <cell r="A5586">
            <v>131166</v>
          </cell>
          <cell r="BB5586">
            <v>1</v>
          </cell>
        </row>
        <row r="5587">
          <cell r="A5587">
            <v>131167</v>
          </cell>
          <cell r="BB5587">
            <v>1</v>
          </cell>
        </row>
        <row r="5588">
          <cell r="A5588">
            <v>131168</v>
          </cell>
          <cell r="BB5588">
            <v>1</v>
          </cell>
        </row>
        <row r="5589">
          <cell r="A5589">
            <v>131169</v>
          </cell>
          <cell r="BB5589">
            <v>1</v>
          </cell>
        </row>
        <row r="5590">
          <cell r="A5590">
            <v>131170</v>
          </cell>
          <cell r="BB5590">
            <v>1</v>
          </cell>
        </row>
        <row r="5591">
          <cell r="A5591">
            <v>131171</v>
          </cell>
          <cell r="BB5591">
            <v>1</v>
          </cell>
        </row>
        <row r="5592">
          <cell r="A5592">
            <v>131172</v>
          </cell>
          <cell r="BB5592">
            <v>1</v>
          </cell>
        </row>
        <row r="5593">
          <cell r="A5593">
            <v>131173</v>
          </cell>
          <cell r="BB5593">
            <v>1</v>
          </cell>
        </row>
        <row r="5594">
          <cell r="A5594">
            <v>131174</v>
          </cell>
          <cell r="BB5594">
            <v>1</v>
          </cell>
        </row>
        <row r="5595">
          <cell r="A5595">
            <v>131175</v>
          </cell>
          <cell r="BB5595">
            <v>1</v>
          </cell>
        </row>
        <row r="5596">
          <cell r="A5596">
            <v>131176</v>
          </cell>
          <cell r="BB5596">
            <v>1</v>
          </cell>
        </row>
        <row r="5597">
          <cell r="A5597">
            <v>131177</v>
          </cell>
          <cell r="BB5597">
            <v>1</v>
          </cell>
        </row>
        <row r="5598">
          <cell r="A5598">
            <v>131178</v>
          </cell>
          <cell r="BB5598">
            <v>1</v>
          </cell>
        </row>
        <row r="5599">
          <cell r="A5599">
            <v>131179</v>
          </cell>
          <cell r="BB5599">
            <v>1</v>
          </cell>
        </row>
        <row r="5600">
          <cell r="A5600">
            <v>131180</v>
          </cell>
          <cell r="BB5600">
            <v>1</v>
          </cell>
        </row>
        <row r="5601">
          <cell r="A5601">
            <v>131181</v>
          </cell>
          <cell r="BB5601">
            <v>1</v>
          </cell>
        </row>
        <row r="5602">
          <cell r="A5602">
            <v>131182</v>
          </cell>
          <cell r="BB5602">
            <v>1</v>
          </cell>
        </row>
        <row r="5603">
          <cell r="A5603">
            <v>131183</v>
          </cell>
          <cell r="BB5603">
            <v>1</v>
          </cell>
        </row>
        <row r="5604">
          <cell r="A5604">
            <v>131184</v>
          </cell>
          <cell r="BB5604">
            <v>1</v>
          </cell>
        </row>
        <row r="5605">
          <cell r="A5605">
            <v>131185</v>
          </cell>
          <cell r="BB5605">
            <v>1</v>
          </cell>
        </row>
        <row r="5606">
          <cell r="A5606">
            <v>131186</v>
          </cell>
          <cell r="BB5606">
            <v>1</v>
          </cell>
        </row>
        <row r="5607">
          <cell r="A5607">
            <v>131187</v>
          </cell>
          <cell r="BB5607">
            <v>1</v>
          </cell>
        </row>
        <row r="5608">
          <cell r="A5608">
            <v>131188</v>
          </cell>
          <cell r="BB5608">
            <v>1</v>
          </cell>
        </row>
        <row r="5609">
          <cell r="A5609">
            <v>131189</v>
          </cell>
          <cell r="BB5609">
            <v>1</v>
          </cell>
        </row>
        <row r="5610">
          <cell r="A5610">
            <v>131190</v>
          </cell>
          <cell r="BB5610">
            <v>1</v>
          </cell>
        </row>
        <row r="5611">
          <cell r="A5611">
            <v>131191</v>
          </cell>
          <cell r="BB5611">
            <v>1</v>
          </cell>
        </row>
        <row r="5612">
          <cell r="A5612">
            <v>131192</v>
          </cell>
          <cell r="BB5612">
            <v>1</v>
          </cell>
        </row>
        <row r="5613">
          <cell r="A5613">
            <v>131193</v>
          </cell>
          <cell r="BB5613">
            <v>1</v>
          </cell>
        </row>
        <row r="5614">
          <cell r="A5614">
            <v>131194</v>
          </cell>
          <cell r="BB5614">
            <v>1</v>
          </cell>
        </row>
        <row r="5615">
          <cell r="A5615">
            <v>131195</v>
          </cell>
          <cell r="BB5615">
            <v>1</v>
          </cell>
        </row>
        <row r="5616">
          <cell r="A5616">
            <v>131196</v>
          </cell>
          <cell r="BB5616">
            <v>1</v>
          </cell>
        </row>
        <row r="5617">
          <cell r="A5617">
            <v>131197</v>
          </cell>
          <cell r="BB5617">
            <v>1</v>
          </cell>
        </row>
        <row r="5618">
          <cell r="A5618">
            <v>131198</v>
          </cell>
          <cell r="BB5618">
            <v>1</v>
          </cell>
        </row>
        <row r="5619">
          <cell r="A5619">
            <v>131199</v>
          </cell>
          <cell r="BB5619">
            <v>1</v>
          </cell>
        </row>
        <row r="5620">
          <cell r="A5620">
            <v>131200</v>
          </cell>
          <cell r="BB5620">
            <v>1</v>
          </cell>
        </row>
        <row r="5621">
          <cell r="A5621">
            <v>131201</v>
          </cell>
          <cell r="BB5621">
            <v>1</v>
          </cell>
        </row>
        <row r="5622">
          <cell r="A5622">
            <v>131202</v>
          </cell>
          <cell r="BB5622">
            <v>1</v>
          </cell>
        </row>
        <row r="5623">
          <cell r="A5623">
            <v>131203</v>
          </cell>
          <cell r="BB5623">
            <v>1</v>
          </cell>
        </row>
        <row r="5624">
          <cell r="A5624">
            <v>131204</v>
          </cell>
          <cell r="BB5624">
            <v>1</v>
          </cell>
        </row>
        <row r="5625">
          <cell r="A5625">
            <v>131205</v>
          </cell>
          <cell r="BB5625">
            <v>1</v>
          </cell>
        </row>
        <row r="5626">
          <cell r="A5626">
            <v>131206</v>
          </cell>
          <cell r="BB5626">
            <v>1</v>
          </cell>
        </row>
        <row r="5627">
          <cell r="A5627">
            <v>131207</v>
          </cell>
          <cell r="BB5627">
            <v>1</v>
          </cell>
        </row>
        <row r="5628">
          <cell r="A5628">
            <v>131208</v>
          </cell>
          <cell r="BB5628">
            <v>1</v>
          </cell>
        </row>
        <row r="5629">
          <cell r="A5629">
            <v>131209</v>
          </cell>
          <cell r="BB5629">
            <v>1</v>
          </cell>
        </row>
        <row r="5630">
          <cell r="A5630">
            <v>131210</v>
          </cell>
          <cell r="BB5630">
            <v>1</v>
          </cell>
        </row>
        <row r="5631">
          <cell r="A5631">
            <v>131211</v>
          </cell>
          <cell r="BB5631">
            <v>1</v>
          </cell>
        </row>
        <row r="5632">
          <cell r="A5632">
            <v>131212</v>
          </cell>
          <cell r="BB5632">
            <v>1</v>
          </cell>
        </row>
        <row r="5633">
          <cell r="A5633">
            <v>131213</v>
          </cell>
          <cell r="BB5633">
            <v>1</v>
          </cell>
        </row>
        <row r="5634">
          <cell r="A5634">
            <v>131214</v>
          </cell>
          <cell r="BB5634">
            <v>1</v>
          </cell>
        </row>
        <row r="5635">
          <cell r="A5635">
            <v>131215</v>
          </cell>
          <cell r="BB5635">
            <v>1</v>
          </cell>
        </row>
        <row r="5636">
          <cell r="A5636">
            <v>131216</v>
          </cell>
          <cell r="BB5636">
            <v>1</v>
          </cell>
        </row>
        <row r="5637">
          <cell r="A5637">
            <v>131217</v>
          </cell>
          <cell r="BB5637">
            <v>1</v>
          </cell>
        </row>
        <row r="5638">
          <cell r="A5638">
            <v>131218</v>
          </cell>
          <cell r="BB5638">
            <v>1</v>
          </cell>
        </row>
        <row r="5639">
          <cell r="A5639">
            <v>131219</v>
          </cell>
          <cell r="BB5639">
            <v>1</v>
          </cell>
        </row>
        <row r="5640">
          <cell r="A5640">
            <v>131220</v>
          </cell>
          <cell r="BB5640">
            <v>1</v>
          </cell>
        </row>
        <row r="5641">
          <cell r="A5641">
            <v>131221</v>
          </cell>
          <cell r="BB5641">
            <v>1</v>
          </cell>
        </row>
        <row r="5642">
          <cell r="A5642">
            <v>131222</v>
          </cell>
          <cell r="BB5642">
            <v>1</v>
          </cell>
        </row>
        <row r="5643">
          <cell r="A5643">
            <v>131223</v>
          </cell>
          <cell r="BB5643">
            <v>1</v>
          </cell>
        </row>
        <row r="5644">
          <cell r="A5644">
            <v>131224</v>
          </cell>
          <cell r="BB5644">
            <v>1</v>
          </cell>
        </row>
        <row r="5645">
          <cell r="A5645">
            <v>131225</v>
          </cell>
          <cell r="BB5645">
            <v>1</v>
          </cell>
        </row>
        <row r="5646">
          <cell r="A5646">
            <v>131226</v>
          </cell>
          <cell r="BB5646">
            <v>1</v>
          </cell>
        </row>
        <row r="5647">
          <cell r="A5647">
            <v>131227</v>
          </cell>
          <cell r="BB5647">
            <v>1</v>
          </cell>
        </row>
        <row r="5648">
          <cell r="A5648">
            <v>131228</v>
          </cell>
          <cell r="BB5648">
            <v>1</v>
          </cell>
        </row>
        <row r="5649">
          <cell r="A5649">
            <v>131229</v>
          </cell>
          <cell r="BB5649">
            <v>1</v>
          </cell>
        </row>
        <row r="5650">
          <cell r="A5650">
            <v>131230</v>
          </cell>
          <cell r="BB5650">
            <v>1</v>
          </cell>
        </row>
        <row r="5651">
          <cell r="A5651">
            <v>131231</v>
          </cell>
          <cell r="BB5651">
            <v>1</v>
          </cell>
        </row>
        <row r="5652">
          <cell r="A5652">
            <v>131232</v>
          </cell>
          <cell r="BB5652">
            <v>1</v>
          </cell>
        </row>
        <row r="5653">
          <cell r="A5653">
            <v>131233</v>
          </cell>
          <cell r="BB5653">
            <v>1</v>
          </cell>
        </row>
        <row r="5654">
          <cell r="A5654">
            <v>131234</v>
          </cell>
          <cell r="BB5654">
            <v>1</v>
          </cell>
        </row>
        <row r="5655">
          <cell r="A5655">
            <v>131235</v>
          </cell>
          <cell r="BB5655">
            <v>1</v>
          </cell>
        </row>
        <row r="5656">
          <cell r="A5656">
            <v>131236</v>
          </cell>
          <cell r="BB5656">
            <v>1</v>
          </cell>
        </row>
        <row r="5657">
          <cell r="A5657">
            <v>131237</v>
          </cell>
          <cell r="BB5657">
            <v>1</v>
          </cell>
        </row>
        <row r="5658">
          <cell r="A5658">
            <v>131238</v>
          </cell>
          <cell r="BB5658">
            <v>1</v>
          </cell>
        </row>
        <row r="5659">
          <cell r="A5659">
            <v>131239</v>
          </cell>
          <cell r="BB5659">
            <v>1</v>
          </cell>
        </row>
        <row r="5660">
          <cell r="A5660">
            <v>131240</v>
          </cell>
          <cell r="BB5660">
            <v>1</v>
          </cell>
        </row>
        <row r="5661">
          <cell r="A5661">
            <v>131241</v>
          </cell>
          <cell r="BB5661">
            <v>1</v>
          </cell>
        </row>
        <row r="5662">
          <cell r="A5662">
            <v>131242</v>
          </cell>
          <cell r="BB5662">
            <v>1</v>
          </cell>
        </row>
        <row r="5663">
          <cell r="A5663">
            <v>131243</v>
          </cell>
          <cell r="BB5663">
            <v>1</v>
          </cell>
        </row>
        <row r="5664">
          <cell r="A5664">
            <v>131244</v>
          </cell>
          <cell r="BB5664">
            <v>1</v>
          </cell>
        </row>
        <row r="5665">
          <cell r="A5665">
            <v>131245</v>
          </cell>
          <cell r="BB5665">
            <v>1</v>
          </cell>
        </row>
        <row r="5666">
          <cell r="A5666">
            <v>131246</v>
          </cell>
          <cell r="BB5666">
            <v>1</v>
          </cell>
        </row>
        <row r="5667">
          <cell r="A5667">
            <v>131247</v>
          </cell>
          <cell r="BB5667">
            <v>1</v>
          </cell>
        </row>
        <row r="5668">
          <cell r="A5668">
            <v>131248</v>
          </cell>
          <cell r="BB5668">
            <v>1</v>
          </cell>
        </row>
        <row r="5669">
          <cell r="A5669">
            <v>131249</v>
          </cell>
          <cell r="BB5669">
            <v>1</v>
          </cell>
        </row>
        <row r="5670">
          <cell r="A5670">
            <v>131250</v>
          </cell>
          <cell r="BB5670">
            <v>1</v>
          </cell>
        </row>
        <row r="5671">
          <cell r="A5671">
            <v>131251</v>
          </cell>
          <cell r="BB5671">
            <v>1</v>
          </cell>
        </row>
        <row r="5672">
          <cell r="A5672">
            <v>131252</v>
          </cell>
          <cell r="BB5672">
            <v>1</v>
          </cell>
        </row>
        <row r="5673">
          <cell r="A5673">
            <v>131253</v>
          </cell>
          <cell r="BB5673">
            <v>1</v>
          </cell>
        </row>
        <row r="5674">
          <cell r="A5674">
            <v>131254</v>
          </cell>
          <cell r="BB5674">
            <v>1</v>
          </cell>
        </row>
        <row r="5675">
          <cell r="A5675">
            <v>131255</v>
          </cell>
          <cell r="BB5675">
            <v>1</v>
          </cell>
        </row>
        <row r="5676">
          <cell r="A5676">
            <v>131256</v>
          </cell>
          <cell r="BB5676">
            <v>1</v>
          </cell>
        </row>
        <row r="5677">
          <cell r="A5677">
            <v>131257</v>
          </cell>
          <cell r="BB5677">
            <v>1</v>
          </cell>
        </row>
        <row r="5678">
          <cell r="A5678">
            <v>131258</v>
          </cell>
          <cell r="BB5678">
            <v>1</v>
          </cell>
        </row>
        <row r="5679">
          <cell r="A5679">
            <v>131259</v>
          </cell>
          <cell r="BB5679">
            <v>1</v>
          </cell>
        </row>
        <row r="5680">
          <cell r="A5680">
            <v>131260</v>
          </cell>
          <cell r="BB5680">
            <v>1</v>
          </cell>
        </row>
        <row r="5681">
          <cell r="A5681">
            <v>131261</v>
          </cell>
          <cell r="BB5681">
            <v>1</v>
          </cell>
        </row>
        <row r="5682">
          <cell r="A5682">
            <v>131262</v>
          </cell>
          <cell r="BB5682">
            <v>1</v>
          </cell>
        </row>
        <row r="5683">
          <cell r="A5683">
            <v>131263</v>
          </cell>
          <cell r="BB5683">
            <v>1</v>
          </cell>
        </row>
        <row r="5684">
          <cell r="A5684">
            <v>131264</v>
          </cell>
          <cell r="BB5684">
            <v>1</v>
          </cell>
        </row>
        <row r="5685">
          <cell r="A5685">
            <v>131265</v>
          </cell>
          <cell r="BB5685">
            <v>1</v>
          </cell>
        </row>
        <row r="5686">
          <cell r="A5686">
            <v>131266</v>
          </cell>
          <cell r="BB5686">
            <v>1</v>
          </cell>
        </row>
        <row r="5687">
          <cell r="A5687">
            <v>131267</v>
          </cell>
          <cell r="BB5687">
            <v>1</v>
          </cell>
        </row>
        <row r="5688">
          <cell r="A5688">
            <v>131268</v>
          </cell>
          <cell r="BB5688">
            <v>1</v>
          </cell>
        </row>
        <row r="5689">
          <cell r="A5689">
            <v>131269</v>
          </cell>
          <cell r="BB5689">
            <v>1</v>
          </cell>
        </row>
        <row r="5690">
          <cell r="A5690">
            <v>131270</v>
          </cell>
          <cell r="BB5690">
            <v>1</v>
          </cell>
        </row>
        <row r="5691">
          <cell r="A5691">
            <v>131271</v>
          </cell>
          <cell r="BB5691">
            <v>1</v>
          </cell>
        </row>
        <row r="5692">
          <cell r="A5692">
            <v>131272</v>
          </cell>
          <cell r="BB5692">
            <v>1</v>
          </cell>
        </row>
        <row r="5693">
          <cell r="A5693">
            <v>131273</v>
          </cell>
          <cell r="BB5693">
            <v>1</v>
          </cell>
        </row>
        <row r="5694">
          <cell r="A5694">
            <v>131274</v>
          </cell>
          <cell r="BB5694">
            <v>1</v>
          </cell>
        </row>
        <row r="5695">
          <cell r="A5695">
            <v>131275</v>
          </cell>
          <cell r="BB5695">
            <v>1</v>
          </cell>
        </row>
        <row r="5696">
          <cell r="A5696">
            <v>131276</v>
          </cell>
          <cell r="BB5696">
            <v>1</v>
          </cell>
        </row>
        <row r="5697">
          <cell r="A5697">
            <v>131277</v>
          </cell>
          <cell r="BB5697">
            <v>1</v>
          </cell>
        </row>
        <row r="5698">
          <cell r="A5698">
            <v>131278</v>
          </cell>
          <cell r="BB5698">
            <v>1</v>
          </cell>
        </row>
        <row r="5699">
          <cell r="A5699">
            <v>131279</v>
          </cell>
          <cell r="BB5699">
            <v>1</v>
          </cell>
        </row>
        <row r="5700">
          <cell r="A5700">
            <v>131280</v>
          </cell>
          <cell r="BB5700">
            <v>1</v>
          </cell>
        </row>
        <row r="5701">
          <cell r="A5701">
            <v>131281</v>
          </cell>
          <cell r="BB5701">
            <v>1</v>
          </cell>
        </row>
        <row r="5702">
          <cell r="A5702">
            <v>131282</v>
          </cell>
          <cell r="BB5702">
            <v>1</v>
          </cell>
        </row>
        <row r="5703">
          <cell r="A5703">
            <v>131283</v>
          </cell>
          <cell r="BB5703">
            <v>1</v>
          </cell>
        </row>
        <row r="5704">
          <cell r="A5704">
            <v>131284</v>
          </cell>
          <cell r="BB5704">
            <v>1</v>
          </cell>
        </row>
        <row r="5705">
          <cell r="A5705">
            <v>131285</v>
          </cell>
          <cell r="BB5705">
            <v>1</v>
          </cell>
        </row>
        <row r="5706">
          <cell r="A5706">
            <v>131286</v>
          </cell>
          <cell r="BB5706">
            <v>1</v>
          </cell>
        </row>
        <row r="5707">
          <cell r="A5707">
            <v>131287</v>
          </cell>
          <cell r="BB5707">
            <v>1</v>
          </cell>
        </row>
        <row r="5708">
          <cell r="A5708">
            <v>131288</v>
          </cell>
          <cell r="BB5708">
            <v>1</v>
          </cell>
        </row>
        <row r="5709">
          <cell r="A5709">
            <v>131289</v>
          </cell>
          <cell r="BB5709">
            <v>1</v>
          </cell>
        </row>
        <row r="5710">
          <cell r="A5710">
            <v>131290</v>
          </cell>
          <cell r="BB5710">
            <v>1</v>
          </cell>
        </row>
        <row r="5711">
          <cell r="A5711">
            <v>131291</v>
          </cell>
          <cell r="BB5711">
            <v>1</v>
          </cell>
        </row>
        <row r="5712">
          <cell r="A5712">
            <v>131292</v>
          </cell>
          <cell r="BB5712">
            <v>1</v>
          </cell>
        </row>
        <row r="5713">
          <cell r="A5713">
            <v>131293</v>
          </cell>
          <cell r="BB5713">
            <v>1</v>
          </cell>
        </row>
        <row r="5714">
          <cell r="A5714">
            <v>131294</v>
          </cell>
          <cell r="BB5714">
            <v>1</v>
          </cell>
        </row>
        <row r="5715">
          <cell r="A5715">
            <v>131295</v>
          </cell>
          <cell r="BB5715">
            <v>1</v>
          </cell>
        </row>
        <row r="5716">
          <cell r="A5716">
            <v>131296</v>
          </cell>
          <cell r="BB5716">
            <v>1</v>
          </cell>
        </row>
        <row r="5717">
          <cell r="A5717">
            <v>131297</v>
          </cell>
          <cell r="BB5717">
            <v>1</v>
          </cell>
        </row>
        <row r="5718">
          <cell r="A5718">
            <v>131298</v>
          </cell>
          <cell r="BB5718">
            <v>1</v>
          </cell>
        </row>
        <row r="5719">
          <cell r="A5719">
            <v>131299</v>
          </cell>
          <cell r="BB5719">
            <v>1</v>
          </cell>
        </row>
        <row r="5720">
          <cell r="A5720">
            <v>131300</v>
          </cell>
          <cell r="BB5720">
            <v>1</v>
          </cell>
        </row>
        <row r="5721">
          <cell r="A5721">
            <v>131301</v>
          </cell>
          <cell r="BB5721">
            <v>1</v>
          </cell>
        </row>
        <row r="5722">
          <cell r="A5722">
            <v>131302</v>
          </cell>
          <cell r="BB5722">
            <v>1</v>
          </cell>
        </row>
        <row r="5723">
          <cell r="A5723">
            <v>131303</v>
          </cell>
          <cell r="BB5723">
            <v>1</v>
          </cell>
        </row>
        <row r="5724">
          <cell r="A5724">
            <v>131304</v>
          </cell>
          <cell r="BB5724">
            <v>1</v>
          </cell>
        </row>
        <row r="5725">
          <cell r="A5725">
            <v>131305</v>
          </cell>
          <cell r="BB5725">
            <v>1</v>
          </cell>
        </row>
        <row r="5726">
          <cell r="A5726">
            <v>131306</v>
          </cell>
          <cell r="BB5726">
            <v>1</v>
          </cell>
        </row>
        <row r="5727">
          <cell r="A5727">
            <v>131307</v>
          </cell>
          <cell r="BB5727">
            <v>1</v>
          </cell>
        </row>
        <row r="5728">
          <cell r="A5728">
            <v>131308</v>
          </cell>
          <cell r="BB5728">
            <v>1</v>
          </cell>
        </row>
        <row r="5729">
          <cell r="A5729">
            <v>131309</v>
          </cell>
          <cell r="BB5729">
            <v>1</v>
          </cell>
        </row>
        <row r="5730">
          <cell r="A5730">
            <v>131310</v>
          </cell>
          <cell r="BB5730">
            <v>1</v>
          </cell>
        </row>
        <row r="5731">
          <cell r="A5731">
            <v>131311</v>
          </cell>
          <cell r="BB5731">
            <v>1</v>
          </cell>
        </row>
        <row r="5732">
          <cell r="A5732">
            <v>131312</v>
          </cell>
          <cell r="BB5732">
            <v>1</v>
          </cell>
        </row>
        <row r="5733">
          <cell r="A5733">
            <v>131313</v>
          </cell>
          <cell r="BB5733">
            <v>1</v>
          </cell>
        </row>
        <row r="5734">
          <cell r="A5734">
            <v>131314</v>
          </cell>
          <cell r="BB5734">
            <v>1</v>
          </cell>
        </row>
        <row r="5735">
          <cell r="A5735">
            <v>131315</v>
          </cell>
          <cell r="BB5735">
            <v>1</v>
          </cell>
        </row>
        <row r="5736">
          <cell r="A5736">
            <v>131316</v>
          </cell>
          <cell r="BB5736">
            <v>1</v>
          </cell>
        </row>
        <row r="5737">
          <cell r="A5737">
            <v>131317</v>
          </cell>
          <cell r="BB5737">
            <v>1</v>
          </cell>
        </row>
        <row r="5738">
          <cell r="A5738">
            <v>131318</v>
          </cell>
          <cell r="BB5738">
            <v>1</v>
          </cell>
        </row>
        <row r="5739">
          <cell r="A5739">
            <v>131319</v>
          </cell>
          <cell r="BB5739">
            <v>1</v>
          </cell>
        </row>
        <row r="5740">
          <cell r="A5740">
            <v>131320</v>
          </cell>
          <cell r="BB5740">
            <v>1</v>
          </cell>
        </row>
        <row r="5741">
          <cell r="A5741">
            <v>131321</v>
          </cell>
          <cell r="BB5741">
            <v>1</v>
          </cell>
        </row>
        <row r="5742">
          <cell r="A5742">
            <v>131322</v>
          </cell>
          <cell r="BB5742">
            <v>1</v>
          </cell>
        </row>
        <row r="5743">
          <cell r="A5743">
            <v>131323</v>
          </cell>
          <cell r="BB5743">
            <v>1</v>
          </cell>
        </row>
        <row r="5744">
          <cell r="A5744">
            <v>131324</v>
          </cell>
          <cell r="BB5744">
            <v>1</v>
          </cell>
        </row>
        <row r="5745">
          <cell r="A5745">
            <v>131325</v>
          </cell>
          <cell r="BB5745">
            <v>1</v>
          </cell>
        </row>
        <row r="5746">
          <cell r="A5746">
            <v>131326</v>
          </cell>
          <cell r="BB5746">
            <v>1</v>
          </cell>
        </row>
        <row r="5747">
          <cell r="A5747">
            <v>131327</v>
          </cell>
          <cell r="BB5747">
            <v>1</v>
          </cell>
        </row>
        <row r="5748">
          <cell r="A5748">
            <v>131328</v>
          </cell>
          <cell r="BB5748">
            <v>1</v>
          </cell>
        </row>
        <row r="5749">
          <cell r="A5749">
            <v>131329</v>
          </cell>
          <cell r="BB5749">
            <v>1</v>
          </cell>
        </row>
        <row r="5750">
          <cell r="A5750">
            <v>131330</v>
          </cell>
          <cell r="BB5750">
            <v>1</v>
          </cell>
        </row>
        <row r="5751">
          <cell r="A5751">
            <v>131331</v>
          </cell>
          <cell r="BB5751">
            <v>1</v>
          </cell>
        </row>
        <row r="5752">
          <cell r="A5752">
            <v>131332</v>
          </cell>
          <cell r="BB5752">
            <v>1</v>
          </cell>
        </row>
        <row r="5753">
          <cell r="A5753">
            <v>131333</v>
          </cell>
          <cell r="BB5753">
            <v>1</v>
          </cell>
        </row>
        <row r="5754">
          <cell r="A5754">
            <v>131334</v>
          </cell>
          <cell r="BB5754">
            <v>1</v>
          </cell>
        </row>
        <row r="5755">
          <cell r="A5755">
            <v>131335</v>
          </cell>
          <cell r="BB5755">
            <v>1</v>
          </cell>
        </row>
        <row r="5756">
          <cell r="A5756">
            <v>131336</v>
          </cell>
          <cell r="BB5756">
            <v>1</v>
          </cell>
        </row>
        <row r="5757">
          <cell r="A5757">
            <v>131337</v>
          </cell>
          <cell r="BB5757">
            <v>1</v>
          </cell>
        </row>
        <row r="5758">
          <cell r="A5758">
            <v>131338</v>
          </cell>
          <cell r="BB5758">
            <v>1</v>
          </cell>
        </row>
        <row r="5759">
          <cell r="A5759">
            <v>131339</v>
          </cell>
          <cell r="BB5759">
            <v>1</v>
          </cell>
        </row>
        <row r="5760">
          <cell r="A5760">
            <v>131340</v>
          </cell>
          <cell r="BB5760">
            <v>1</v>
          </cell>
        </row>
        <row r="5761">
          <cell r="A5761">
            <v>131341</v>
          </cell>
          <cell r="BB5761">
            <v>1</v>
          </cell>
        </row>
        <row r="5762">
          <cell r="A5762">
            <v>131342</v>
          </cell>
          <cell r="BB5762">
            <v>1</v>
          </cell>
        </row>
        <row r="5763">
          <cell r="A5763">
            <v>131343</v>
          </cell>
          <cell r="BB5763">
            <v>1</v>
          </cell>
        </row>
        <row r="5764">
          <cell r="A5764">
            <v>131344</v>
          </cell>
          <cell r="BB5764">
            <v>1</v>
          </cell>
        </row>
        <row r="5765">
          <cell r="A5765">
            <v>131345</v>
          </cell>
          <cell r="BB5765">
            <v>1</v>
          </cell>
        </row>
        <row r="5766">
          <cell r="A5766">
            <v>131346</v>
          </cell>
          <cell r="BB5766">
            <v>1</v>
          </cell>
        </row>
        <row r="5767">
          <cell r="A5767">
            <v>131347</v>
          </cell>
          <cell r="BB5767">
            <v>1</v>
          </cell>
        </row>
        <row r="5768">
          <cell r="A5768">
            <v>131348</v>
          </cell>
          <cell r="BB5768">
            <v>1</v>
          </cell>
        </row>
        <row r="5769">
          <cell r="A5769">
            <v>131349</v>
          </cell>
          <cell r="BB5769">
            <v>1</v>
          </cell>
        </row>
        <row r="5770">
          <cell r="A5770">
            <v>131350</v>
          </cell>
          <cell r="BB5770">
            <v>1</v>
          </cell>
        </row>
        <row r="5771">
          <cell r="A5771">
            <v>131351</v>
          </cell>
          <cell r="BB5771">
            <v>1</v>
          </cell>
        </row>
        <row r="5772">
          <cell r="A5772">
            <v>131352</v>
          </cell>
          <cell r="BB5772">
            <v>1</v>
          </cell>
        </row>
        <row r="5773">
          <cell r="A5773">
            <v>131353</v>
          </cell>
          <cell r="BB5773">
            <v>1</v>
          </cell>
        </row>
        <row r="5774">
          <cell r="A5774">
            <v>131354</v>
          </cell>
          <cell r="BB5774">
            <v>1</v>
          </cell>
        </row>
        <row r="5775">
          <cell r="A5775">
            <v>131355</v>
          </cell>
          <cell r="BB5775">
            <v>1</v>
          </cell>
        </row>
        <row r="5776">
          <cell r="A5776">
            <v>131356</v>
          </cell>
          <cell r="BB5776">
            <v>1</v>
          </cell>
        </row>
        <row r="5777">
          <cell r="A5777">
            <v>131357</v>
          </cell>
          <cell r="BB5777">
            <v>1</v>
          </cell>
        </row>
        <row r="5778">
          <cell r="A5778">
            <v>131358</v>
          </cell>
          <cell r="BB5778">
            <v>1</v>
          </cell>
        </row>
        <row r="5779">
          <cell r="A5779">
            <v>131359</v>
          </cell>
          <cell r="BB5779">
            <v>1</v>
          </cell>
        </row>
        <row r="5780">
          <cell r="A5780">
            <v>131360</v>
          </cell>
          <cell r="BB5780">
            <v>1</v>
          </cell>
        </row>
        <row r="5781">
          <cell r="A5781">
            <v>131361</v>
          </cell>
          <cell r="BB5781">
            <v>1</v>
          </cell>
        </row>
        <row r="5782">
          <cell r="A5782">
            <v>131362</v>
          </cell>
          <cell r="BB5782">
            <v>1</v>
          </cell>
        </row>
        <row r="5783">
          <cell r="A5783">
            <v>131363</v>
          </cell>
          <cell r="BB5783">
            <v>1</v>
          </cell>
        </row>
        <row r="5784">
          <cell r="A5784">
            <v>131364</v>
          </cell>
          <cell r="BB5784">
            <v>1</v>
          </cell>
        </row>
        <row r="5785">
          <cell r="A5785">
            <v>131365</v>
          </cell>
          <cell r="BB5785">
            <v>1</v>
          </cell>
        </row>
        <row r="5786">
          <cell r="A5786">
            <v>131366</v>
          </cell>
          <cell r="BB5786">
            <v>1</v>
          </cell>
        </row>
        <row r="5787">
          <cell r="A5787">
            <v>131367</v>
          </cell>
          <cell r="BB5787">
            <v>1</v>
          </cell>
        </row>
        <row r="5788">
          <cell r="A5788">
            <v>131368</v>
          </cell>
          <cell r="BB5788">
            <v>1</v>
          </cell>
        </row>
        <row r="5789">
          <cell r="A5789">
            <v>131369</v>
          </cell>
          <cell r="BB5789">
            <v>1</v>
          </cell>
        </row>
        <row r="5790">
          <cell r="A5790">
            <v>131370</v>
          </cell>
          <cell r="BB5790">
            <v>1</v>
          </cell>
        </row>
        <row r="5791">
          <cell r="A5791">
            <v>131371</v>
          </cell>
          <cell r="BB5791">
            <v>1</v>
          </cell>
        </row>
        <row r="5792">
          <cell r="A5792">
            <v>131372</v>
          </cell>
          <cell r="BB5792">
            <v>1</v>
          </cell>
        </row>
        <row r="5793">
          <cell r="A5793">
            <v>131373</v>
          </cell>
          <cell r="BB5793">
            <v>1</v>
          </cell>
        </row>
        <row r="5794">
          <cell r="A5794">
            <v>131374</v>
          </cell>
          <cell r="BB5794">
            <v>1</v>
          </cell>
        </row>
        <row r="5795">
          <cell r="A5795">
            <v>131375</v>
          </cell>
          <cell r="BB5795">
            <v>1</v>
          </cell>
        </row>
        <row r="5796">
          <cell r="A5796">
            <v>131376</v>
          </cell>
          <cell r="BB5796">
            <v>1</v>
          </cell>
        </row>
        <row r="5797">
          <cell r="A5797">
            <v>131377</v>
          </cell>
          <cell r="BB5797">
            <v>1</v>
          </cell>
        </row>
        <row r="5798">
          <cell r="A5798">
            <v>131378</v>
          </cell>
          <cell r="BB5798">
            <v>1</v>
          </cell>
        </row>
        <row r="5799">
          <cell r="A5799">
            <v>131379</v>
          </cell>
          <cell r="BB5799">
            <v>1</v>
          </cell>
        </row>
        <row r="5800">
          <cell r="A5800">
            <v>131380</v>
          </cell>
          <cell r="BB5800">
            <v>1</v>
          </cell>
        </row>
        <row r="5801">
          <cell r="A5801">
            <v>131381</v>
          </cell>
          <cell r="BB5801">
            <v>1</v>
          </cell>
        </row>
        <row r="5802">
          <cell r="A5802">
            <v>131382</v>
          </cell>
          <cell r="BB5802">
            <v>1</v>
          </cell>
        </row>
        <row r="5803">
          <cell r="A5803">
            <v>131383</v>
          </cell>
          <cell r="BB5803">
            <v>1</v>
          </cell>
        </row>
        <row r="5804">
          <cell r="A5804">
            <v>131384</v>
          </cell>
          <cell r="BB5804">
            <v>1</v>
          </cell>
        </row>
        <row r="5805">
          <cell r="A5805">
            <v>131385</v>
          </cell>
          <cell r="BB5805">
            <v>1</v>
          </cell>
        </row>
        <row r="5806">
          <cell r="A5806">
            <v>131386</v>
          </cell>
          <cell r="BB5806">
            <v>1</v>
          </cell>
        </row>
        <row r="5807">
          <cell r="A5807">
            <v>131387</v>
          </cell>
          <cell r="BB5807">
            <v>1</v>
          </cell>
        </row>
        <row r="5808">
          <cell r="A5808">
            <v>131388</v>
          </cell>
          <cell r="BB5808">
            <v>1</v>
          </cell>
        </row>
        <row r="5809">
          <cell r="A5809">
            <v>131389</v>
          </cell>
          <cell r="BB5809">
            <v>1</v>
          </cell>
        </row>
        <row r="5810">
          <cell r="A5810">
            <v>131390</v>
          </cell>
          <cell r="BB5810">
            <v>1</v>
          </cell>
        </row>
        <row r="5811">
          <cell r="A5811">
            <v>131391</v>
          </cell>
          <cell r="BB5811">
            <v>1</v>
          </cell>
        </row>
        <row r="5812">
          <cell r="A5812">
            <v>131392</v>
          </cell>
          <cell r="BB5812">
            <v>1</v>
          </cell>
        </row>
        <row r="5813">
          <cell r="A5813">
            <v>131393</v>
          </cell>
          <cell r="BB5813">
            <v>1</v>
          </cell>
        </row>
        <row r="5814">
          <cell r="A5814">
            <v>131394</v>
          </cell>
          <cell r="BB5814">
            <v>1</v>
          </cell>
        </row>
        <row r="5815">
          <cell r="A5815">
            <v>131395</v>
          </cell>
          <cell r="BB5815">
            <v>1</v>
          </cell>
        </row>
        <row r="5816">
          <cell r="A5816">
            <v>131396</v>
          </cell>
          <cell r="BB5816">
            <v>1</v>
          </cell>
        </row>
        <row r="5817">
          <cell r="A5817">
            <v>131397</v>
          </cell>
          <cell r="BB5817">
            <v>1</v>
          </cell>
        </row>
        <row r="5818">
          <cell r="A5818">
            <v>131398</v>
          </cell>
          <cell r="BB5818">
            <v>1</v>
          </cell>
        </row>
        <row r="5819">
          <cell r="A5819">
            <v>131399</v>
          </cell>
          <cell r="BB5819">
            <v>1</v>
          </cell>
        </row>
        <row r="5820">
          <cell r="A5820">
            <v>131400</v>
          </cell>
          <cell r="BB5820">
            <v>1</v>
          </cell>
        </row>
        <row r="5821">
          <cell r="A5821">
            <v>131401</v>
          </cell>
          <cell r="BB5821">
            <v>1</v>
          </cell>
        </row>
        <row r="5822">
          <cell r="A5822">
            <v>131402</v>
          </cell>
          <cell r="BB5822">
            <v>1</v>
          </cell>
        </row>
        <row r="5823">
          <cell r="A5823">
            <v>131403</v>
          </cell>
          <cell r="BB5823">
            <v>1</v>
          </cell>
        </row>
        <row r="5824">
          <cell r="A5824">
            <v>131404</v>
          </cell>
          <cell r="BB5824">
            <v>1</v>
          </cell>
        </row>
        <row r="5825">
          <cell r="A5825">
            <v>131405</v>
          </cell>
          <cell r="BB5825">
            <v>1</v>
          </cell>
        </row>
        <row r="5826">
          <cell r="A5826">
            <v>131406</v>
          </cell>
          <cell r="BB5826">
            <v>1</v>
          </cell>
        </row>
        <row r="5827">
          <cell r="A5827">
            <v>131407</v>
          </cell>
          <cell r="BB5827">
            <v>1</v>
          </cell>
        </row>
        <row r="5828">
          <cell r="A5828">
            <v>131408</v>
          </cell>
          <cell r="BB5828">
            <v>1</v>
          </cell>
        </row>
        <row r="5829">
          <cell r="A5829">
            <v>131409</v>
          </cell>
          <cell r="BB5829">
            <v>1</v>
          </cell>
        </row>
        <row r="5830">
          <cell r="A5830">
            <v>131410</v>
          </cell>
          <cell r="BB5830">
            <v>1</v>
          </cell>
        </row>
        <row r="5831">
          <cell r="A5831">
            <v>131411</v>
          </cell>
          <cell r="BB5831">
            <v>1</v>
          </cell>
        </row>
        <row r="5832">
          <cell r="A5832">
            <v>131412</v>
          </cell>
          <cell r="BB5832">
            <v>1</v>
          </cell>
        </row>
        <row r="5833">
          <cell r="A5833">
            <v>131413</v>
          </cell>
          <cell r="BB5833">
            <v>1</v>
          </cell>
        </row>
        <row r="5834">
          <cell r="A5834">
            <v>131414</v>
          </cell>
          <cell r="BB5834">
            <v>1</v>
          </cell>
        </row>
        <row r="5835">
          <cell r="A5835">
            <v>131415</v>
          </cell>
          <cell r="BB5835">
            <v>1</v>
          </cell>
        </row>
        <row r="5836">
          <cell r="A5836">
            <v>131416</v>
          </cell>
          <cell r="BB5836">
            <v>1</v>
          </cell>
        </row>
        <row r="5837">
          <cell r="A5837">
            <v>131417</v>
          </cell>
          <cell r="BB5837">
            <v>1</v>
          </cell>
        </row>
        <row r="5838">
          <cell r="A5838">
            <v>131418</v>
          </cell>
          <cell r="BB5838">
            <v>1</v>
          </cell>
        </row>
        <row r="5839">
          <cell r="A5839">
            <v>131419</v>
          </cell>
          <cell r="BB5839">
            <v>1</v>
          </cell>
        </row>
        <row r="5840">
          <cell r="A5840">
            <v>131420</v>
          </cell>
          <cell r="BB5840">
            <v>1</v>
          </cell>
        </row>
        <row r="5841">
          <cell r="A5841">
            <v>131421</v>
          </cell>
          <cell r="BB5841">
            <v>1</v>
          </cell>
        </row>
        <row r="5842">
          <cell r="A5842">
            <v>131422</v>
          </cell>
          <cell r="BB5842">
            <v>1</v>
          </cell>
        </row>
        <row r="5843">
          <cell r="A5843">
            <v>131423</v>
          </cell>
          <cell r="BB5843">
            <v>1</v>
          </cell>
        </row>
        <row r="5844">
          <cell r="A5844">
            <v>131424</v>
          </cell>
          <cell r="BB5844">
            <v>1</v>
          </cell>
        </row>
        <row r="5845">
          <cell r="A5845">
            <v>131425</v>
          </cell>
          <cell r="BB5845">
            <v>1</v>
          </cell>
        </row>
        <row r="5846">
          <cell r="A5846">
            <v>131426</v>
          </cell>
          <cell r="BB5846">
            <v>1</v>
          </cell>
        </row>
        <row r="5847">
          <cell r="A5847">
            <v>131427</v>
          </cell>
          <cell r="BB5847">
            <v>1</v>
          </cell>
        </row>
        <row r="5848">
          <cell r="A5848">
            <v>131428</v>
          </cell>
          <cell r="BB5848">
            <v>1</v>
          </cell>
        </row>
        <row r="5849">
          <cell r="A5849">
            <v>131429</v>
          </cell>
          <cell r="BB5849">
            <v>1</v>
          </cell>
        </row>
        <row r="5850">
          <cell r="A5850">
            <v>131430</v>
          </cell>
          <cell r="BB5850">
            <v>1</v>
          </cell>
        </row>
        <row r="5851">
          <cell r="A5851">
            <v>131431</v>
          </cell>
          <cell r="BB5851">
            <v>1</v>
          </cell>
        </row>
        <row r="5852">
          <cell r="A5852">
            <v>131432</v>
          </cell>
          <cell r="BB5852">
            <v>1</v>
          </cell>
        </row>
        <row r="5853">
          <cell r="A5853">
            <v>131433</v>
          </cell>
          <cell r="BB5853">
            <v>1</v>
          </cell>
        </row>
        <row r="5854">
          <cell r="A5854">
            <v>131434</v>
          </cell>
          <cell r="BB5854">
            <v>1</v>
          </cell>
        </row>
        <row r="5855">
          <cell r="A5855">
            <v>131435</v>
          </cell>
          <cell r="BB5855">
            <v>1</v>
          </cell>
        </row>
        <row r="5856">
          <cell r="A5856">
            <v>131436</v>
          </cell>
          <cell r="BB5856">
            <v>1</v>
          </cell>
        </row>
        <row r="5857">
          <cell r="A5857">
            <v>131437</v>
          </cell>
          <cell r="BB5857">
            <v>1</v>
          </cell>
        </row>
        <row r="5858">
          <cell r="A5858">
            <v>131438</v>
          </cell>
          <cell r="BB5858">
            <v>1</v>
          </cell>
        </row>
        <row r="5859">
          <cell r="A5859">
            <v>131439</v>
          </cell>
          <cell r="BB5859">
            <v>1</v>
          </cell>
        </row>
        <row r="5860">
          <cell r="A5860">
            <v>131440</v>
          </cell>
          <cell r="BB5860">
            <v>1</v>
          </cell>
        </row>
        <row r="5861">
          <cell r="A5861">
            <v>131441</v>
          </cell>
          <cell r="BB5861">
            <v>1</v>
          </cell>
        </row>
        <row r="5862">
          <cell r="A5862">
            <v>131442</v>
          </cell>
          <cell r="BB5862">
            <v>1</v>
          </cell>
        </row>
        <row r="5863">
          <cell r="A5863">
            <v>131443</v>
          </cell>
          <cell r="BB5863">
            <v>1</v>
          </cell>
        </row>
        <row r="5864">
          <cell r="A5864">
            <v>131444</v>
          </cell>
          <cell r="BB5864">
            <v>1</v>
          </cell>
        </row>
        <row r="5865">
          <cell r="A5865">
            <v>131445</v>
          </cell>
          <cell r="BB5865">
            <v>1</v>
          </cell>
        </row>
        <row r="5866">
          <cell r="A5866">
            <v>131446</v>
          </cell>
          <cell r="BB5866">
            <v>1</v>
          </cell>
        </row>
        <row r="5867">
          <cell r="A5867">
            <v>131447</v>
          </cell>
          <cell r="BB5867">
            <v>1</v>
          </cell>
        </row>
        <row r="5868">
          <cell r="A5868">
            <v>131448</v>
          </cell>
          <cell r="BB5868">
            <v>1</v>
          </cell>
        </row>
        <row r="5869">
          <cell r="A5869">
            <v>131449</v>
          </cell>
          <cell r="BB5869">
            <v>1</v>
          </cell>
        </row>
        <row r="5870">
          <cell r="A5870">
            <v>131450</v>
          </cell>
          <cell r="BB5870">
            <v>1</v>
          </cell>
        </row>
        <row r="5871">
          <cell r="A5871">
            <v>131451</v>
          </cell>
          <cell r="BB5871">
            <v>1</v>
          </cell>
        </row>
        <row r="5872">
          <cell r="A5872">
            <v>131452</v>
          </cell>
          <cell r="BB5872">
            <v>1</v>
          </cell>
        </row>
        <row r="5873">
          <cell r="A5873">
            <v>131453</v>
          </cell>
          <cell r="BB5873">
            <v>1</v>
          </cell>
        </row>
        <row r="5874">
          <cell r="A5874">
            <v>131454</v>
          </cell>
          <cell r="BB5874">
            <v>1</v>
          </cell>
        </row>
        <row r="5875">
          <cell r="A5875">
            <v>131455</v>
          </cell>
          <cell r="BB5875">
            <v>1</v>
          </cell>
        </row>
        <row r="5876">
          <cell r="A5876">
            <v>131456</v>
          </cell>
          <cell r="BB5876">
            <v>1</v>
          </cell>
        </row>
        <row r="5877">
          <cell r="A5877">
            <v>131457</v>
          </cell>
          <cell r="BB5877">
            <v>1</v>
          </cell>
        </row>
        <row r="5878">
          <cell r="A5878">
            <v>131458</v>
          </cell>
          <cell r="BB5878">
            <v>1</v>
          </cell>
        </row>
        <row r="5879">
          <cell r="A5879">
            <v>131459</v>
          </cell>
          <cell r="BB5879">
            <v>1</v>
          </cell>
        </row>
        <row r="5880">
          <cell r="A5880">
            <v>131460</v>
          </cell>
          <cell r="BB5880">
            <v>1</v>
          </cell>
        </row>
        <row r="5881">
          <cell r="A5881">
            <v>131461</v>
          </cell>
          <cell r="BB5881">
            <v>1</v>
          </cell>
        </row>
        <row r="5882">
          <cell r="A5882">
            <v>131462</v>
          </cell>
          <cell r="BB5882">
            <v>1</v>
          </cell>
        </row>
        <row r="5883">
          <cell r="A5883">
            <v>131463</v>
          </cell>
          <cell r="BB5883">
            <v>1</v>
          </cell>
        </row>
        <row r="5884">
          <cell r="A5884">
            <v>131464</v>
          </cell>
          <cell r="BB5884">
            <v>1</v>
          </cell>
        </row>
        <row r="5885">
          <cell r="A5885">
            <v>131465</v>
          </cell>
          <cell r="BB5885">
            <v>1</v>
          </cell>
        </row>
        <row r="5886">
          <cell r="A5886">
            <v>131466</v>
          </cell>
          <cell r="BB5886">
            <v>1</v>
          </cell>
        </row>
        <row r="5887">
          <cell r="A5887">
            <v>131467</v>
          </cell>
          <cell r="BB5887">
            <v>1</v>
          </cell>
        </row>
        <row r="5888">
          <cell r="A5888">
            <v>131468</v>
          </cell>
          <cell r="BB5888">
            <v>1</v>
          </cell>
        </row>
        <row r="5889">
          <cell r="A5889">
            <v>131469</v>
          </cell>
          <cell r="BB5889">
            <v>1</v>
          </cell>
        </row>
        <row r="5890">
          <cell r="A5890">
            <v>131470</v>
          </cell>
          <cell r="BB5890">
            <v>1</v>
          </cell>
        </row>
        <row r="5891">
          <cell r="A5891">
            <v>131471</v>
          </cell>
          <cell r="BB5891">
            <v>1</v>
          </cell>
        </row>
        <row r="5892">
          <cell r="A5892">
            <v>131472</v>
          </cell>
          <cell r="BB5892">
            <v>1</v>
          </cell>
        </row>
        <row r="5893">
          <cell r="A5893">
            <v>131473</v>
          </cell>
          <cell r="BB5893">
            <v>1</v>
          </cell>
        </row>
        <row r="5894">
          <cell r="A5894">
            <v>131474</v>
          </cell>
          <cell r="BB5894">
            <v>1</v>
          </cell>
        </row>
        <row r="5895">
          <cell r="A5895">
            <v>131475</v>
          </cell>
          <cell r="BB5895">
            <v>1</v>
          </cell>
        </row>
        <row r="5896">
          <cell r="A5896">
            <v>131476</v>
          </cell>
          <cell r="BB5896">
            <v>1</v>
          </cell>
        </row>
        <row r="5897">
          <cell r="A5897">
            <v>131477</v>
          </cell>
          <cell r="BB5897">
            <v>1</v>
          </cell>
        </row>
        <row r="5898">
          <cell r="A5898">
            <v>131478</v>
          </cell>
          <cell r="BB5898">
            <v>1</v>
          </cell>
        </row>
        <row r="5899">
          <cell r="A5899">
            <v>131479</v>
          </cell>
          <cell r="BB5899">
            <v>1</v>
          </cell>
        </row>
        <row r="5900">
          <cell r="A5900">
            <v>131480</v>
          </cell>
          <cell r="BB5900">
            <v>1</v>
          </cell>
        </row>
        <row r="5901">
          <cell r="A5901">
            <v>131481</v>
          </cell>
          <cell r="BB5901">
            <v>1</v>
          </cell>
        </row>
        <row r="5902">
          <cell r="A5902">
            <v>131482</v>
          </cell>
          <cell r="BB5902">
            <v>1</v>
          </cell>
        </row>
        <row r="5903">
          <cell r="A5903">
            <v>131483</v>
          </cell>
          <cell r="BB5903">
            <v>1</v>
          </cell>
        </row>
        <row r="5904">
          <cell r="A5904">
            <v>131484</v>
          </cell>
          <cell r="BB5904">
            <v>1</v>
          </cell>
        </row>
        <row r="5905">
          <cell r="A5905">
            <v>131485</v>
          </cell>
          <cell r="BB5905">
            <v>1</v>
          </cell>
        </row>
        <row r="5906">
          <cell r="A5906">
            <v>131486</v>
          </cell>
          <cell r="BB5906">
            <v>1</v>
          </cell>
        </row>
        <row r="5907">
          <cell r="A5907">
            <v>131487</v>
          </cell>
          <cell r="BB5907">
            <v>1</v>
          </cell>
        </row>
        <row r="5908">
          <cell r="A5908">
            <v>131488</v>
          </cell>
          <cell r="BB5908">
            <v>1</v>
          </cell>
        </row>
        <row r="5909">
          <cell r="A5909">
            <v>131489</v>
          </cell>
          <cell r="BB5909">
            <v>1</v>
          </cell>
        </row>
        <row r="5910">
          <cell r="A5910">
            <v>131490</v>
          </cell>
          <cell r="BB5910">
            <v>1</v>
          </cell>
        </row>
        <row r="5911">
          <cell r="A5911">
            <v>131491</v>
          </cell>
          <cell r="BB5911">
            <v>1</v>
          </cell>
        </row>
        <row r="5912">
          <cell r="A5912">
            <v>131492</v>
          </cell>
          <cell r="BB5912">
            <v>1</v>
          </cell>
        </row>
        <row r="5913">
          <cell r="A5913">
            <v>131493</v>
          </cell>
          <cell r="BB5913">
            <v>1</v>
          </cell>
        </row>
        <row r="5914">
          <cell r="A5914">
            <v>131494</v>
          </cell>
          <cell r="BB5914">
            <v>1</v>
          </cell>
        </row>
        <row r="5915">
          <cell r="A5915">
            <v>131495</v>
          </cell>
          <cell r="BB5915">
            <v>1</v>
          </cell>
        </row>
        <row r="5916">
          <cell r="A5916">
            <v>131496</v>
          </cell>
          <cell r="BB5916">
            <v>1</v>
          </cell>
        </row>
        <row r="5917">
          <cell r="A5917">
            <v>131497</v>
          </cell>
          <cell r="BB5917">
            <v>1</v>
          </cell>
        </row>
        <row r="5918">
          <cell r="A5918">
            <v>131498</v>
          </cell>
          <cell r="BB5918">
            <v>1</v>
          </cell>
        </row>
        <row r="5919">
          <cell r="A5919">
            <v>131499</v>
          </cell>
          <cell r="BB5919">
            <v>1</v>
          </cell>
        </row>
        <row r="5920">
          <cell r="A5920">
            <v>131500</v>
          </cell>
          <cell r="BB5920">
            <v>1</v>
          </cell>
        </row>
        <row r="5921">
          <cell r="A5921">
            <v>131501</v>
          </cell>
          <cell r="BB5921">
            <v>1</v>
          </cell>
        </row>
        <row r="5922">
          <cell r="A5922">
            <v>131502</v>
          </cell>
          <cell r="BB5922">
            <v>1</v>
          </cell>
        </row>
        <row r="5923">
          <cell r="A5923">
            <v>131503</v>
          </cell>
          <cell r="BB5923">
            <v>1</v>
          </cell>
        </row>
        <row r="5924">
          <cell r="A5924">
            <v>131504</v>
          </cell>
          <cell r="BB5924">
            <v>1</v>
          </cell>
        </row>
        <row r="5925">
          <cell r="A5925">
            <v>131505</v>
          </cell>
          <cell r="BB5925">
            <v>1</v>
          </cell>
        </row>
        <row r="5926">
          <cell r="A5926">
            <v>131506</v>
          </cell>
          <cell r="BB5926">
            <v>1</v>
          </cell>
        </row>
        <row r="5927">
          <cell r="A5927">
            <v>131507</v>
          </cell>
          <cell r="BB5927">
            <v>1</v>
          </cell>
        </row>
        <row r="5928">
          <cell r="A5928">
            <v>131508</v>
          </cell>
          <cell r="BB5928">
            <v>1</v>
          </cell>
        </row>
        <row r="5929">
          <cell r="A5929">
            <v>131509</v>
          </cell>
          <cell r="BB5929">
            <v>1</v>
          </cell>
        </row>
        <row r="5930">
          <cell r="A5930">
            <v>131510</v>
          </cell>
          <cell r="BB5930">
            <v>1</v>
          </cell>
        </row>
        <row r="5931">
          <cell r="A5931">
            <v>131511</v>
          </cell>
          <cell r="BB5931">
            <v>1</v>
          </cell>
        </row>
        <row r="5932">
          <cell r="A5932">
            <v>131512</v>
          </cell>
          <cell r="BB5932">
            <v>1</v>
          </cell>
        </row>
        <row r="5933">
          <cell r="A5933">
            <v>131513</v>
          </cell>
          <cell r="BB5933">
            <v>1</v>
          </cell>
        </row>
        <row r="5934">
          <cell r="A5934">
            <v>131514</v>
          </cell>
          <cell r="BB5934">
            <v>1</v>
          </cell>
        </row>
        <row r="5935">
          <cell r="A5935">
            <v>131515</v>
          </cell>
          <cell r="BB5935">
            <v>1</v>
          </cell>
        </row>
        <row r="5936">
          <cell r="A5936">
            <v>131516</v>
          </cell>
          <cell r="BB5936">
            <v>1</v>
          </cell>
        </row>
        <row r="5937">
          <cell r="A5937">
            <v>131517</v>
          </cell>
          <cell r="BB5937">
            <v>1</v>
          </cell>
        </row>
        <row r="5938">
          <cell r="A5938">
            <v>131518</v>
          </cell>
          <cell r="BB5938">
            <v>1</v>
          </cell>
        </row>
        <row r="5939">
          <cell r="A5939">
            <v>131519</v>
          </cell>
          <cell r="BB5939">
            <v>1</v>
          </cell>
        </row>
        <row r="5940">
          <cell r="A5940">
            <v>131520</v>
          </cell>
          <cell r="BB5940">
            <v>1</v>
          </cell>
        </row>
        <row r="5941">
          <cell r="A5941">
            <v>131521</v>
          </cell>
          <cell r="BB5941">
            <v>1</v>
          </cell>
        </row>
        <row r="5942">
          <cell r="A5942">
            <v>131522</v>
          </cell>
          <cell r="BB5942">
            <v>1</v>
          </cell>
        </row>
        <row r="5943">
          <cell r="A5943">
            <v>131523</v>
          </cell>
          <cell r="BB5943">
            <v>1</v>
          </cell>
        </row>
        <row r="5944">
          <cell r="A5944">
            <v>131524</v>
          </cell>
          <cell r="BB5944">
            <v>1</v>
          </cell>
        </row>
        <row r="5945">
          <cell r="A5945">
            <v>131525</v>
          </cell>
          <cell r="BB5945">
            <v>1</v>
          </cell>
        </row>
        <row r="5946">
          <cell r="A5946">
            <v>131526</v>
          </cell>
          <cell r="BB5946">
            <v>1</v>
          </cell>
        </row>
        <row r="5947">
          <cell r="A5947">
            <v>131527</v>
          </cell>
          <cell r="BB5947">
            <v>1</v>
          </cell>
        </row>
        <row r="5948">
          <cell r="A5948">
            <v>131528</v>
          </cell>
          <cell r="BB5948">
            <v>1</v>
          </cell>
        </row>
        <row r="5949">
          <cell r="A5949">
            <v>131529</v>
          </cell>
          <cell r="BB5949">
            <v>1</v>
          </cell>
        </row>
        <row r="5950">
          <cell r="A5950">
            <v>131530</v>
          </cell>
          <cell r="BB5950">
            <v>1</v>
          </cell>
        </row>
        <row r="5951">
          <cell r="A5951">
            <v>131531</v>
          </cell>
          <cell r="BB5951">
            <v>1</v>
          </cell>
        </row>
        <row r="5952">
          <cell r="A5952">
            <v>131532</v>
          </cell>
          <cell r="BB5952">
            <v>1</v>
          </cell>
        </row>
        <row r="5953">
          <cell r="A5953">
            <v>131533</v>
          </cell>
          <cell r="BB5953">
            <v>1</v>
          </cell>
        </row>
        <row r="5954">
          <cell r="A5954">
            <v>131534</v>
          </cell>
          <cell r="BB5954">
            <v>1</v>
          </cell>
        </row>
        <row r="5955">
          <cell r="A5955">
            <v>131535</v>
          </cell>
          <cell r="BB5955">
            <v>1</v>
          </cell>
        </row>
        <row r="5956">
          <cell r="A5956">
            <v>131536</v>
          </cell>
          <cell r="BB5956">
            <v>1</v>
          </cell>
        </row>
        <row r="5957">
          <cell r="A5957">
            <v>131537</v>
          </cell>
          <cell r="BB5957">
            <v>1</v>
          </cell>
        </row>
        <row r="5958">
          <cell r="A5958">
            <v>131538</v>
          </cell>
          <cell r="BB5958">
            <v>1</v>
          </cell>
        </row>
        <row r="5959">
          <cell r="A5959">
            <v>131539</v>
          </cell>
          <cell r="BB5959">
            <v>1</v>
          </cell>
        </row>
        <row r="5960">
          <cell r="A5960">
            <v>131540</v>
          </cell>
          <cell r="BB5960">
            <v>1</v>
          </cell>
        </row>
        <row r="5961">
          <cell r="A5961">
            <v>131541</v>
          </cell>
          <cell r="BB5961">
            <v>1</v>
          </cell>
        </row>
        <row r="5962">
          <cell r="A5962">
            <v>131542</v>
          </cell>
          <cell r="BB5962">
            <v>1</v>
          </cell>
        </row>
        <row r="5963">
          <cell r="A5963">
            <v>131543</v>
          </cell>
          <cell r="BB5963">
            <v>1</v>
          </cell>
        </row>
        <row r="5964">
          <cell r="A5964">
            <v>131544</v>
          </cell>
          <cell r="BB5964">
            <v>1</v>
          </cell>
        </row>
        <row r="5965">
          <cell r="A5965">
            <v>131545</v>
          </cell>
          <cell r="BB5965">
            <v>1</v>
          </cell>
        </row>
        <row r="5966">
          <cell r="A5966">
            <v>131546</v>
          </cell>
          <cell r="BB5966">
            <v>1</v>
          </cell>
        </row>
        <row r="5967">
          <cell r="A5967">
            <v>131547</v>
          </cell>
          <cell r="BB5967">
            <v>1</v>
          </cell>
        </row>
        <row r="5968">
          <cell r="A5968">
            <v>131548</v>
          </cell>
          <cell r="BB5968">
            <v>1</v>
          </cell>
        </row>
        <row r="5969">
          <cell r="A5969">
            <v>131549</v>
          </cell>
          <cell r="BB5969">
            <v>1</v>
          </cell>
        </row>
        <row r="5970">
          <cell r="A5970">
            <v>131550</v>
          </cell>
          <cell r="BB5970">
            <v>1</v>
          </cell>
        </row>
        <row r="5971">
          <cell r="A5971">
            <v>131551</v>
          </cell>
          <cell r="BB5971">
            <v>1</v>
          </cell>
        </row>
        <row r="5972">
          <cell r="A5972">
            <v>131552</v>
          </cell>
          <cell r="BB5972">
            <v>1</v>
          </cell>
        </row>
        <row r="5973">
          <cell r="A5973">
            <v>131553</v>
          </cell>
          <cell r="BB5973">
            <v>1</v>
          </cell>
        </row>
        <row r="5974">
          <cell r="A5974">
            <v>131554</v>
          </cell>
          <cell r="BB5974">
            <v>1</v>
          </cell>
        </row>
        <row r="5975">
          <cell r="A5975">
            <v>131555</v>
          </cell>
          <cell r="BB5975">
            <v>1</v>
          </cell>
        </row>
        <row r="5976">
          <cell r="A5976">
            <v>131556</v>
          </cell>
          <cell r="BB5976">
            <v>1</v>
          </cell>
        </row>
        <row r="5977">
          <cell r="A5977">
            <v>131557</v>
          </cell>
          <cell r="BB5977">
            <v>1</v>
          </cell>
        </row>
        <row r="5978">
          <cell r="A5978">
            <v>131558</v>
          </cell>
          <cell r="BB5978">
            <v>1</v>
          </cell>
        </row>
        <row r="5979">
          <cell r="A5979">
            <v>131559</v>
          </cell>
          <cell r="BB5979">
            <v>1</v>
          </cell>
        </row>
        <row r="5980">
          <cell r="A5980">
            <v>131560</v>
          </cell>
          <cell r="BB5980">
            <v>1</v>
          </cell>
        </row>
        <row r="5981">
          <cell r="A5981">
            <v>131561</v>
          </cell>
          <cell r="BB5981">
            <v>1</v>
          </cell>
        </row>
        <row r="5982">
          <cell r="A5982">
            <v>131562</v>
          </cell>
          <cell r="BB5982">
            <v>1</v>
          </cell>
        </row>
        <row r="5983">
          <cell r="A5983">
            <v>131563</v>
          </cell>
          <cell r="BB5983">
            <v>1</v>
          </cell>
        </row>
        <row r="5984">
          <cell r="A5984">
            <v>131564</v>
          </cell>
          <cell r="BB5984">
            <v>1</v>
          </cell>
        </row>
        <row r="5985">
          <cell r="A5985">
            <v>131565</v>
          </cell>
          <cell r="BB5985">
            <v>1</v>
          </cell>
        </row>
        <row r="5986">
          <cell r="A5986">
            <v>131566</v>
          </cell>
          <cell r="BB5986">
            <v>1</v>
          </cell>
        </row>
        <row r="5987">
          <cell r="A5987">
            <v>131567</v>
          </cell>
          <cell r="BB5987">
            <v>1</v>
          </cell>
        </row>
        <row r="5988">
          <cell r="A5988">
            <v>131568</v>
          </cell>
          <cell r="BB5988">
            <v>1</v>
          </cell>
        </row>
        <row r="5989">
          <cell r="A5989">
            <v>131569</v>
          </cell>
          <cell r="BB5989">
            <v>1</v>
          </cell>
        </row>
        <row r="5990">
          <cell r="A5990">
            <v>131570</v>
          </cell>
          <cell r="BB5990">
            <v>1</v>
          </cell>
        </row>
        <row r="5991">
          <cell r="A5991">
            <v>131571</v>
          </cell>
          <cell r="BB5991">
            <v>1</v>
          </cell>
        </row>
        <row r="5992">
          <cell r="A5992">
            <v>131572</v>
          </cell>
          <cell r="BB5992">
            <v>1</v>
          </cell>
        </row>
        <row r="5993">
          <cell r="A5993">
            <v>131573</v>
          </cell>
          <cell r="BB5993">
            <v>1</v>
          </cell>
        </row>
        <row r="5994">
          <cell r="A5994">
            <v>131574</v>
          </cell>
          <cell r="BB5994">
            <v>1</v>
          </cell>
        </row>
        <row r="5995">
          <cell r="A5995">
            <v>131575</v>
          </cell>
          <cell r="BB5995">
            <v>1</v>
          </cell>
        </row>
        <row r="5996">
          <cell r="A5996">
            <v>131576</v>
          </cell>
          <cell r="BB5996">
            <v>1</v>
          </cell>
        </row>
        <row r="5997">
          <cell r="A5997">
            <v>131577</v>
          </cell>
          <cell r="BB5997">
            <v>1</v>
          </cell>
        </row>
        <row r="5998">
          <cell r="A5998">
            <v>131578</v>
          </cell>
          <cell r="BB5998">
            <v>1</v>
          </cell>
        </row>
        <row r="5999">
          <cell r="A5999">
            <v>131579</v>
          </cell>
          <cell r="BB5999">
            <v>1</v>
          </cell>
        </row>
        <row r="6000">
          <cell r="A6000">
            <v>131580</v>
          </cell>
          <cell r="BB6000">
            <v>1</v>
          </cell>
        </row>
        <row r="6001">
          <cell r="A6001">
            <v>131581</v>
          </cell>
          <cell r="BB6001">
            <v>1</v>
          </cell>
        </row>
        <row r="6002">
          <cell r="A6002">
            <v>131582</v>
          </cell>
          <cell r="BB6002">
            <v>1</v>
          </cell>
        </row>
        <row r="6003">
          <cell r="A6003">
            <v>131583</v>
          </cell>
          <cell r="BB6003">
            <v>1</v>
          </cell>
        </row>
        <row r="6004">
          <cell r="A6004">
            <v>131584</v>
          </cell>
          <cell r="BB6004">
            <v>1</v>
          </cell>
        </row>
        <row r="6005">
          <cell r="A6005">
            <v>131585</v>
          </cell>
          <cell r="BB6005">
            <v>1</v>
          </cell>
        </row>
        <row r="6006">
          <cell r="A6006">
            <v>131586</v>
          </cell>
          <cell r="BB6006">
            <v>1</v>
          </cell>
        </row>
        <row r="6007">
          <cell r="A6007">
            <v>131587</v>
          </cell>
          <cell r="BB6007">
            <v>1</v>
          </cell>
        </row>
        <row r="6008">
          <cell r="A6008">
            <v>131588</v>
          </cell>
          <cell r="BB6008">
            <v>1</v>
          </cell>
        </row>
        <row r="6009">
          <cell r="A6009">
            <v>131589</v>
          </cell>
          <cell r="BB6009">
            <v>1</v>
          </cell>
        </row>
        <row r="6010">
          <cell r="A6010">
            <v>131590</v>
          </cell>
          <cell r="BB6010">
            <v>1</v>
          </cell>
        </row>
        <row r="6011">
          <cell r="A6011">
            <v>131591</v>
          </cell>
          <cell r="BB6011">
            <v>1</v>
          </cell>
        </row>
        <row r="6012">
          <cell r="A6012">
            <v>131592</v>
          </cell>
          <cell r="BB6012">
            <v>1</v>
          </cell>
        </row>
        <row r="6013">
          <cell r="A6013">
            <v>131593</v>
          </cell>
          <cell r="BB6013">
            <v>1</v>
          </cell>
        </row>
        <row r="6014">
          <cell r="A6014">
            <v>131594</v>
          </cell>
          <cell r="BB6014">
            <v>1</v>
          </cell>
        </row>
        <row r="6015">
          <cell r="A6015">
            <v>131595</v>
          </cell>
          <cell r="BB6015">
            <v>1</v>
          </cell>
        </row>
        <row r="6016">
          <cell r="A6016">
            <v>131596</v>
          </cell>
          <cell r="BB6016">
            <v>1</v>
          </cell>
        </row>
        <row r="6017">
          <cell r="A6017">
            <v>131597</v>
          </cell>
          <cell r="BB6017">
            <v>1</v>
          </cell>
        </row>
        <row r="6018">
          <cell r="A6018">
            <v>131598</v>
          </cell>
          <cell r="BB6018">
            <v>1</v>
          </cell>
        </row>
        <row r="6019">
          <cell r="A6019">
            <v>131599</v>
          </cell>
          <cell r="BB6019">
            <v>1</v>
          </cell>
        </row>
        <row r="6020">
          <cell r="A6020">
            <v>131600</v>
          </cell>
          <cell r="BB6020">
            <v>1</v>
          </cell>
        </row>
        <row r="6021">
          <cell r="A6021">
            <v>131601</v>
          </cell>
          <cell r="BB6021">
            <v>1</v>
          </cell>
        </row>
        <row r="6022">
          <cell r="A6022">
            <v>131602</v>
          </cell>
          <cell r="BB6022">
            <v>1</v>
          </cell>
        </row>
        <row r="6023">
          <cell r="A6023">
            <v>131603</v>
          </cell>
          <cell r="BB6023">
            <v>1</v>
          </cell>
        </row>
        <row r="6024">
          <cell r="A6024">
            <v>131604</v>
          </cell>
          <cell r="BB6024">
            <v>1</v>
          </cell>
        </row>
        <row r="6025">
          <cell r="A6025">
            <v>131605</v>
          </cell>
          <cell r="BB6025">
            <v>1</v>
          </cell>
        </row>
        <row r="6026">
          <cell r="A6026">
            <v>131606</v>
          </cell>
          <cell r="BB6026">
            <v>1</v>
          </cell>
        </row>
        <row r="6027">
          <cell r="A6027">
            <v>131607</v>
          </cell>
          <cell r="BB6027">
            <v>1</v>
          </cell>
        </row>
        <row r="6028">
          <cell r="A6028">
            <v>131608</v>
          </cell>
          <cell r="BB6028">
            <v>1</v>
          </cell>
        </row>
        <row r="6029">
          <cell r="A6029">
            <v>131609</v>
          </cell>
          <cell r="BB6029">
            <v>1</v>
          </cell>
        </row>
        <row r="6030">
          <cell r="A6030">
            <v>131610</v>
          </cell>
          <cell r="BB6030">
            <v>1</v>
          </cell>
        </row>
        <row r="6031">
          <cell r="A6031">
            <v>131611</v>
          </cell>
          <cell r="BB6031">
            <v>1</v>
          </cell>
        </row>
        <row r="6032">
          <cell r="A6032">
            <v>131612</v>
          </cell>
          <cell r="BB6032">
            <v>1</v>
          </cell>
        </row>
        <row r="6033">
          <cell r="A6033">
            <v>131613</v>
          </cell>
          <cell r="BB6033">
            <v>1</v>
          </cell>
        </row>
        <row r="6034">
          <cell r="A6034">
            <v>131614</v>
          </cell>
          <cell r="BB6034">
            <v>1</v>
          </cell>
        </row>
        <row r="6035">
          <cell r="A6035">
            <v>131615</v>
          </cell>
          <cell r="BB6035">
            <v>1</v>
          </cell>
        </row>
        <row r="6036">
          <cell r="A6036">
            <v>131616</v>
          </cell>
          <cell r="BB6036">
            <v>1</v>
          </cell>
        </row>
        <row r="6037">
          <cell r="A6037">
            <v>131617</v>
          </cell>
          <cell r="BB6037">
            <v>1</v>
          </cell>
        </row>
        <row r="6038">
          <cell r="A6038">
            <v>131618</v>
          </cell>
          <cell r="BB6038">
            <v>1</v>
          </cell>
        </row>
        <row r="6039">
          <cell r="A6039">
            <v>131619</v>
          </cell>
          <cell r="BB6039">
            <v>1</v>
          </cell>
        </row>
        <row r="6040">
          <cell r="A6040">
            <v>131620</v>
          </cell>
          <cell r="BB6040">
            <v>1</v>
          </cell>
        </row>
        <row r="6041">
          <cell r="A6041">
            <v>131621</v>
          </cell>
          <cell r="BB6041">
            <v>1</v>
          </cell>
        </row>
        <row r="6042">
          <cell r="A6042">
            <v>131622</v>
          </cell>
          <cell r="BB6042">
            <v>1</v>
          </cell>
        </row>
        <row r="6043">
          <cell r="A6043">
            <v>131623</v>
          </cell>
          <cell r="BB6043">
            <v>1</v>
          </cell>
        </row>
        <row r="6044">
          <cell r="A6044">
            <v>131624</v>
          </cell>
          <cell r="BB6044">
            <v>1</v>
          </cell>
        </row>
        <row r="6045">
          <cell r="A6045">
            <v>131625</v>
          </cell>
          <cell r="BB6045">
            <v>1</v>
          </cell>
        </row>
        <row r="6046">
          <cell r="A6046">
            <v>131626</v>
          </cell>
          <cell r="BB6046">
            <v>1</v>
          </cell>
        </row>
        <row r="6047">
          <cell r="A6047">
            <v>131627</v>
          </cell>
          <cell r="BB6047">
            <v>1</v>
          </cell>
        </row>
        <row r="6048">
          <cell r="A6048">
            <v>131628</v>
          </cell>
          <cell r="BB6048">
            <v>1</v>
          </cell>
        </row>
        <row r="6049">
          <cell r="A6049">
            <v>131629</v>
          </cell>
          <cell r="BB6049">
            <v>1</v>
          </cell>
        </row>
        <row r="6050">
          <cell r="A6050">
            <v>131630</v>
          </cell>
          <cell r="BB6050">
            <v>1</v>
          </cell>
        </row>
        <row r="6051">
          <cell r="A6051">
            <v>131631</v>
          </cell>
          <cell r="BB6051">
            <v>1</v>
          </cell>
        </row>
        <row r="6052">
          <cell r="A6052">
            <v>131632</v>
          </cell>
          <cell r="BB6052">
            <v>1</v>
          </cell>
        </row>
        <row r="6053">
          <cell r="A6053">
            <v>131633</v>
          </cell>
          <cell r="BB6053">
            <v>1</v>
          </cell>
        </row>
        <row r="6054">
          <cell r="A6054">
            <v>131634</v>
          </cell>
          <cell r="BB6054">
            <v>1</v>
          </cell>
        </row>
        <row r="6055">
          <cell r="A6055">
            <v>131635</v>
          </cell>
          <cell r="BB6055">
            <v>1</v>
          </cell>
        </row>
        <row r="6056">
          <cell r="A6056">
            <v>131636</v>
          </cell>
          <cell r="BB6056">
            <v>1</v>
          </cell>
        </row>
        <row r="6057">
          <cell r="A6057">
            <v>131637</v>
          </cell>
          <cell r="BB6057">
            <v>1</v>
          </cell>
        </row>
        <row r="6058">
          <cell r="A6058">
            <v>131638</v>
          </cell>
          <cell r="BB6058">
            <v>1</v>
          </cell>
        </row>
        <row r="6059">
          <cell r="A6059">
            <v>131639</v>
          </cell>
          <cell r="BB6059">
            <v>1</v>
          </cell>
        </row>
        <row r="6060">
          <cell r="A6060">
            <v>131640</v>
          </cell>
          <cell r="BB6060">
            <v>1</v>
          </cell>
        </row>
        <row r="6061">
          <cell r="A6061">
            <v>131641</v>
          </cell>
          <cell r="BB6061">
            <v>1</v>
          </cell>
        </row>
        <row r="6062">
          <cell r="A6062">
            <v>131642</v>
          </cell>
          <cell r="BB6062">
            <v>1</v>
          </cell>
        </row>
        <row r="6063">
          <cell r="A6063">
            <v>131643</v>
          </cell>
          <cell r="BB6063">
            <v>1</v>
          </cell>
        </row>
        <row r="6064">
          <cell r="A6064">
            <v>131644</v>
          </cell>
          <cell r="BB6064">
            <v>1</v>
          </cell>
        </row>
        <row r="6065">
          <cell r="A6065">
            <v>131645</v>
          </cell>
          <cell r="BB6065">
            <v>1</v>
          </cell>
        </row>
        <row r="6066">
          <cell r="A6066">
            <v>131646</v>
          </cell>
          <cell r="BB6066">
            <v>1</v>
          </cell>
        </row>
        <row r="6067">
          <cell r="A6067">
            <v>131647</v>
          </cell>
          <cell r="BB6067">
            <v>1</v>
          </cell>
        </row>
        <row r="6068">
          <cell r="A6068">
            <v>131648</v>
          </cell>
          <cell r="BB6068">
            <v>1</v>
          </cell>
        </row>
        <row r="6069">
          <cell r="A6069">
            <v>131649</v>
          </cell>
          <cell r="BB6069">
            <v>1</v>
          </cell>
        </row>
        <row r="6070">
          <cell r="A6070">
            <v>131650</v>
          </cell>
          <cell r="BB6070">
            <v>1</v>
          </cell>
        </row>
        <row r="6071">
          <cell r="A6071">
            <v>131651</v>
          </cell>
          <cell r="BB6071">
            <v>1</v>
          </cell>
        </row>
        <row r="6072">
          <cell r="A6072">
            <v>131652</v>
          </cell>
          <cell r="BB6072">
            <v>1</v>
          </cell>
        </row>
        <row r="6073">
          <cell r="A6073">
            <v>131653</v>
          </cell>
          <cell r="BB6073">
            <v>1</v>
          </cell>
        </row>
        <row r="6074">
          <cell r="A6074">
            <v>131654</v>
          </cell>
          <cell r="BB6074">
            <v>1</v>
          </cell>
        </row>
        <row r="6075">
          <cell r="A6075">
            <v>131655</v>
          </cell>
          <cell r="BB6075">
            <v>1</v>
          </cell>
        </row>
        <row r="6076">
          <cell r="A6076">
            <v>131656</v>
          </cell>
          <cell r="BB6076">
            <v>1</v>
          </cell>
        </row>
        <row r="6077">
          <cell r="A6077">
            <v>131657</v>
          </cell>
          <cell r="BB6077">
            <v>1</v>
          </cell>
        </row>
        <row r="6078">
          <cell r="A6078">
            <v>131658</v>
          </cell>
          <cell r="BB6078">
            <v>1</v>
          </cell>
        </row>
        <row r="6079">
          <cell r="A6079">
            <v>131659</v>
          </cell>
          <cell r="BB6079">
            <v>1</v>
          </cell>
        </row>
        <row r="6080">
          <cell r="A6080">
            <v>131660</v>
          </cell>
          <cell r="BB6080">
            <v>1</v>
          </cell>
        </row>
        <row r="6081">
          <cell r="A6081">
            <v>131661</v>
          </cell>
          <cell r="BB6081">
            <v>1</v>
          </cell>
        </row>
        <row r="6082">
          <cell r="A6082">
            <v>131662</v>
          </cell>
          <cell r="BB6082">
            <v>1</v>
          </cell>
        </row>
        <row r="6083">
          <cell r="A6083">
            <v>131663</v>
          </cell>
          <cell r="BB6083">
            <v>1</v>
          </cell>
        </row>
        <row r="6084">
          <cell r="A6084">
            <v>131664</v>
          </cell>
          <cell r="BB6084">
            <v>1</v>
          </cell>
        </row>
        <row r="6085">
          <cell r="A6085">
            <v>131665</v>
          </cell>
          <cell r="BB6085">
            <v>1</v>
          </cell>
        </row>
        <row r="6086">
          <cell r="A6086">
            <v>131666</v>
          </cell>
          <cell r="BB6086">
            <v>1</v>
          </cell>
        </row>
        <row r="6087">
          <cell r="A6087">
            <v>131667</v>
          </cell>
          <cell r="BB6087">
            <v>1</v>
          </cell>
        </row>
        <row r="6088">
          <cell r="A6088">
            <v>131668</v>
          </cell>
          <cell r="BB6088">
            <v>1</v>
          </cell>
        </row>
        <row r="6089">
          <cell r="A6089">
            <v>131669</v>
          </cell>
          <cell r="BB6089">
            <v>1</v>
          </cell>
        </row>
        <row r="6090">
          <cell r="A6090">
            <v>131670</v>
          </cell>
          <cell r="BB6090">
            <v>1</v>
          </cell>
        </row>
        <row r="6091">
          <cell r="A6091">
            <v>131671</v>
          </cell>
          <cell r="BB6091">
            <v>1</v>
          </cell>
        </row>
        <row r="6092">
          <cell r="A6092">
            <v>131672</v>
          </cell>
          <cell r="BB6092">
            <v>1</v>
          </cell>
        </row>
        <row r="6093">
          <cell r="A6093">
            <v>131673</v>
          </cell>
          <cell r="BB6093">
            <v>1</v>
          </cell>
        </row>
        <row r="6094">
          <cell r="A6094">
            <v>131674</v>
          </cell>
          <cell r="BB6094">
            <v>1</v>
          </cell>
        </row>
        <row r="6095">
          <cell r="A6095">
            <v>131675</v>
          </cell>
          <cell r="BB6095">
            <v>1</v>
          </cell>
        </row>
        <row r="6096">
          <cell r="A6096">
            <v>131676</v>
          </cell>
          <cell r="BB6096">
            <v>1</v>
          </cell>
        </row>
        <row r="6097">
          <cell r="A6097">
            <v>131677</v>
          </cell>
          <cell r="BB6097">
            <v>1</v>
          </cell>
        </row>
        <row r="6098">
          <cell r="A6098">
            <v>131678</v>
          </cell>
          <cell r="BB6098">
            <v>1</v>
          </cell>
        </row>
        <row r="6099">
          <cell r="A6099">
            <v>131679</v>
          </cell>
          <cell r="BB6099">
            <v>1</v>
          </cell>
        </row>
        <row r="6100">
          <cell r="A6100">
            <v>131680</v>
          </cell>
          <cell r="BB6100">
            <v>1</v>
          </cell>
        </row>
        <row r="6101">
          <cell r="A6101">
            <v>131681</v>
          </cell>
          <cell r="BB6101">
            <v>1</v>
          </cell>
        </row>
        <row r="6102">
          <cell r="A6102">
            <v>131682</v>
          </cell>
          <cell r="BB6102">
            <v>1</v>
          </cell>
        </row>
        <row r="6103">
          <cell r="A6103">
            <v>131683</v>
          </cell>
          <cell r="BB6103">
            <v>1</v>
          </cell>
        </row>
        <row r="6104">
          <cell r="A6104">
            <v>131684</v>
          </cell>
          <cell r="BB6104">
            <v>1</v>
          </cell>
        </row>
        <row r="6105">
          <cell r="A6105">
            <v>131685</v>
          </cell>
          <cell r="BB6105">
            <v>1</v>
          </cell>
        </row>
        <row r="6106">
          <cell r="A6106">
            <v>131686</v>
          </cell>
          <cell r="BB6106">
            <v>1</v>
          </cell>
        </row>
        <row r="6107">
          <cell r="A6107">
            <v>131687</v>
          </cell>
          <cell r="BB6107">
            <v>1</v>
          </cell>
        </row>
        <row r="6108">
          <cell r="A6108">
            <v>131688</v>
          </cell>
          <cell r="BB6108">
            <v>1</v>
          </cell>
        </row>
        <row r="6109">
          <cell r="A6109">
            <v>131689</v>
          </cell>
          <cell r="BB6109">
            <v>1</v>
          </cell>
        </row>
        <row r="6110">
          <cell r="A6110">
            <v>131690</v>
          </cell>
          <cell r="BB6110">
            <v>1</v>
          </cell>
        </row>
        <row r="6111">
          <cell r="A6111">
            <v>131691</v>
          </cell>
          <cell r="BB6111">
            <v>1</v>
          </cell>
        </row>
        <row r="6112">
          <cell r="A6112">
            <v>131692</v>
          </cell>
          <cell r="BB6112">
            <v>1</v>
          </cell>
        </row>
        <row r="6113">
          <cell r="A6113">
            <v>131693</v>
          </cell>
          <cell r="BB6113">
            <v>1</v>
          </cell>
        </row>
        <row r="6114">
          <cell r="A6114">
            <v>131694</v>
          </cell>
          <cell r="BB6114">
            <v>1</v>
          </cell>
        </row>
        <row r="6115">
          <cell r="A6115">
            <v>131695</v>
          </cell>
          <cell r="BB6115">
            <v>1</v>
          </cell>
        </row>
        <row r="6116">
          <cell r="A6116">
            <v>131696</v>
          </cell>
          <cell r="BB6116">
            <v>1</v>
          </cell>
        </row>
        <row r="6117">
          <cell r="A6117">
            <v>131697</v>
          </cell>
          <cell r="BB6117">
            <v>1</v>
          </cell>
        </row>
        <row r="6118">
          <cell r="A6118">
            <v>131698</v>
          </cell>
          <cell r="BB6118">
            <v>1</v>
          </cell>
        </row>
        <row r="6119">
          <cell r="A6119">
            <v>131699</v>
          </cell>
          <cell r="BB6119">
            <v>1</v>
          </cell>
        </row>
        <row r="6120">
          <cell r="A6120">
            <v>131700</v>
          </cell>
          <cell r="BB6120">
            <v>1</v>
          </cell>
        </row>
        <row r="6121">
          <cell r="A6121">
            <v>131701</v>
          </cell>
          <cell r="BB6121">
            <v>1</v>
          </cell>
        </row>
        <row r="6122">
          <cell r="A6122">
            <v>131702</v>
          </cell>
          <cell r="BB6122">
            <v>1</v>
          </cell>
        </row>
        <row r="6123">
          <cell r="A6123">
            <v>131703</v>
          </cell>
          <cell r="BB6123">
            <v>1</v>
          </cell>
        </row>
        <row r="6124">
          <cell r="A6124">
            <v>131704</v>
          </cell>
          <cell r="BB6124">
            <v>1</v>
          </cell>
        </row>
        <row r="6125">
          <cell r="A6125">
            <v>131705</v>
          </cell>
          <cell r="BB6125">
            <v>1</v>
          </cell>
        </row>
        <row r="6126">
          <cell r="A6126">
            <v>131706</v>
          </cell>
          <cell r="BB6126">
            <v>1</v>
          </cell>
        </row>
        <row r="6127">
          <cell r="A6127">
            <v>131707</v>
          </cell>
          <cell r="BB6127">
            <v>1</v>
          </cell>
        </row>
        <row r="6128">
          <cell r="A6128">
            <v>131708</v>
          </cell>
          <cell r="BB6128">
            <v>1</v>
          </cell>
        </row>
        <row r="6129">
          <cell r="A6129">
            <v>131709</v>
          </cell>
          <cell r="BB6129">
            <v>1</v>
          </cell>
        </row>
        <row r="6130">
          <cell r="A6130">
            <v>131710</v>
          </cell>
          <cell r="BB6130">
            <v>1</v>
          </cell>
        </row>
        <row r="6131">
          <cell r="A6131">
            <v>131711</v>
          </cell>
          <cell r="BB6131">
            <v>1</v>
          </cell>
        </row>
        <row r="6132">
          <cell r="A6132">
            <v>131712</v>
          </cell>
          <cell r="BB6132">
            <v>1</v>
          </cell>
        </row>
        <row r="6133">
          <cell r="A6133">
            <v>131713</v>
          </cell>
          <cell r="BB6133">
            <v>1</v>
          </cell>
        </row>
        <row r="6134">
          <cell r="A6134">
            <v>131714</v>
          </cell>
          <cell r="BB6134">
            <v>1</v>
          </cell>
        </row>
        <row r="6135">
          <cell r="A6135">
            <v>131715</v>
          </cell>
          <cell r="BB6135">
            <v>1</v>
          </cell>
        </row>
        <row r="6136">
          <cell r="A6136">
            <v>131716</v>
          </cell>
          <cell r="BB6136">
            <v>1</v>
          </cell>
        </row>
        <row r="6137">
          <cell r="A6137">
            <v>131717</v>
          </cell>
          <cell r="BB6137">
            <v>1</v>
          </cell>
        </row>
        <row r="6138">
          <cell r="A6138">
            <v>131718</v>
          </cell>
          <cell r="BB6138">
            <v>1</v>
          </cell>
        </row>
        <row r="6139">
          <cell r="A6139">
            <v>131719</v>
          </cell>
          <cell r="BB6139">
            <v>1</v>
          </cell>
        </row>
        <row r="6140">
          <cell r="A6140">
            <v>131720</v>
          </cell>
          <cell r="BB6140">
            <v>1</v>
          </cell>
        </row>
        <row r="6141">
          <cell r="A6141">
            <v>131721</v>
          </cell>
          <cell r="BB6141">
            <v>1</v>
          </cell>
        </row>
        <row r="6142">
          <cell r="A6142">
            <v>131722</v>
          </cell>
          <cell r="BB6142">
            <v>1</v>
          </cell>
        </row>
        <row r="6143">
          <cell r="A6143">
            <v>131723</v>
          </cell>
          <cell r="BB6143">
            <v>1</v>
          </cell>
        </row>
        <row r="6144">
          <cell r="A6144">
            <v>131724</v>
          </cell>
          <cell r="BB6144">
            <v>1</v>
          </cell>
        </row>
        <row r="6145">
          <cell r="A6145">
            <v>131725</v>
          </cell>
          <cell r="BB6145">
            <v>1</v>
          </cell>
        </row>
        <row r="6146">
          <cell r="A6146">
            <v>131726</v>
          </cell>
          <cell r="BB6146">
            <v>1</v>
          </cell>
        </row>
        <row r="6147">
          <cell r="A6147">
            <v>131727</v>
          </cell>
          <cell r="BB6147">
            <v>1</v>
          </cell>
        </row>
        <row r="6148">
          <cell r="A6148">
            <v>131728</v>
          </cell>
          <cell r="BB6148">
            <v>1</v>
          </cell>
        </row>
        <row r="6149">
          <cell r="A6149">
            <v>131729</v>
          </cell>
          <cell r="BB6149">
            <v>1</v>
          </cell>
        </row>
        <row r="6150">
          <cell r="A6150">
            <v>131730</v>
          </cell>
          <cell r="BB6150">
            <v>1</v>
          </cell>
        </row>
        <row r="6151">
          <cell r="A6151">
            <v>131731</v>
          </cell>
          <cell r="BB6151">
            <v>1</v>
          </cell>
        </row>
        <row r="6152">
          <cell r="A6152">
            <v>131732</v>
          </cell>
          <cell r="BB6152">
            <v>1</v>
          </cell>
        </row>
        <row r="6153">
          <cell r="A6153">
            <v>131733</v>
          </cell>
          <cell r="BB6153">
            <v>1</v>
          </cell>
        </row>
        <row r="6154">
          <cell r="A6154">
            <v>131734</v>
          </cell>
          <cell r="BB6154">
            <v>1</v>
          </cell>
        </row>
        <row r="6155">
          <cell r="A6155">
            <v>131735</v>
          </cell>
          <cell r="BB6155">
            <v>1</v>
          </cell>
        </row>
        <row r="6156">
          <cell r="A6156">
            <v>131736</v>
          </cell>
          <cell r="BB6156">
            <v>1</v>
          </cell>
        </row>
        <row r="6157">
          <cell r="A6157">
            <v>131737</v>
          </cell>
          <cell r="BB6157">
            <v>1</v>
          </cell>
        </row>
        <row r="6158">
          <cell r="A6158">
            <v>131738</v>
          </cell>
          <cell r="BB6158">
            <v>1</v>
          </cell>
        </row>
        <row r="6159">
          <cell r="A6159">
            <v>131739</v>
          </cell>
          <cell r="BB6159">
            <v>1</v>
          </cell>
        </row>
        <row r="6160">
          <cell r="A6160">
            <v>131740</v>
          </cell>
          <cell r="BB6160">
            <v>1</v>
          </cell>
        </row>
        <row r="6161">
          <cell r="A6161">
            <v>131741</v>
          </cell>
          <cell r="BB6161">
            <v>1</v>
          </cell>
        </row>
        <row r="6162">
          <cell r="A6162">
            <v>131742</v>
          </cell>
          <cell r="BB6162">
            <v>1</v>
          </cell>
        </row>
        <row r="6163">
          <cell r="A6163">
            <v>131743</v>
          </cell>
          <cell r="BB6163">
            <v>1</v>
          </cell>
        </row>
        <row r="6164">
          <cell r="A6164">
            <v>131744</v>
          </cell>
          <cell r="BB6164">
            <v>1</v>
          </cell>
        </row>
        <row r="6165">
          <cell r="A6165">
            <v>131745</v>
          </cell>
          <cell r="BB6165">
            <v>1</v>
          </cell>
        </row>
        <row r="6166">
          <cell r="A6166">
            <v>131746</v>
          </cell>
          <cell r="BB6166">
            <v>1</v>
          </cell>
        </row>
        <row r="6167">
          <cell r="A6167">
            <v>131747</v>
          </cell>
          <cell r="BB6167">
            <v>1</v>
          </cell>
        </row>
        <row r="6168">
          <cell r="A6168">
            <v>131748</v>
          </cell>
          <cell r="BB6168">
            <v>1</v>
          </cell>
        </row>
        <row r="6169">
          <cell r="A6169">
            <v>131749</v>
          </cell>
          <cell r="BB6169">
            <v>1</v>
          </cell>
        </row>
        <row r="6170">
          <cell r="A6170">
            <v>131750</v>
          </cell>
          <cell r="BB6170">
            <v>1</v>
          </cell>
        </row>
        <row r="6171">
          <cell r="A6171">
            <v>131751</v>
          </cell>
          <cell r="BB6171">
            <v>1</v>
          </cell>
        </row>
        <row r="6172">
          <cell r="A6172">
            <v>131752</v>
          </cell>
          <cell r="BB6172">
            <v>1</v>
          </cell>
        </row>
        <row r="6173">
          <cell r="A6173">
            <v>131753</v>
          </cell>
          <cell r="BB6173">
            <v>1</v>
          </cell>
        </row>
        <row r="6174">
          <cell r="A6174">
            <v>131754</v>
          </cell>
          <cell r="BB6174">
            <v>1</v>
          </cell>
        </row>
        <row r="6175">
          <cell r="A6175">
            <v>131755</v>
          </cell>
          <cell r="BB6175">
            <v>1</v>
          </cell>
        </row>
        <row r="6176">
          <cell r="A6176">
            <v>131756</v>
          </cell>
          <cell r="BB6176">
            <v>1</v>
          </cell>
        </row>
        <row r="6177">
          <cell r="A6177">
            <v>131757</v>
          </cell>
          <cell r="BB6177">
            <v>1</v>
          </cell>
        </row>
        <row r="6178">
          <cell r="A6178">
            <v>131758</v>
          </cell>
          <cell r="BB6178">
            <v>1</v>
          </cell>
        </row>
        <row r="6179">
          <cell r="A6179">
            <v>131759</v>
          </cell>
          <cell r="BB6179">
            <v>1</v>
          </cell>
        </row>
        <row r="6180">
          <cell r="A6180">
            <v>131760</v>
          </cell>
          <cell r="BB6180">
            <v>1</v>
          </cell>
        </row>
        <row r="6181">
          <cell r="A6181">
            <v>131761</v>
          </cell>
          <cell r="BB6181">
            <v>1</v>
          </cell>
        </row>
        <row r="6182">
          <cell r="A6182">
            <v>131762</v>
          </cell>
          <cell r="BB6182">
            <v>1</v>
          </cell>
        </row>
        <row r="6183">
          <cell r="A6183">
            <v>131763</v>
          </cell>
          <cell r="BB6183">
            <v>1</v>
          </cell>
        </row>
        <row r="6184">
          <cell r="A6184">
            <v>131764</v>
          </cell>
          <cell r="BB6184">
            <v>1</v>
          </cell>
        </row>
        <row r="6185">
          <cell r="A6185">
            <v>131765</v>
          </cell>
          <cell r="BB6185">
            <v>1</v>
          </cell>
        </row>
        <row r="6186">
          <cell r="A6186">
            <v>131766</v>
          </cell>
          <cell r="BB6186">
            <v>1</v>
          </cell>
        </row>
        <row r="6187">
          <cell r="A6187">
            <v>131767</v>
          </cell>
          <cell r="BB6187">
            <v>1</v>
          </cell>
        </row>
        <row r="6188">
          <cell r="A6188">
            <v>131768</v>
          </cell>
          <cell r="BB6188">
            <v>1</v>
          </cell>
        </row>
        <row r="6189">
          <cell r="A6189">
            <v>131769</v>
          </cell>
          <cell r="BB6189">
            <v>1</v>
          </cell>
        </row>
        <row r="6190">
          <cell r="A6190">
            <v>131770</v>
          </cell>
          <cell r="BB6190">
            <v>1</v>
          </cell>
        </row>
        <row r="6191">
          <cell r="A6191">
            <v>131771</v>
          </cell>
          <cell r="BB6191">
            <v>1</v>
          </cell>
        </row>
        <row r="6192">
          <cell r="A6192">
            <v>131772</v>
          </cell>
          <cell r="BB6192">
            <v>1</v>
          </cell>
        </row>
        <row r="6193">
          <cell r="A6193">
            <v>131773</v>
          </cell>
          <cell r="BB6193">
            <v>1</v>
          </cell>
        </row>
        <row r="6194">
          <cell r="A6194">
            <v>131774</v>
          </cell>
          <cell r="BB6194">
            <v>1</v>
          </cell>
        </row>
        <row r="6195">
          <cell r="A6195">
            <v>131775</v>
          </cell>
          <cell r="BB6195">
            <v>1</v>
          </cell>
        </row>
        <row r="6196">
          <cell r="A6196">
            <v>131776</v>
          </cell>
          <cell r="BB6196">
            <v>1</v>
          </cell>
        </row>
        <row r="6197">
          <cell r="A6197">
            <v>131777</v>
          </cell>
          <cell r="BB6197">
            <v>1</v>
          </cell>
        </row>
        <row r="6198">
          <cell r="A6198">
            <v>131778</v>
          </cell>
          <cell r="BB6198">
            <v>1</v>
          </cell>
        </row>
        <row r="6199">
          <cell r="A6199">
            <v>131779</v>
          </cell>
          <cell r="BB6199">
            <v>1</v>
          </cell>
        </row>
        <row r="6200">
          <cell r="A6200">
            <v>131780</v>
          </cell>
          <cell r="BB6200">
            <v>1</v>
          </cell>
        </row>
        <row r="6201">
          <cell r="A6201">
            <v>131781</v>
          </cell>
          <cell r="BB6201">
            <v>1</v>
          </cell>
        </row>
        <row r="6202">
          <cell r="A6202">
            <v>131782</v>
          </cell>
          <cell r="BB6202">
            <v>1</v>
          </cell>
        </row>
        <row r="6203">
          <cell r="A6203">
            <v>131783</v>
          </cell>
          <cell r="BB6203">
            <v>1</v>
          </cell>
        </row>
        <row r="6204">
          <cell r="A6204">
            <v>131784</v>
          </cell>
          <cell r="BB6204">
            <v>1</v>
          </cell>
        </row>
        <row r="6205">
          <cell r="A6205">
            <v>131785</v>
          </cell>
          <cell r="BB6205">
            <v>1</v>
          </cell>
        </row>
        <row r="6206">
          <cell r="A6206">
            <v>131786</v>
          </cell>
          <cell r="BB6206">
            <v>1</v>
          </cell>
        </row>
        <row r="6207">
          <cell r="A6207">
            <v>131787</v>
          </cell>
          <cell r="BB6207">
            <v>1</v>
          </cell>
        </row>
        <row r="6208">
          <cell r="A6208">
            <v>131788</v>
          </cell>
          <cell r="BB6208">
            <v>1</v>
          </cell>
        </row>
        <row r="6209">
          <cell r="A6209">
            <v>131789</v>
          </cell>
          <cell r="BB6209">
            <v>1</v>
          </cell>
        </row>
        <row r="6210">
          <cell r="A6210">
            <v>131790</v>
          </cell>
          <cell r="BB6210">
            <v>1</v>
          </cell>
        </row>
        <row r="6211">
          <cell r="A6211">
            <v>131791</v>
          </cell>
          <cell r="BB6211">
            <v>1</v>
          </cell>
        </row>
        <row r="6212">
          <cell r="A6212">
            <v>131792</v>
          </cell>
          <cell r="BB6212">
            <v>1</v>
          </cell>
        </row>
        <row r="6213">
          <cell r="A6213">
            <v>131793</v>
          </cell>
          <cell r="BB6213">
            <v>1</v>
          </cell>
        </row>
        <row r="6214">
          <cell r="A6214">
            <v>131794</v>
          </cell>
          <cell r="BB6214">
            <v>1</v>
          </cell>
        </row>
        <row r="6215">
          <cell r="A6215">
            <v>131795</v>
          </cell>
          <cell r="BB6215">
            <v>1</v>
          </cell>
        </row>
        <row r="6216">
          <cell r="A6216">
            <v>131796</v>
          </cell>
          <cell r="BB6216">
            <v>1</v>
          </cell>
        </row>
        <row r="6217">
          <cell r="A6217">
            <v>131797</v>
          </cell>
          <cell r="BB6217">
            <v>1</v>
          </cell>
        </row>
        <row r="6218">
          <cell r="A6218">
            <v>131798</v>
          </cell>
          <cell r="BB6218">
            <v>1</v>
          </cell>
        </row>
        <row r="6219">
          <cell r="A6219">
            <v>131799</v>
          </cell>
          <cell r="BB6219">
            <v>1</v>
          </cell>
        </row>
        <row r="6220">
          <cell r="A6220">
            <v>131800</v>
          </cell>
          <cell r="BB6220">
            <v>1</v>
          </cell>
        </row>
        <row r="6221">
          <cell r="A6221">
            <v>131801</v>
          </cell>
          <cell r="BB6221">
            <v>1</v>
          </cell>
        </row>
        <row r="6222">
          <cell r="A6222">
            <v>131802</v>
          </cell>
          <cell r="BB6222">
            <v>1</v>
          </cell>
        </row>
        <row r="6223">
          <cell r="A6223">
            <v>131803</v>
          </cell>
          <cell r="BB6223">
            <v>1</v>
          </cell>
        </row>
        <row r="6224">
          <cell r="A6224">
            <v>131804</v>
          </cell>
          <cell r="BB6224">
            <v>1</v>
          </cell>
        </row>
        <row r="6225">
          <cell r="A6225">
            <v>131805</v>
          </cell>
          <cell r="BB6225">
            <v>1</v>
          </cell>
        </row>
        <row r="6226">
          <cell r="A6226">
            <v>131806</v>
          </cell>
          <cell r="BB6226">
            <v>1</v>
          </cell>
        </row>
        <row r="6227">
          <cell r="A6227">
            <v>131807</v>
          </cell>
          <cell r="BB6227">
            <v>1</v>
          </cell>
        </row>
        <row r="6228">
          <cell r="A6228">
            <v>131808</v>
          </cell>
          <cell r="BB6228">
            <v>1</v>
          </cell>
        </row>
        <row r="6229">
          <cell r="A6229">
            <v>131809</v>
          </cell>
          <cell r="BB6229">
            <v>1</v>
          </cell>
        </row>
        <row r="6230">
          <cell r="A6230">
            <v>131810</v>
          </cell>
          <cell r="BB6230">
            <v>1</v>
          </cell>
        </row>
        <row r="6231">
          <cell r="A6231">
            <v>131811</v>
          </cell>
          <cell r="BB6231">
            <v>1</v>
          </cell>
        </row>
        <row r="6232">
          <cell r="A6232">
            <v>131812</v>
          </cell>
          <cell r="BB6232">
            <v>1</v>
          </cell>
        </row>
        <row r="6233">
          <cell r="A6233">
            <v>131813</v>
          </cell>
          <cell r="BB6233">
            <v>1</v>
          </cell>
        </row>
        <row r="6234">
          <cell r="A6234">
            <v>131814</v>
          </cell>
          <cell r="BB6234">
            <v>1</v>
          </cell>
        </row>
        <row r="6235">
          <cell r="A6235">
            <v>131815</v>
          </cell>
          <cell r="BB6235">
            <v>1</v>
          </cell>
        </row>
        <row r="6236">
          <cell r="A6236">
            <v>131816</v>
          </cell>
          <cell r="BB6236">
            <v>1</v>
          </cell>
        </row>
        <row r="6237">
          <cell r="A6237">
            <v>131817</v>
          </cell>
          <cell r="BB6237">
            <v>1</v>
          </cell>
        </row>
        <row r="6238">
          <cell r="A6238">
            <v>131818</v>
          </cell>
          <cell r="BB6238">
            <v>1</v>
          </cell>
        </row>
        <row r="6239">
          <cell r="A6239">
            <v>131819</v>
          </cell>
          <cell r="BB6239">
            <v>1</v>
          </cell>
        </row>
        <row r="6240">
          <cell r="A6240">
            <v>131820</v>
          </cell>
          <cell r="BB6240">
            <v>1</v>
          </cell>
        </row>
        <row r="6241">
          <cell r="A6241">
            <v>131821</v>
          </cell>
          <cell r="BB6241">
            <v>1</v>
          </cell>
        </row>
        <row r="6242">
          <cell r="A6242">
            <v>131822</v>
          </cell>
          <cell r="BB6242">
            <v>1</v>
          </cell>
        </row>
        <row r="6243">
          <cell r="A6243">
            <v>131823</v>
          </cell>
          <cell r="BB6243">
            <v>1</v>
          </cell>
        </row>
        <row r="6244">
          <cell r="A6244">
            <v>131824</v>
          </cell>
          <cell r="BB6244">
            <v>1</v>
          </cell>
        </row>
        <row r="6245">
          <cell r="A6245">
            <v>131825</v>
          </cell>
          <cell r="BB6245">
            <v>1</v>
          </cell>
        </row>
        <row r="6246">
          <cell r="A6246">
            <v>131826</v>
          </cell>
          <cell r="BB6246">
            <v>1</v>
          </cell>
        </row>
        <row r="6247">
          <cell r="A6247">
            <v>131827</v>
          </cell>
          <cell r="BB6247">
            <v>1</v>
          </cell>
        </row>
        <row r="6248">
          <cell r="A6248">
            <v>131828</v>
          </cell>
          <cell r="BB6248">
            <v>1</v>
          </cell>
        </row>
        <row r="6249">
          <cell r="A6249">
            <v>131829</v>
          </cell>
          <cell r="BB6249">
            <v>1</v>
          </cell>
        </row>
        <row r="6250">
          <cell r="A6250">
            <v>131830</v>
          </cell>
          <cell r="BB6250">
            <v>1</v>
          </cell>
        </row>
        <row r="6251">
          <cell r="A6251">
            <v>131831</v>
          </cell>
          <cell r="BB6251">
            <v>1</v>
          </cell>
        </row>
        <row r="6252">
          <cell r="A6252">
            <v>131832</v>
          </cell>
          <cell r="BB6252">
            <v>1</v>
          </cell>
        </row>
        <row r="6253">
          <cell r="A6253">
            <v>131833</v>
          </cell>
          <cell r="BB6253">
            <v>1</v>
          </cell>
        </row>
        <row r="6254">
          <cell r="A6254">
            <v>131834</v>
          </cell>
          <cell r="BB6254">
            <v>1</v>
          </cell>
        </row>
        <row r="6255">
          <cell r="A6255">
            <v>131835</v>
          </cell>
          <cell r="BB6255">
            <v>1</v>
          </cell>
        </row>
        <row r="6256">
          <cell r="A6256">
            <v>131836</v>
          </cell>
          <cell r="BB6256">
            <v>1</v>
          </cell>
        </row>
        <row r="6257">
          <cell r="A6257">
            <v>131837</v>
          </cell>
          <cell r="BB6257">
            <v>1</v>
          </cell>
        </row>
        <row r="6258">
          <cell r="A6258">
            <v>131838</v>
          </cell>
          <cell r="BB6258">
            <v>1</v>
          </cell>
        </row>
        <row r="6259">
          <cell r="A6259">
            <v>131839</v>
          </cell>
          <cell r="BB6259">
            <v>1</v>
          </cell>
        </row>
        <row r="6260">
          <cell r="A6260">
            <v>131840</v>
          </cell>
          <cell r="BB6260">
            <v>1</v>
          </cell>
        </row>
        <row r="6261">
          <cell r="A6261">
            <v>131841</v>
          </cell>
          <cell r="BB6261">
            <v>1</v>
          </cell>
        </row>
        <row r="6262">
          <cell r="A6262">
            <v>131842</v>
          </cell>
          <cell r="BB6262">
            <v>1</v>
          </cell>
        </row>
        <row r="6263">
          <cell r="A6263">
            <v>131843</v>
          </cell>
          <cell r="BB6263">
            <v>1</v>
          </cell>
        </row>
        <row r="6264">
          <cell r="A6264">
            <v>131844</v>
          </cell>
          <cell r="BB6264">
            <v>1</v>
          </cell>
        </row>
        <row r="6265">
          <cell r="A6265">
            <v>131845</v>
          </cell>
          <cell r="BB6265">
            <v>1</v>
          </cell>
        </row>
        <row r="6266">
          <cell r="A6266">
            <v>131846</v>
          </cell>
          <cell r="BB6266">
            <v>1</v>
          </cell>
        </row>
        <row r="6267">
          <cell r="A6267">
            <v>131847</v>
          </cell>
          <cell r="BB6267">
            <v>1</v>
          </cell>
        </row>
        <row r="6268">
          <cell r="A6268">
            <v>131848</v>
          </cell>
          <cell r="BB6268">
            <v>1</v>
          </cell>
        </row>
        <row r="6269">
          <cell r="A6269">
            <v>131849</v>
          </cell>
          <cell r="BB6269">
            <v>1</v>
          </cell>
        </row>
        <row r="6270">
          <cell r="A6270">
            <v>131850</v>
          </cell>
          <cell r="BB6270">
            <v>1</v>
          </cell>
        </row>
        <row r="6271">
          <cell r="A6271">
            <v>131851</v>
          </cell>
          <cell r="BB6271">
            <v>1</v>
          </cell>
        </row>
        <row r="6272">
          <cell r="A6272">
            <v>131852</v>
          </cell>
          <cell r="BB6272">
            <v>1</v>
          </cell>
        </row>
        <row r="6273">
          <cell r="A6273">
            <v>131853</v>
          </cell>
          <cell r="BB6273">
            <v>1</v>
          </cell>
        </row>
        <row r="6274">
          <cell r="A6274">
            <v>131854</v>
          </cell>
          <cell r="BB6274">
            <v>1</v>
          </cell>
        </row>
        <row r="6275">
          <cell r="A6275">
            <v>131855</v>
          </cell>
          <cell r="BB6275">
            <v>1</v>
          </cell>
        </row>
        <row r="6276">
          <cell r="A6276">
            <v>131856</v>
          </cell>
          <cell r="BB6276">
            <v>1</v>
          </cell>
        </row>
        <row r="6277">
          <cell r="A6277">
            <v>131857</v>
          </cell>
          <cell r="BB6277">
            <v>1</v>
          </cell>
        </row>
        <row r="6278">
          <cell r="A6278">
            <v>131858</v>
          </cell>
          <cell r="BB6278">
            <v>1</v>
          </cell>
        </row>
        <row r="6279">
          <cell r="A6279">
            <v>131859</v>
          </cell>
          <cell r="BB6279">
            <v>1</v>
          </cell>
        </row>
        <row r="6280">
          <cell r="A6280">
            <v>131860</v>
          </cell>
          <cell r="BB6280">
            <v>1</v>
          </cell>
        </row>
        <row r="6281">
          <cell r="A6281">
            <v>131861</v>
          </cell>
          <cell r="BB6281">
            <v>1</v>
          </cell>
        </row>
        <row r="6282">
          <cell r="A6282">
            <v>131862</v>
          </cell>
          <cell r="BB6282">
            <v>1</v>
          </cell>
        </row>
        <row r="6283">
          <cell r="A6283">
            <v>131863</v>
          </cell>
          <cell r="BB6283">
            <v>1</v>
          </cell>
        </row>
        <row r="6284">
          <cell r="A6284">
            <v>131864</v>
          </cell>
          <cell r="BB6284">
            <v>1</v>
          </cell>
        </row>
        <row r="6285">
          <cell r="A6285">
            <v>131865</v>
          </cell>
          <cell r="BB6285">
            <v>1</v>
          </cell>
        </row>
        <row r="6286">
          <cell r="A6286">
            <v>131866</v>
          </cell>
          <cell r="BB6286">
            <v>1</v>
          </cell>
        </row>
        <row r="6287">
          <cell r="A6287">
            <v>131867</v>
          </cell>
          <cell r="BB6287">
            <v>1</v>
          </cell>
        </row>
        <row r="6288">
          <cell r="A6288">
            <v>131868</v>
          </cell>
          <cell r="BB6288">
            <v>1</v>
          </cell>
        </row>
        <row r="6289">
          <cell r="A6289">
            <v>131869</v>
          </cell>
          <cell r="BB6289">
            <v>1</v>
          </cell>
        </row>
        <row r="6290">
          <cell r="A6290">
            <v>131870</v>
          </cell>
          <cell r="BB6290">
            <v>1</v>
          </cell>
        </row>
        <row r="6291">
          <cell r="A6291">
            <v>131871</v>
          </cell>
          <cell r="BB6291">
            <v>1</v>
          </cell>
        </row>
        <row r="6292">
          <cell r="A6292">
            <v>131872</v>
          </cell>
          <cell r="BB6292">
            <v>1</v>
          </cell>
        </row>
        <row r="6293">
          <cell r="A6293">
            <v>131873</v>
          </cell>
          <cell r="BB6293">
            <v>1</v>
          </cell>
        </row>
        <row r="6294">
          <cell r="A6294">
            <v>131874</v>
          </cell>
          <cell r="BB6294">
            <v>1</v>
          </cell>
        </row>
        <row r="6295">
          <cell r="A6295">
            <v>131875</v>
          </cell>
          <cell r="BB6295">
            <v>1</v>
          </cell>
        </row>
        <row r="6296">
          <cell r="A6296">
            <v>131876</v>
          </cell>
          <cell r="BB6296">
            <v>1</v>
          </cell>
        </row>
        <row r="6297">
          <cell r="A6297">
            <v>131877</v>
          </cell>
          <cell r="BB6297">
            <v>1</v>
          </cell>
        </row>
        <row r="6298">
          <cell r="A6298">
            <v>131878</v>
          </cell>
          <cell r="BB6298">
            <v>1</v>
          </cell>
        </row>
        <row r="6299">
          <cell r="A6299">
            <v>131879</v>
          </cell>
          <cell r="BB6299">
            <v>1</v>
          </cell>
        </row>
        <row r="6300">
          <cell r="A6300">
            <v>131880</v>
          </cell>
          <cell r="BB6300">
            <v>1</v>
          </cell>
        </row>
        <row r="6301">
          <cell r="A6301">
            <v>131881</v>
          </cell>
          <cell r="BB6301">
            <v>1</v>
          </cell>
        </row>
        <row r="6302">
          <cell r="A6302">
            <v>131882</v>
          </cell>
          <cell r="BB6302">
            <v>1</v>
          </cell>
        </row>
        <row r="6303">
          <cell r="A6303">
            <v>131883</v>
          </cell>
          <cell r="BB6303">
            <v>1</v>
          </cell>
        </row>
        <row r="6304">
          <cell r="A6304">
            <v>131884</v>
          </cell>
          <cell r="BB6304">
            <v>1</v>
          </cell>
        </row>
        <row r="6305">
          <cell r="A6305">
            <v>131885</v>
          </cell>
          <cell r="BB6305">
            <v>1</v>
          </cell>
        </row>
        <row r="6306">
          <cell r="A6306">
            <v>131886</v>
          </cell>
          <cell r="BB6306">
            <v>1</v>
          </cell>
        </row>
        <row r="6307">
          <cell r="A6307">
            <v>131887</v>
          </cell>
          <cell r="BB6307">
            <v>1</v>
          </cell>
        </row>
        <row r="6308">
          <cell r="A6308">
            <v>131888</v>
          </cell>
          <cell r="BB6308">
            <v>1</v>
          </cell>
        </row>
        <row r="6309">
          <cell r="A6309">
            <v>131889</v>
          </cell>
          <cell r="BB6309">
            <v>1</v>
          </cell>
        </row>
        <row r="6310">
          <cell r="A6310">
            <v>131890</v>
          </cell>
          <cell r="BB6310">
            <v>1</v>
          </cell>
        </row>
        <row r="6311">
          <cell r="A6311">
            <v>131891</v>
          </cell>
          <cell r="BB6311">
            <v>1</v>
          </cell>
        </row>
        <row r="6312">
          <cell r="A6312">
            <v>131892</v>
          </cell>
          <cell r="BB6312">
            <v>1</v>
          </cell>
        </row>
        <row r="6313">
          <cell r="A6313">
            <v>131893</v>
          </cell>
          <cell r="BB6313">
            <v>1</v>
          </cell>
        </row>
        <row r="6314">
          <cell r="A6314">
            <v>131894</v>
          </cell>
          <cell r="BB6314">
            <v>1</v>
          </cell>
        </row>
        <row r="6315">
          <cell r="A6315">
            <v>131895</v>
          </cell>
          <cell r="BB6315">
            <v>1</v>
          </cell>
        </row>
        <row r="6316">
          <cell r="A6316">
            <v>131896</v>
          </cell>
          <cell r="BB6316">
            <v>1</v>
          </cell>
        </row>
        <row r="6317">
          <cell r="A6317">
            <v>131897</v>
          </cell>
          <cell r="BB6317">
            <v>1</v>
          </cell>
        </row>
        <row r="6318">
          <cell r="A6318">
            <v>131898</v>
          </cell>
          <cell r="BB6318">
            <v>1</v>
          </cell>
        </row>
        <row r="6319">
          <cell r="A6319">
            <v>131899</v>
          </cell>
          <cell r="BB6319">
            <v>1</v>
          </cell>
        </row>
        <row r="6320">
          <cell r="A6320">
            <v>131900</v>
          </cell>
          <cell r="BB6320">
            <v>1</v>
          </cell>
        </row>
        <row r="6321">
          <cell r="A6321">
            <v>131901</v>
          </cell>
          <cell r="BB6321">
            <v>1</v>
          </cell>
        </row>
        <row r="6322">
          <cell r="A6322">
            <v>131902</v>
          </cell>
          <cell r="BB6322">
            <v>1</v>
          </cell>
        </row>
        <row r="6323">
          <cell r="A6323">
            <v>131903</v>
          </cell>
          <cell r="BB6323">
            <v>1</v>
          </cell>
        </row>
        <row r="6324">
          <cell r="A6324">
            <v>131904</v>
          </cell>
          <cell r="BB6324">
            <v>1</v>
          </cell>
        </row>
        <row r="6325">
          <cell r="A6325">
            <v>131905</v>
          </cell>
          <cell r="BB6325">
            <v>1</v>
          </cell>
        </row>
        <row r="6326">
          <cell r="A6326">
            <v>131906</v>
          </cell>
          <cell r="BB6326">
            <v>1</v>
          </cell>
        </row>
        <row r="6327">
          <cell r="A6327">
            <v>131907</v>
          </cell>
          <cell r="BB6327">
            <v>1</v>
          </cell>
        </row>
        <row r="6328">
          <cell r="A6328">
            <v>131908</v>
          </cell>
          <cell r="BB6328">
            <v>1</v>
          </cell>
        </row>
        <row r="6329">
          <cell r="A6329">
            <v>131909</v>
          </cell>
          <cell r="BB6329">
            <v>1</v>
          </cell>
        </row>
        <row r="6330">
          <cell r="A6330">
            <v>131910</v>
          </cell>
          <cell r="BB6330">
            <v>1</v>
          </cell>
        </row>
        <row r="6331">
          <cell r="A6331">
            <v>131911</v>
          </cell>
          <cell r="BB6331">
            <v>1</v>
          </cell>
        </row>
        <row r="6332">
          <cell r="A6332">
            <v>131912</v>
          </cell>
          <cell r="BB6332">
            <v>1</v>
          </cell>
        </row>
        <row r="6333">
          <cell r="A6333">
            <v>131913</v>
          </cell>
          <cell r="BB6333">
            <v>1</v>
          </cell>
        </row>
        <row r="6334">
          <cell r="A6334">
            <v>131914</v>
          </cell>
          <cell r="BB6334">
            <v>1</v>
          </cell>
        </row>
        <row r="6335">
          <cell r="A6335">
            <v>131915</v>
          </cell>
          <cell r="BB6335">
            <v>1</v>
          </cell>
        </row>
        <row r="6336">
          <cell r="A6336">
            <v>131916</v>
          </cell>
          <cell r="BB6336">
            <v>1</v>
          </cell>
        </row>
        <row r="6337">
          <cell r="A6337">
            <v>131917</v>
          </cell>
          <cell r="BB6337">
            <v>1</v>
          </cell>
        </row>
        <row r="6338">
          <cell r="A6338">
            <v>131918</v>
          </cell>
          <cell r="BB6338">
            <v>1</v>
          </cell>
        </row>
        <row r="6339">
          <cell r="A6339">
            <v>131919</v>
          </cell>
          <cell r="BB6339">
            <v>1</v>
          </cell>
        </row>
        <row r="6340">
          <cell r="A6340">
            <v>131920</v>
          </cell>
          <cell r="BB6340">
            <v>1</v>
          </cell>
        </row>
        <row r="6341">
          <cell r="A6341">
            <v>131921</v>
          </cell>
          <cell r="BB6341">
            <v>1</v>
          </cell>
        </row>
        <row r="6342">
          <cell r="A6342">
            <v>131922</v>
          </cell>
          <cell r="BB6342">
            <v>1</v>
          </cell>
        </row>
        <row r="6343">
          <cell r="A6343">
            <v>131923</v>
          </cell>
          <cell r="BB6343">
            <v>1</v>
          </cell>
        </row>
        <row r="6344">
          <cell r="A6344">
            <v>131924</v>
          </cell>
          <cell r="BB6344">
            <v>1</v>
          </cell>
        </row>
        <row r="6345">
          <cell r="A6345">
            <v>131925</v>
          </cell>
          <cell r="BB6345">
            <v>1</v>
          </cell>
        </row>
        <row r="6346">
          <cell r="A6346">
            <v>199995</v>
          </cell>
          <cell r="BB6346">
            <v>2</v>
          </cell>
        </row>
        <row r="6347">
          <cell r="A6347">
            <v>199996</v>
          </cell>
          <cell r="BB6347">
            <v>2</v>
          </cell>
        </row>
        <row r="6348">
          <cell r="A6348">
            <v>199997</v>
          </cell>
          <cell r="BB6348">
            <v>2</v>
          </cell>
        </row>
        <row r="6349">
          <cell r="A6349">
            <v>199998</v>
          </cell>
          <cell r="BB6349">
            <v>1</v>
          </cell>
        </row>
        <row r="6350">
          <cell r="A6350">
            <v>199999</v>
          </cell>
          <cell r="BB6350">
            <v>2</v>
          </cell>
        </row>
        <row r="6351">
          <cell r="A6351">
            <v>700001</v>
          </cell>
        </row>
        <row r="6352">
          <cell r="A6352">
            <v>700002</v>
          </cell>
        </row>
        <row r="6353">
          <cell r="A6353">
            <v>700003</v>
          </cell>
        </row>
        <row r="6354">
          <cell r="A6354">
            <v>700004</v>
          </cell>
        </row>
        <row r="6355">
          <cell r="A6355">
            <v>700005</v>
          </cell>
        </row>
        <row r="6356">
          <cell r="A6356">
            <v>60015</v>
          </cell>
        </row>
        <row r="6357">
          <cell r="A6357" t="str">
            <v>200001</v>
          </cell>
        </row>
        <row r="6358">
          <cell r="A6358">
            <v>200002</v>
          </cell>
        </row>
        <row r="6359">
          <cell r="A6359">
            <v>200003</v>
          </cell>
        </row>
        <row r="6360">
          <cell r="A6360">
            <v>200004</v>
          </cell>
        </row>
        <row r="6361">
          <cell r="A6361">
            <v>200005</v>
          </cell>
        </row>
        <row r="6362">
          <cell r="A6362">
            <v>200006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config"/>
      <sheetName val="bigmap"/>
      <sheetName val="all"/>
      <sheetName val="计算"/>
      <sheetName val="bigmap大地图"/>
    </sheetNames>
    <definedNames>
      <definedName name="WriteCur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2"/>
  <sheetViews>
    <sheetView topLeftCell="A7" workbookViewId="0">
      <selection activeCell="A39" sqref="A39"/>
    </sheetView>
  </sheetViews>
  <sheetFormatPr defaultRowHeight="13.5"/>
  <cols>
    <col min="1" max="1" width="22" customWidth="1"/>
    <col min="2" max="2" width="15.125" customWidth="1"/>
    <col min="4" max="4" width="9.5" bestFit="1" customWidth="1"/>
  </cols>
  <sheetData>
    <row r="1" spans="1: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</row>
    <row r="2" spans="1:7">
      <c r="A2" s="17" t="s">
        <v>40</v>
      </c>
      <c r="B2" s="17" t="s">
        <v>40</v>
      </c>
      <c r="C2" s="16"/>
      <c r="D2" s="16"/>
      <c r="E2" s="16"/>
      <c r="F2" s="16"/>
      <c r="G2" s="16" t="s">
        <v>3</v>
      </c>
    </row>
    <row r="3" spans="1:7">
      <c r="A3" t="s">
        <v>416</v>
      </c>
      <c r="B3" t="s">
        <v>417</v>
      </c>
      <c r="G3" s="16" t="s">
        <v>339</v>
      </c>
    </row>
    <row r="4" spans="1:7">
      <c r="A4" s="17" t="s">
        <v>42</v>
      </c>
      <c r="B4" s="17" t="s">
        <v>42</v>
      </c>
      <c r="C4" s="16"/>
      <c r="D4" s="16"/>
      <c r="E4" s="16"/>
      <c r="F4" s="16"/>
      <c r="G4" s="16" t="s">
        <v>3</v>
      </c>
    </row>
    <row r="5" spans="1:7">
      <c r="A5" s="17" t="s">
        <v>43</v>
      </c>
      <c r="B5" s="17" t="s">
        <v>43</v>
      </c>
      <c r="C5" s="16">
        <v>1</v>
      </c>
      <c r="D5" s="16" t="s">
        <v>5</v>
      </c>
      <c r="E5" s="16"/>
      <c r="F5" s="16"/>
      <c r="G5" s="16" t="s">
        <v>3</v>
      </c>
    </row>
    <row r="6" spans="1:7">
      <c r="A6" s="17" t="s">
        <v>44</v>
      </c>
      <c r="B6" s="17" t="s">
        <v>44</v>
      </c>
      <c r="C6" s="16">
        <v>1</v>
      </c>
      <c r="D6" s="16" t="s">
        <v>5</v>
      </c>
      <c r="E6" s="16"/>
      <c r="F6" s="16"/>
      <c r="G6" s="16" t="s">
        <v>3</v>
      </c>
    </row>
    <row r="7" spans="1:7">
      <c r="A7" s="17" t="s">
        <v>49</v>
      </c>
      <c r="B7" s="17" t="s">
        <v>49</v>
      </c>
      <c r="C7" s="16"/>
      <c r="D7" s="16"/>
      <c r="E7" s="16"/>
      <c r="F7" s="16"/>
      <c r="G7" s="16" t="s">
        <v>3</v>
      </c>
    </row>
    <row r="8" spans="1:7">
      <c r="A8" s="17" t="s">
        <v>55</v>
      </c>
      <c r="B8" s="17" t="s">
        <v>55</v>
      </c>
      <c r="C8" s="16"/>
      <c r="D8" s="16"/>
      <c r="E8" s="16"/>
      <c r="F8" s="16"/>
      <c r="G8" s="16" t="s">
        <v>3</v>
      </c>
    </row>
    <row r="9" spans="1:7">
      <c r="A9" s="17" t="s">
        <v>51</v>
      </c>
      <c r="B9" s="17" t="s">
        <v>51</v>
      </c>
      <c r="C9" s="16">
        <v>2</v>
      </c>
      <c r="D9" s="16" t="s">
        <v>6</v>
      </c>
      <c r="E9" s="16" t="s">
        <v>58</v>
      </c>
      <c r="F9" s="16"/>
      <c r="G9" s="16" t="s">
        <v>3</v>
      </c>
    </row>
    <row r="10" spans="1:7">
      <c r="A10" s="16" t="s">
        <v>104</v>
      </c>
      <c r="B10" s="16" t="s">
        <v>104</v>
      </c>
      <c r="C10" s="16"/>
      <c r="D10" s="16"/>
      <c r="E10" s="16"/>
      <c r="F10" s="16"/>
      <c r="G10" s="16" t="s">
        <v>3</v>
      </c>
    </row>
    <row r="11" spans="1:7">
      <c r="A11" s="16" t="s">
        <v>110</v>
      </c>
      <c r="B11" s="16" t="s">
        <v>110</v>
      </c>
      <c r="C11" s="16"/>
      <c r="D11" s="16"/>
      <c r="E11" s="16"/>
      <c r="F11" s="16"/>
      <c r="G11" s="16" t="s">
        <v>3</v>
      </c>
    </row>
    <row r="12" spans="1:7">
      <c r="A12" s="16" t="s">
        <v>56</v>
      </c>
      <c r="B12" s="16"/>
      <c r="C12" s="16"/>
      <c r="D12" s="16"/>
      <c r="E12" s="16"/>
      <c r="F12" s="16"/>
      <c r="G12" s="16" t="s">
        <v>4</v>
      </c>
    </row>
    <row r="13" spans="1:7">
      <c r="A13" s="16" t="s">
        <v>121</v>
      </c>
      <c r="B13" s="16" t="s">
        <v>121</v>
      </c>
      <c r="C13" s="16">
        <v>2</v>
      </c>
      <c r="D13" s="16" t="s">
        <v>122</v>
      </c>
      <c r="E13" s="16" t="s">
        <v>123</v>
      </c>
      <c r="F13" s="16"/>
      <c r="G13" s="16" t="s">
        <v>3</v>
      </c>
    </row>
    <row r="14" spans="1:7">
      <c r="A14" s="16" t="s">
        <v>124</v>
      </c>
      <c r="B14" s="16" t="s">
        <v>124</v>
      </c>
      <c r="C14" s="16"/>
      <c r="D14" s="16"/>
      <c r="E14" s="16"/>
      <c r="F14" s="16"/>
      <c r="G14" s="16" t="s">
        <v>3</v>
      </c>
    </row>
    <row r="15" spans="1:7">
      <c r="A15" s="17" t="s">
        <v>224</v>
      </c>
      <c r="B15" s="16" t="s">
        <v>226</v>
      </c>
      <c r="C15" s="16"/>
      <c r="D15" s="16"/>
      <c r="E15" s="16"/>
      <c r="F15" s="16"/>
      <c r="G15" s="16" t="s">
        <v>3</v>
      </c>
    </row>
    <row r="16" spans="1:7">
      <c r="A16" s="26" t="s">
        <v>166</v>
      </c>
      <c r="B16" s="26" t="s">
        <v>166</v>
      </c>
      <c r="C16" s="16"/>
      <c r="D16" s="16"/>
      <c r="E16" s="16"/>
      <c r="F16" s="16"/>
      <c r="G16" s="16" t="s">
        <v>3</v>
      </c>
    </row>
    <row r="17" spans="1:7">
      <c r="A17" s="31" t="s">
        <v>167</v>
      </c>
      <c r="B17" s="31" t="s">
        <v>167</v>
      </c>
      <c r="G17" s="16" t="s">
        <v>3</v>
      </c>
    </row>
    <row r="18" spans="1:7">
      <c r="A18" s="31" t="s">
        <v>168</v>
      </c>
      <c r="B18" s="31" t="s">
        <v>168</v>
      </c>
      <c r="G18" s="16" t="s">
        <v>3</v>
      </c>
    </row>
    <row r="19" spans="1:7">
      <c r="A19" s="31" t="s">
        <v>169</v>
      </c>
      <c r="B19" s="31" t="s">
        <v>169</v>
      </c>
      <c r="G19" s="16" t="s">
        <v>3</v>
      </c>
    </row>
    <row r="20" spans="1:7">
      <c r="A20" s="31" t="s">
        <v>170</v>
      </c>
      <c r="B20" s="31" t="s">
        <v>170</v>
      </c>
      <c r="C20" s="16"/>
      <c r="D20" s="16"/>
      <c r="E20" s="16"/>
      <c r="F20" s="16"/>
      <c r="G20" s="16" t="s">
        <v>3</v>
      </c>
    </row>
    <row r="21" spans="1:7">
      <c r="A21" s="31" t="s">
        <v>171</v>
      </c>
      <c r="B21" s="31" t="s">
        <v>171</v>
      </c>
      <c r="C21" s="16"/>
      <c r="D21" s="16"/>
      <c r="E21" s="16"/>
      <c r="F21" s="16"/>
      <c r="G21" s="16" t="s">
        <v>3</v>
      </c>
    </row>
    <row r="22" spans="1:7">
      <c r="A22" s="31" t="s">
        <v>172</v>
      </c>
      <c r="B22" s="31" t="s">
        <v>172</v>
      </c>
      <c r="C22" s="16"/>
      <c r="D22" s="16"/>
      <c r="E22" s="16"/>
      <c r="F22" s="16"/>
      <c r="G22" s="16" t="s">
        <v>3</v>
      </c>
    </row>
    <row r="23" spans="1:7">
      <c r="A23" s="31" t="s">
        <v>173</v>
      </c>
      <c r="B23" s="31" t="s">
        <v>173</v>
      </c>
      <c r="C23" s="16"/>
      <c r="D23" s="16"/>
      <c r="E23" s="16"/>
      <c r="F23" s="16"/>
      <c r="G23" s="16" t="s">
        <v>3</v>
      </c>
    </row>
    <row r="24" spans="1:7">
      <c r="A24" s="31" t="s">
        <v>174</v>
      </c>
      <c r="B24" s="31" t="s">
        <v>174</v>
      </c>
      <c r="G24" s="16" t="s">
        <v>3</v>
      </c>
    </row>
    <row r="25" spans="1:7">
      <c r="A25" s="31" t="s">
        <v>175</v>
      </c>
      <c r="B25" s="31" t="s">
        <v>175</v>
      </c>
      <c r="G25" s="16" t="s">
        <v>3</v>
      </c>
    </row>
    <row r="26" spans="1:7">
      <c r="A26" s="31" t="s">
        <v>176</v>
      </c>
      <c r="B26" s="31" t="s">
        <v>176</v>
      </c>
      <c r="G26" s="16" t="s">
        <v>3</v>
      </c>
    </row>
    <row r="27" spans="1:7">
      <c r="A27" s="31" t="s">
        <v>177</v>
      </c>
      <c r="B27" s="31" t="s">
        <v>177</v>
      </c>
      <c r="G27" s="16" t="s">
        <v>3</v>
      </c>
    </row>
    <row r="28" spans="1:7">
      <c r="A28" s="31" t="s">
        <v>178</v>
      </c>
      <c r="B28" s="31" t="s">
        <v>178</v>
      </c>
      <c r="G28" s="16" t="s">
        <v>3</v>
      </c>
    </row>
    <row r="29" spans="1:7">
      <c r="A29" s="31" t="s">
        <v>179</v>
      </c>
      <c r="B29" s="31" t="s">
        <v>179</v>
      </c>
      <c r="G29" s="16" t="s">
        <v>3</v>
      </c>
    </row>
    <row r="30" spans="1:7">
      <c r="A30" s="33" t="s">
        <v>180</v>
      </c>
      <c r="B30" s="33" t="s">
        <v>180</v>
      </c>
      <c r="G30" s="16" t="s">
        <v>3</v>
      </c>
    </row>
    <row r="31" spans="1:7">
      <c r="A31" s="31" t="s">
        <v>181</v>
      </c>
      <c r="B31" s="31" t="s">
        <v>181</v>
      </c>
      <c r="G31" s="16" t="s">
        <v>3</v>
      </c>
    </row>
    <row r="32" spans="1:7">
      <c r="A32" s="31" t="s">
        <v>182</v>
      </c>
      <c r="B32" s="31" t="s">
        <v>182</v>
      </c>
      <c r="G32" s="16" t="s">
        <v>3</v>
      </c>
    </row>
    <row r="33" spans="1:19">
      <c r="A33" s="34" t="s">
        <v>183</v>
      </c>
      <c r="B33" s="34" t="s">
        <v>183</v>
      </c>
      <c r="G33" s="16" t="s">
        <v>3</v>
      </c>
    </row>
    <row r="34" spans="1:19">
      <c r="A34" s="31" t="s">
        <v>184</v>
      </c>
      <c r="B34" s="31" t="s">
        <v>184</v>
      </c>
      <c r="G34" s="16" t="s">
        <v>3</v>
      </c>
    </row>
    <row r="35" spans="1:19">
      <c r="A35" s="31" t="s">
        <v>185</v>
      </c>
      <c r="B35" s="31" t="s">
        <v>185</v>
      </c>
      <c r="G35" s="16" t="s">
        <v>3</v>
      </c>
    </row>
    <row r="36" spans="1:19">
      <c r="A36" s="31" t="s">
        <v>186</v>
      </c>
      <c r="B36" s="31" t="s">
        <v>186</v>
      </c>
      <c r="G36" s="16" t="s">
        <v>3</v>
      </c>
    </row>
    <row r="37" spans="1:19">
      <c r="A37" s="31" t="s">
        <v>187</v>
      </c>
      <c r="B37" s="31" t="s">
        <v>187</v>
      </c>
      <c r="G37" s="16" t="s">
        <v>3</v>
      </c>
    </row>
    <row r="38" spans="1:19">
      <c r="A38" s="31" t="s">
        <v>188</v>
      </c>
      <c r="B38" s="31" t="s">
        <v>188</v>
      </c>
      <c r="G38" s="16" t="s">
        <v>3</v>
      </c>
      <c r="L38" s="169" t="s">
        <v>16</v>
      </c>
      <c r="M38" s="170"/>
      <c r="N38" s="170"/>
      <c r="O38" s="170"/>
      <c r="P38" s="170"/>
      <c r="Q38" s="170"/>
      <c r="R38" s="171"/>
    </row>
    <row r="39" spans="1:19">
      <c r="A39" s="31" t="s">
        <v>189</v>
      </c>
      <c r="B39" s="31" t="s">
        <v>197</v>
      </c>
      <c r="G39" s="16" t="s">
        <v>3</v>
      </c>
      <c r="L39" s="1" t="s">
        <v>17</v>
      </c>
      <c r="M39" s="1" t="s">
        <v>18</v>
      </c>
      <c r="N39" s="1" t="s">
        <v>28</v>
      </c>
      <c r="O39" s="1" t="s">
        <v>29</v>
      </c>
      <c r="P39" s="1" t="s">
        <v>30</v>
      </c>
      <c r="Q39" s="4"/>
      <c r="R39" s="32" t="s">
        <v>20</v>
      </c>
    </row>
    <row r="40" spans="1:19">
      <c r="A40" s="31" t="s">
        <v>190</v>
      </c>
      <c r="B40" s="31" t="s">
        <v>190</v>
      </c>
      <c r="G40" s="16" t="s">
        <v>3</v>
      </c>
      <c r="L40" s="1" t="s">
        <v>0</v>
      </c>
      <c r="M40" s="1" t="s">
        <v>2</v>
      </c>
      <c r="N40" s="1">
        <v>1</v>
      </c>
      <c r="O40" s="1" t="s">
        <v>26</v>
      </c>
      <c r="P40" s="1" t="s">
        <v>27</v>
      </c>
      <c r="Q40" s="4"/>
      <c r="R40" s="1" t="s">
        <v>3</v>
      </c>
      <c r="S40" s="11" t="s">
        <v>31</v>
      </c>
    </row>
    <row r="41" spans="1:19">
      <c r="A41" s="31" t="s">
        <v>191</v>
      </c>
      <c r="B41" s="31" t="s">
        <v>191</v>
      </c>
      <c r="G41" s="16" t="s">
        <v>3</v>
      </c>
      <c r="L41" s="172" t="s">
        <v>15</v>
      </c>
      <c r="M41" s="173"/>
      <c r="N41" s="173"/>
      <c r="O41" s="173"/>
      <c r="P41" s="173"/>
      <c r="Q41" s="173"/>
      <c r="R41" s="174"/>
    </row>
    <row r="42" spans="1:19">
      <c r="A42" s="31" t="s">
        <v>192</v>
      </c>
      <c r="B42" s="31" t="s">
        <v>192</v>
      </c>
      <c r="G42" s="16" t="s">
        <v>3</v>
      </c>
      <c r="L42" s="2" t="s">
        <v>21</v>
      </c>
      <c r="M42" s="4"/>
      <c r="N42" s="4"/>
      <c r="O42" s="4"/>
      <c r="P42" s="4"/>
      <c r="Q42" s="4"/>
      <c r="R42" s="2" t="s">
        <v>20</v>
      </c>
    </row>
    <row r="43" spans="1:19">
      <c r="A43" s="31" t="s">
        <v>193</v>
      </c>
      <c r="B43" s="31" t="s">
        <v>193</v>
      </c>
      <c r="G43" s="16" t="s">
        <v>3</v>
      </c>
      <c r="L43" s="2" t="s">
        <v>7</v>
      </c>
      <c r="M43" s="4"/>
      <c r="N43" s="4"/>
      <c r="O43" s="4"/>
      <c r="P43" s="4"/>
      <c r="Q43" s="4"/>
      <c r="R43" s="2" t="s">
        <v>4</v>
      </c>
    </row>
    <row r="44" spans="1:19">
      <c r="A44" s="35" t="s">
        <v>198</v>
      </c>
      <c r="B44" s="35" t="s">
        <v>198</v>
      </c>
      <c r="G44" s="16" t="s">
        <v>3</v>
      </c>
      <c r="L44" s="2"/>
      <c r="M44" s="4"/>
      <c r="N44" s="4"/>
      <c r="O44" s="4"/>
      <c r="P44" s="4"/>
      <c r="Q44" s="4"/>
      <c r="R44" s="2"/>
    </row>
    <row r="45" spans="1:19">
      <c r="A45" s="27" t="s">
        <v>194</v>
      </c>
      <c r="B45" s="27" t="s">
        <v>194</v>
      </c>
      <c r="G45" s="16" t="s">
        <v>3</v>
      </c>
      <c r="L45" s="2"/>
      <c r="M45" s="4"/>
      <c r="N45" s="4"/>
      <c r="O45" s="4"/>
      <c r="P45" s="4"/>
      <c r="Q45" s="4"/>
      <c r="R45" s="2"/>
    </row>
    <row r="46" spans="1:19">
      <c r="A46" s="27" t="s">
        <v>195</v>
      </c>
      <c r="B46" s="27" t="s">
        <v>195</v>
      </c>
      <c r="G46" s="16" t="s">
        <v>3</v>
      </c>
      <c r="L46" s="2"/>
      <c r="M46" s="4"/>
      <c r="N46" s="4"/>
      <c r="O46" s="4"/>
      <c r="P46" s="4"/>
      <c r="Q46" s="4"/>
      <c r="R46" s="2"/>
    </row>
    <row r="47" spans="1:19">
      <c r="A47" s="17" t="s">
        <v>207</v>
      </c>
      <c r="B47" s="17" t="s">
        <v>207</v>
      </c>
      <c r="G47" s="16" t="s">
        <v>3</v>
      </c>
      <c r="L47" s="177" t="s">
        <v>14</v>
      </c>
      <c r="M47" s="177"/>
      <c r="N47" s="177"/>
      <c r="O47" s="177"/>
      <c r="P47" s="177"/>
      <c r="Q47" s="177"/>
      <c r="R47" s="177"/>
    </row>
    <row r="48" spans="1:19">
      <c r="A48" s="17" t="s">
        <v>210</v>
      </c>
      <c r="B48" s="17" t="s">
        <v>210</v>
      </c>
      <c r="G48" s="16" t="s">
        <v>3</v>
      </c>
      <c r="L48" s="6" t="s">
        <v>22</v>
      </c>
      <c r="M48" s="5"/>
      <c r="N48" s="5"/>
      <c r="O48" s="5"/>
      <c r="P48" s="5"/>
      <c r="Q48" s="5"/>
      <c r="R48" s="7" t="s">
        <v>25</v>
      </c>
    </row>
    <row r="49" spans="1:18">
      <c r="A49" s="17" t="s">
        <v>208</v>
      </c>
      <c r="B49" s="17" t="s">
        <v>208</v>
      </c>
      <c r="G49" s="16" t="s">
        <v>3</v>
      </c>
      <c r="L49" s="6" t="s">
        <v>1</v>
      </c>
      <c r="M49" s="4"/>
      <c r="N49" s="4"/>
      <c r="O49" s="4"/>
      <c r="P49" s="4"/>
      <c r="Q49" s="4"/>
      <c r="R49" s="6" t="s">
        <v>8</v>
      </c>
    </row>
    <row r="50" spans="1:18">
      <c r="A50" s="17" t="s">
        <v>209</v>
      </c>
      <c r="B50" s="17" t="s">
        <v>209</v>
      </c>
      <c r="G50" s="16" t="s">
        <v>3</v>
      </c>
      <c r="L50" s="178" t="s">
        <v>13</v>
      </c>
      <c r="M50" s="178"/>
      <c r="N50" s="178"/>
      <c r="O50" s="178"/>
      <c r="P50" s="178"/>
      <c r="Q50" s="178"/>
      <c r="R50" s="178"/>
    </row>
    <row r="51" spans="1:18">
      <c r="A51" s="16" t="s">
        <v>265</v>
      </c>
      <c r="B51" s="16" t="s">
        <v>265</v>
      </c>
      <c r="G51" s="16" t="s">
        <v>3</v>
      </c>
      <c r="L51" s="8" t="s">
        <v>23</v>
      </c>
      <c r="M51" s="4"/>
      <c r="N51" s="4"/>
      <c r="O51" s="4"/>
      <c r="P51" s="4"/>
      <c r="Q51" s="4"/>
      <c r="R51" s="9" t="s">
        <v>19</v>
      </c>
    </row>
    <row r="52" spans="1:18">
      <c r="A52" s="17" t="s">
        <v>270</v>
      </c>
      <c r="B52" s="17" t="s">
        <v>270</v>
      </c>
      <c r="C52" s="16"/>
      <c r="D52" s="16"/>
      <c r="E52" s="16"/>
      <c r="F52" s="16"/>
      <c r="G52" s="16" t="s">
        <v>3</v>
      </c>
      <c r="L52" s="8"/>
      <c r="M52" s="4"/>
      <c r="N52" s="4"/>
      <c r="O52" s="4"/>
      <c r="P52" s="4"/>
      <c r="Q52" s="4"/>
      <c r="R52" s="41"/>
    </row>
    <row r="53" spans="1:18">
      <c r="A53" s="17" t="s">
        <v>294</v>
      </c>
      <c r="B53" s="17" t="s">
        <v>294</v>
      </c>
      <c r="C53" s="16"/>
      <c r="D53" s="16"/>
      <c r="E53" s="16"/>
      <c r="F53" s="16"/>
      <c r="G53" s="16" t="s">
        <v>3</v>
      </c>
      <c r="L53" s="8" t="s">
        <v>9</v>
      </c>
      <c r="M53" s="4"/>
      <c r="N53" s="4"/>
      <c r="O53" s="4"/>
      <c r="P53" s="4"/>
      <c r="Q53" s="4"/>
      <c r="R53" s="8" t="s">
        <v>10</v>
      </c>
    </row>
    <row r="54" spans="1:18">
      <c r="A54" s="17" t="s">
        <v>40</v>
      </c>
      <c r="B54" s="16"/>
      <c r="C54" s="16"/>
      <c r="D54" s="16"/>
      <c r="E54" s="16"/>
      <c r="F54" s="16"/>
      <c r="G54" s="16" t="s">
        <v>8</v>
      </c>
      <c r="L54" s="179" t="s">
        <v>12</v>
      </c>
      <c r="M54" s="179"/>
      <c r="N54" s="179"/>
      <c r="O54" s="179"/>
      <c r="P54" s="179"/>
      <c r="Q54" s="179"/>
      <c r="R54" s="179"/>
    </row>
    <row r="55" spans="1:18">
      <c r="A55" s="38" t="s">
        <v>11</v>
      </c>
      <c r="B55" s="5"/>
      <c r="C55" s="5"/>
      <c r="D55" s="5"/>
      <c r="E55" s="5"/>
      <c r="F55" s="5"/>
      <c r="G55" s="38" t="s">
        <v>11</v>
      </c>
      <c r="L55" s="3" t="s">
        <v>24</v>
      </c>
      <c r="M55" s="4"/>
      <c r="N55" s="4"/>
      <c r="O55" s="4"/>
      <c r="P55" s="4"/>
      <c r="Q55" s="4"/>
      <c r="R55" s="10" t="s">
        <v>25</v>
      </c>
    </row>
    <row r="56" spans="1:18">
      <c r="A56" s="37" t="s">
        <v>57</v>
      </c>
      <c r="B56" s="37"/>
      <c r="C56" s="37"/>
      <c r="D56" s="37"/>
      <c r="E56" s="37"/>
      <c r="F56" s="37"/>
      <c r="G56" s="37" t="s">
        <v>32</v>
      </c>
      <c r="L56" s="3" t="s">
        <v>11</v>
      </c>
      <c r="M56" s="4"/>
      <c r="N56" s="4"/>
      <c r="O56" s="4"/>
      <c r="P56" s="4"/>
      <c r="Q56" s="4"/>
      <c r="R56" s="3" t="s">
        <v>11</v>
      </c>
    </row>
    <row r="57" spans="1:18">
      <c r="L57" s="176" t="s">
        <v>34</v>
      </c>
      <c r="M57" s="176"/>
      <c r="N57" s="176"/>
      <c r="O57" s="176"/>
      <c r="P57" s="176"/>
      <c r="Q57" s="176"/>
      <c r="R57" s="176"/>
    </row>
    <row r="58" spans="1:18">
      <c r="L58" s="12" t="s">
        <v>35</v>
      </c>
      <c r="M58" s="12"/>
      <c r="N58" s="12"/>
      <c r="O58" s="12"/>
      <c r="P58" s="12"/>
      <c r="Q58" s="12"/>
      <c r="R58" s="13" t="s">
        <v>20</v>
      </c>
    </row>
    <row r="59" spans="1:18">
      <c r="L59" s="12" t="s">
        <v>33</v>
      </c>
      <c r="M59" s="12"/>
      <c r="N59" s="12"/>
      <c r="O59" s="12"/>
      <c r="P59" s="12"/>
      <c r="Q59" s="12"/>
      <c r="R59" s="12" t="s">
        <v>32</v>
      </c>
    </row>
    <row r="60" spans="1:18">
      <c r="L60" s="175" t="s">
        <v>39</v>
      </c>
      <c r="M60" s="175"/>
      <c r="N60" s="175"/>
      <c r="O60" s="175"/>
      <c r="P60" s="175"/>
      <c r="Q60" s="175"/>
      <c r="R60" s="175"/>
    </row>
    <row r="61" spans="1:18">
      <c r="L61" s="14" t="s">
        <v>23</v>
      </c>
      <c r="M61" s="14"/>
      <c r="N61" s="14"/>
      <c r="O61" s="14"/>
      <c r="P61" s="14"/>
      <c r="Q61" s="14"/>
      <c r="R61" s="14" t="s">
        <v>38</v>
      </c>
    </row>
    <row r="62" spans="1:18">
      <c r="L62" s="14" t="s">
        <v>36</v>
      </c>
      <c r="M62" s="14"/>
      <c r="N62" s="14"/>
      <c r="O62" s="14"/>
      <c r="P62" s="14"/>
      <c r="Q62" s="14"/>
      <c r="R62" s="14" t="s">
        <v>37</v>
      </c>
    </row>
  </sheetData>
  <mergeCells count="7">
    <mergeCell ref="L38:R38"/>
    <mergeCell ref="L41:R41"/>
    <mergeCell ref="L60:R60"/>
    <mergeCell ref="L57:R57"/>
    <mergeCell ref="L47:R47"/>
    <mergeCell ref="L50:R50"/>
    <mergeCell ref="L54:R54"/>
  </mergeCells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C33"/>
  <sheetViews>
    <sheetView zoomScaleNormal="100" workbookViewId="0">
      <pane xSplit="3" ySplit="28" topLeftCell="D30" activePane="bottomRight" state="frozen"/>
      <selection pane="topRight" activeCell="D1" sqref="D1"/>
      <selection pane="bottomLeft" activeCell="A29" sqref="A29"/>
      <selection pane="bottomRight" activeCell="E19" sqref="E19"/>
    </sheetView>
  </sheetViews>
  <sheetFormatPr defaultRowHeight="11.25"/>
  <cols>
    <col min="1" max="1" width="3.5" style="45" bestFit="1" customWidth="1"/>
    <col min="2" max="2" width="11" style="45" bestFit="1" customWidth="1"/>
    <col min="3" max="3" width="6.875" style="45" customWidth="1"/>
    <col min="4" max="4" width="46.25" style="45" customWidth="1"/>
    <col min="5" max="5" width="31" style="45" customWidth="1"/>
    <col min="6" max="6" width="13.375" style="45" bestFit="1" customWidth="1"/>
    <col min="7" max="7" width="5.75" style="45" bestFit="1" customWidth="1"/>
    <col min="8" max="8" width="10.25" style="45" bestFit="1" customWidth="1"/>
    <col min="9" max="9" width="9.5" style="45" bestFit="1" customWidth="1"/>
    <col min="10" max="10" width="18.375" style="45" customWidth="1"/>
    <col min="11" max="11" width="14.25" style="45" bestFit="1" customWidth="1"/>
    <col min="12" max="12" width="15" style="45" bestFit="1" customWidth="1"/>
    <col min="13" max="13" width="9.5" style="45" customWidth="1"/>
    <col min="14" max="14" width="5.5" style="45" customWidth="1"/>
    <col min="15" max="15" width="12.5" style="45" bestFit="1" customWidth="1"/>
    <col min="16" max="16" width="14.25" style="45" bestFit="1" customWidth="1"/>
    <col min="17" max="17" width="38" style="45" bestFit="1" customWidth="1"/>
    <col min="18" max="18" width="15.875" style="45" bestFit="1" customWidth="1"/>
    <col min="19" max="19" width="9.125" style="45" customWidth="1"/>
    <col min="20" max="20" width="10" style="45" customWidth="1"/>
    <col min="21" max="21" width="12.75" style="45" bestFit="1" customWidth="1"/>
    <col min="22" max="22" width="11.625" style="115" bestFit="1" customWidth="1"/>
    <col min="23" max="23" width="20.375" style="115" customWidth="1"/>
    <col min="24" max="24" width="13.25" style="115" bestFit="1" customWidth="1"/>
    <col min="25" max="25" width="5.5" style="45" customWidth="1"/>
    <col min="26" max="26" width="5.25" style="45" bestFit="1" customWidth="1"/>
    <col min="27" max="28" width="6.875" style="45" bestFit="1" customWidth="1"/>
    <col min="29" max="30" width="6.125" style="45" bestFit="1" customWidth="1"/>
    <col min="31" max="31" width="9.125" style="45" bestFit="1" customWidth="1"/>
    <col min="32" max="32" width="9.125" style="45" customWidth="1"/>
    <col min="33" max="37" width="5.75" style="45" customWidth="1"/>
    <col min="38" max="38" width="10.5" style="45" customWidth="1"/>
    <col min="39" max="39" width="5.5" style="45" customWidth="1"/>
    <col min="40" max="40" width="16.875" style="45" customWidth="1"/>
    <col min="41" max="41" width="14.375" style="45" customWidth="1"/>
    <col min="42" max="42" width="5.875" style="45" customWidth="1"/>
    <col min="43" max="44" width="10.125" style="45" customWidth="1"/>
    <col min="45" max="45" width="10" style="45" customWidth="1"/>
    <col min="46" max="46" width="8.375" style="45" customWidth="1"/>
    <col min="47" max="47" width="14.125" style="45" customWidth="1"/>
    <col min="48" max="48" width="6.875" style="45" customWidth="1"/>
    <col min="49" max="49" width="6.125" style="45" customWidth="1"/>
    <col min="50" max="50" width="12.5" style="45" customWidth="1"/>
    <col min="51" max="51" width="8.75" style="45" customWidth="1"/>
    <col min="52" max="52" width="3.25" style="45" customWidth="1"/>
    <col min="53" max="54" width="8.375" style="45" customWidth="1"/>
    <col min="55" max="55" width="11.75" style="45" bestFit="1" customWidth="1"/>
    <col min="56" max="56" width="18.375" style="45" customWidth="1"/>
    <col min="57" max="57" width="9" style="45" bestFit="1" customWidth="1"/>
    <col min="58" max="58" width="13" style="45" bestFit="1" customWidth="1"/>
    <col min="59" max="60" width="11.375" style="45" bestFit="1" customWidth="1"/>
    <col min="61" max="61" width="13.875" style="45" bestFit="1" customWidth="1"/>
    <col min="62" max="62" width="10.5" style="46" bestFit="1" customWidth="1"/>
    <col min="63" max="63" width="9.75" style="45" bestFit="1" customWidth="1"/>
    <col min="64" max="64" width="8.25" style="45" bestFit="1" customWidth="1"/>
    <col min="65" max="65" width="11.375" style="45" bestFit="1" customWidth="1"/>
    <col min="66" max="66" width="9.75" style="45" bestFit="1" customWidth="1"/>
    <col min="67" max="67" width="14.75" style="45" bestFit="1" customWidth="1"/>
    <col min="68" max="69" width="12.25" style="45" bestFit="1" customWidth="1"/>
    <col min="70" max="70" width="14.75" style="45" bestFit="1" customWidth="1"/>
    <col min="71" max="71" width="13" style="45" bestFit="1" customWidth="1"/>
    <col min="72" max="72" width="10.5" style="45" bestFit="1" customWidth="1"/>
    <col min="73" max="73" width="9.75" style="45" bestFit="1" customWidth="1"/>
    <col min="74" max="74" width="19.75" style="45" bestFit="1" customWidth="1"/>
    <col min="75" max="75" width="82.125" style="45" bestFit="1" customWidth="1"/>
    <col min="76" max="76" width="6.75" style="45" bestFit="1" customWidth="1"/>
    <col min="77" max="77" width="6" style="45" bestFit="1" customWidth="1"/>
    <col min="78" max="78" width="6.75" style="45" bestFit="1" customWidth="1"/>
    <col min="79" max="79" width="13.875" style="45" bestFit="1" customWidth="1"/>
    <col min="80" max="80" width="9" style="45"/>
    <col min="81" max="81" width="6" style="45" bestFit="1" customWidth="1"/>
    <col min="82" max="16384" width="9" style="45"/>
  </cols>
  <sheetData>
    <row r="1" spans="1:81">
      <c r="A1" s="116" t="s">
        <v>40</v>
      </c>
      <c r="B1" s="116" t="s">
        <v>41</v>
      </c>
      <c r="C1" s="116" t="s">
        <v>42</v>
      </c>
      <c r="D1" s="116" t="s">
        <v>244</v>
      </c>
      <c r="E1" s="116" t="s">
        <v>43</v>
      </c>
      <c r="F1" s="116" t="s">
        <v>44</v>
      </c>
      <c r="G1" s="116" t="s">
        <v>45</v>
      </c>
      <c r="H1" s="31" t="s">
        <v>46</v>
      </c>
      <c r="I1" s="31" t="s">
        <v>47</v>
      </c>
      <c r="J1" s="31" t="s">
        <v>48</v>
      </c>
      <c r="K1" s="116" t="s">
        <v>49</v>
      </c>
      <c r="L1" s="116" t="s">
        <v>50</v>
      </c>
      <c r="M1" s="116" t="s">
        <v>51</v>
      </c>
      <c r="N1" s="116" t="s">
        <v>52</v>
      </c>
      <c r="O1" s="116" t="s">
        <v>104</v>
      </c>
      <c r="P1" s="116" t="s">
        <v>110</v>
      </c>
      <c r="Q1" s="116" t="s">
        <v>119</v>
      </c>
      <c r="R1" s="116" t="s">
        <v>124</v>
      </c>
      <c r="S1" s="31" t="s">
        <v>143</v>
      </c>
      <c r="T1" s="26" t="s">
        <v>166</v>
      </c>
      <c r="U1" s="51" t="s">
        <v>161</v>
      </c>
      <c r="V1" s="36" t="s">
        <v>162</v>
      </c>
      <c r="W1" s="36" t="s">
        <v>164</v>
      </c>
      <c r="X1" s="36" t="s">
        <v>165</v>
      </c>
      <c r="Y1" s="31" t="s">
        <v>167</v>
      </c>
      <c r="Z1" s="31" t="s">
        <v>168</v>
      </c>
      <c r="AA1" s="31" t="s">
        <v>169</v>
      </c>
      <c r="AB1" s="31" t="s">
        <v>170</v>
      </c>
      <c r="AC1" s="31" t="s">
        <v>171</v>
      </c>
      <c r="AD1" s="31" t="s">
        <v>172</v>
      </c>
      <c r="AE1" s="31" t="s">
        <v>173</v>
      </c>
      <c r="AF1" s="31" t="s">
        <v>174</v>
      </c>
      <c r="AG1" s="31" t="s">
        <v>175</v>
      </c>
      <c r="AH1" s="31" t="s">
        <v>176</v>
      </c>
      <c r="AI1" s="31" t="s">
        <v>177</v>
      </c>
      <c r="AJ1" s="31" t="s">
        <v>178</v>
      </c>
      <c r="AK1" s="31" t="s">
        <v>179</v>
      </c>
      <c r="AL1" s="51" t="s">
        <v>180</v>
      </c>
      <c r="AM1" s="31" t="s">
        <v>181</v>
      </c>
      <c r="AN1" s="31" t="s">
        <v>182</v>
      </c>
      <c r="AO1" s="26" t="s">
        <v>183</v>
      </c>
      <c r="AP1" s="31" t="s">
        <v>184</v>
      </c>
      <c r="AQ1" s="31" t="s">
        <v>185</v>
      </c>
      <c r="AR1" s="31" t="s">
        <v>186</v>
      </c>
      <c r="AS1" s="31" t="s">
        <v>187</v>
      </c>
      <c r="AT1" s="31" t="s">
        <v>188</v>
      </c>
      <c r="AU1" s="31" t="s">
        <v>189</v>
      </c>
      <c r="AV1" s="31" t="s">
        <v>190</v>
      </c>
      <c r="AW1" s="31" t="s">
        <v>191</v>
      </c>
      <c r="AX1" s="31" t="s">
        <v>192</v>
      </c>
      <c r="AY1" s="31" t="s">
        <v>193</v>
      </c>
      <c r="AZ1" s="31" t="s">
        <v>198</v>
      </c>
      <c r="BA1" s="26" t="s">
        <v>194</v>
      </c>
      <c r="BB1" s="26" t="s">
        <v>195</v>
      </c>
      <c r="BC1" s="116" t="s">
        <v>202</v>
      </c>
      <c r="BE1" s="45" t="s">
        <v>204</v>
      </c>
      <c r="BF1" s="45" t="s">
        <v>207</v>
      </c>
      <c r="BG1" s="45" t="s">
        <v>210</v>
      </c>
      <c r="BH1" s="45" t="s">
        <v>208</v>
      </c>
      <c r="BI1" s="45" t="s">
        <v>209</v>
      </c>
      <c r="BJ1" s="46" t="s">
        <v>213</v>
      </c>
      <c r="BK1" s="51" t="s">
        <v>154</v>
      </c>
      <c r="BL1" s="51" t="s">
        <v>215</v>
      </c>
      <c r="BM1" s="31" t="s">
        <v>160</v>
      </c>
      <c r="BN1" s="45" t="s">
        <v>216</v>
      </c>
      <c r="BO1" s="45" t="s">
        <v>217</v>
      </c>
      <c r="BP1" s="45" t="s">
        <v>218</v>
      </c>
      <c r="BQ1" s="45" t="s">
        <v>219</v>
      </c>
      <c r="BR1" s="45" t="s">
        <v>220</v>
      </c>
      <c r="BS1" s="45" t="s">
        <v>221</v>
      </c>
      <c r="BT1" s="45" t="s">
        <v>224</v>
      </c>
      <c r="BU1" s="45" t="s">
        <v>266</v>
      </c>
      <c r="BV1" s="45" t="s">
        <v>415</v>
      </c>
      <c r="BW1" s="45" t="s">
        <v>430</v>
      </c>
      <c r="BX1" s="45" t="s">
        <v>435</v>
      </c>
      <c r="BY1" s="45" t="s">
        <v>445</v>
      </c>
      <c r="BZ1" s="45" t="s">
        <v>506</v>
      </c>
      <c r="CA1" s="45" t="s">
        <v>504</v>
      </c>
      <c r="CC1" s="45" t="s">
        <v>507</v>
      </c>
    </row>
    <row r="2" spans="1:81" s="73" customFormat="1">
      <c r="A2" s="74">
        <v>1</v>
      </c>
      <c r="B2" s="74" t="s">
        <v>740</v>
      </c>
      <c r="C2" s="117">
        <v>1</v>
      </c>
      <c r="D2" s="74" t="s">
        <v>341</v>
      </c>
      <c r="E2" s="66">
        <v>20020201</v>
      </c>
      <c r="F2" s="74"/>
      <c r="G2" s="74"/>
      <c r="H2" s="67">
        <v>1918</v>
      </c>
      <c r="I2" s="67" t="s">
        <v>231</v>
      </c>
      <c r="J2" s="67" t="s">
        <v>340</v>
      </c>
      <c r="K2" s="67">
        <v>9015</v>
      </c>
      <c r="L2" s="74">
        <v>10</v>
      </c>
      <c r="M2" s="74"/>
      <c r="N2" s="118">
        <v>1</v>
      </c>
      <c r="O2" s="119">
        <v>52425</v>
      </c>
      <c r="P2" s="119">
        <v>6220</v>
      </c>
      <c r="Q2" s="119" t="s">
        <v>714</v>
      </c>
      <c r="R2" s="119">
        <v>64535</v>
      </c>
      <c r="S2" s="69" t="s">
        <v>144</v>
      </c>
      <c r="T2" s="67" t="s">
        <v>492</v>
      </c>
      <c r="U2" s="66">
        <v>20020101</v>
      </c>
      <c r="V2" s="67">
        <v>1</v>
      </c>
      <c r="W2" s="67" t="s">
        <v>567</v>
      </c>
      <c r="X2" s="67" t="s">
        <v>568</v>
      </c>
      <c r="Y2" s="70">
        <v>372</v>
      </c>
      <c r="Z2" s="70">
        <v>124</v>
      </c>
      <c r="AA2" s="70">
        <v>3100</v>
      </c>
      <c r="AB2" s="67">
        <v>0</v>
      </c>
      <c r="AC2" s="70">
        <v>124</v>
      </c>
      <c r="AD2" s="70">
        <v>100</v>
      </c>
      <c r="AE2" s="70">
        <v>620</v>
      </c>
      <c r="AF2" s="67">
        <v>0</v>
      </c>
      <c r="AG2" s="70">
        <v>0</v>
      </c>
      <c r="AH2" s="70">
        <v>0</v>
      </c>
      <c r="AI2" s="70">
        <v>0</v>
      </c>
      <c r="AJ2" s="70">
        <v>0</v>
      </c>
      <c r="AK2" s="70">
        <v>0</v>
      </c>
      <c r="AL2" s="70">
        <v>78</v>
      </c>
      <c r="AM2" s="70">
        <v>78</v>
      </c>
      <c r="AN2" s="70">
        <v>0</v>
      </c>
      <c r="AO2" s="70">
        <v>78</v>
      </c>
      <c r="AP2" s="70">
        <v>775</v>
      </c>
      <c r="AQ2" s="70">
        <v>78</v>
      </c>
      <c r="AR2" s="67">
        <v>78</v>
      </c>
      <c r="AS2" s="70">
        <v>78</v>
      </c>
      <c r="AT2" s="70">
        <v>78</v>
      </c>
      <c r="AU2" s="70">
        <v>78</v>
      </c>
      <c r="AV2" s="67">
        <v>78</v>
      </c>
      <c r="AW2" s="67">
        <v>1</v>
      </c>
      <c r="AX2" s="67">
        <v>5000</v>
      </c>
      <c r="AY2" s="67">
        <v>300</v>
      </c>
      <c r="AZ2" s="67" t="s">
        <v>199</v>
      </c>
      <c r="BA2" s="67" t="s">
        <v>196</v>
      </c>
      <c r="BB2" s="67" t="s">
        <v>196</v>
      </c>
      <c r="BC2" s="74" t="s">
        <v>457</v>
      </c>
      <c r="BD2" s="109"/>
      <c r="BE2" s="73">
        <v>1</v>
      </c>
      <c r="BF2" s="73" t="s">
        <v>263</v>
      </c>
      <c r="BG2" s="73">
        <v>1</v>
      </c>
      <c r="BH2" s="73" t="s">
        <v>212</v>
      </c>
      <c r="BI2" s="73" t="s">
        <v>212</v>
      </c>
      <c r="BJ2" s="73" t="s">
        <v>552</v>
      </c>
      <c r="BK2" s="67" t="s">
        <v>152</v>
      </c>
      <c r="BL2" s="67" t="s">
        <v>152</v>
      </c>
      <c r="BM2" s="74" t="s">
        <v>109</v>
      </c>
      <c r="BN2" s="73" t="s">
        <v>223</v>
      </c>
      <c r="BO2" s="73" t="s">
        <v>489</v>
      </c>
      <c r="BP2" s="73" t="s">
        <v>223</v>
      </c>
      <c r="BQ2" s="73" t="s">
        <v>223</v>
      </c>
      <c r="BR2" s="73" t="s">
        <v>489</v>
      </c>
      <c r="BS2" s="73" t="s">
        <v>223</v>
      </c>
      <c r="BT2" s="73" t="s">
        <v>225</v>
      </c>
      <c r="BU2" s="68" t="str">
        <f>IFERROR(VLOOKUP(U2,[1]skillPerformanceConfig!$A:$O,15,FALSE),3)</f>
        <v>3</v>
      </c>
      <c r="BV2" s="65" t="s">
        <v>744</v>
      </c>
      <c r="BW2" s="68" t="s">
        <v>727</v>
      </c>
      <c r="BX2" s="68">
        <v>1</v>
      </c>
      <c r="BY2" s="68">
        <f>O2</f>
        <v>52425</v>
      </c>
      <c r="BZ2" s="68">
        <v>2</v>
      </c>
      <c r="CA2" s="68">
        <v>2</v>
      </c>
      <c r="CB2" s="68"/>
      <c r="CC2" s="73" t="s">
        <v>508</v>
      </c>
    </row>
    <row r="3" spans="1:81" s="73" customFormat="1">
      <c r="A3" s="74">
        <v>2</v>
      </c>
      <c r="B3" s="74" t="s">
        <v>392</v>
      </c>
      <c r="C3" s="120">
        <v>1</v>
      </c>
      <c r="D3" s="74" t="s">
        <v>355</v>
      </c>
      <c r="E3" s="66">
        <v>20040201</v>
      </c>
      <c r="F3" s="74"/>
      <c r="G3" s="74"/>
      <c r="H3" s="67">
        <v>955</v>
      </c>
      <c r="I3" s="67" t="s">
        <v>231</v>
      </c>
      <c r="J3" s="67" t="s">
        <v>234</v>
      </c>
      <c r="K3" s="67">
        <v>9016</v>
      </c>
      <c r="L3" s="74">
        <v>10</v>
      </c>
      <c r="M3" s="74"/>
      <c r="N3" s="118">
        <v>2</v>
      </c>
      <c r="O3" s="119">
        <v>52425</v>
      </c>
      <c r="P3" s="119">
        <v>6220</v>
      </c>
      <c r="Q3" s="119" t="s">
        <v>714</v>
      </c>
      <c r="R3" s="119">
        <v>64535</v>
      </c>
      <c r="S3" s="69" t="s">
        <v>144</v>
      </c>
      <c r="T3" s="67" t="s">
        <v>492</v>
      </c>
      <c r="U3" s="66">
        <v>20040101</v>
      </c>
      <c r="V3" s="67">
        <v>1</v>
      </c>
      <c r="W3" s="67" t="s">
        <v>555</v>
      </c>
      <c r="X3" s="67" t="s">
        <v>599</v>
      </c>
      <c r="Y3" s="70">
        <v>372</v>
      </c>
      <c r="Z3" s="70">
        <v>124</v>
      </c>
      <c r="AA3" s="70">
        <v>3100</v>
      </c>
      <c r="AB3" s="67">
        <v>0</v>
      </c>
      <c r="AC3" s="70">
        <v>124</v>
      </c>
      <c r="AD3" s="70">
        <v>100</v>
      </c>
      <c r="AE3" s="70">
        <v>620</v>
      </c>
      <c r="AF3" s="67">
        <v>0</v>
      </c>
      <c r="AG3" s="70">
        <v>0</v>
      </c>
      <c r="AH3" s="70">
        <v>0</v>
      </c>
      <c r="AI3" s="70">
        <v>0</v>
      </c>
      <c r="AJ3" s="70">
        <v>0</v>
      </c>
      <c r="AK3" s="70">
        <v>0</v>
      </c>
      <c r="AL3" s="70">
        <v>78</v>
      </c>
      <c r="AM3" s="70">
        <v>78</v>
      </c>
      <c r="AN3" s="70">
        <v>0</v>
      </c>
      <c r="AO3" s="70">
        <v>78</v>
      </c>
      <c r="AP3" s="70">
        <v>775</v>
      </c>
      <c r="AQ3" s="70">
        <v>78</v>
      </c>
      <c r="AR3" s="67">
        <v>78</v>
      </c>
      <c r="AS3" s="70">
        <v>78</v>
      </c>
      <c r="AT3" s="70">
        <v>78</v>
      </c>
      <c r="AU3" s="70">
        <v>78</v>
      </c>
      <c r="AV3" s="67">
        <v>78</v>
      </c>
      <c r="AW3" s="67">
        <v>1</v>
      </c>
      <c r="AX3" s="67">
        <v>5000</v>
      </c>
      <c r="AY3" s="67">
        <v>300</v>
      </c>
      <c r="AZ3" s="67" t="s">
        <v>200</v>
      </c>
      <c r="BA3" s="67" t="s">
        <v>196</v>
      </c>
      <c r="BB3" s="67" t="s">
        <v>196</v>
      </c>
      <c r="BC3" s="74" t="s">
        <v>457</v>
      </c>
      <c r="BD3" s="109"/>
      <c r="BE3" s="73" t="s">
        <v>113</v>
      </c>
      <c r="BF3" s="73" t="s">
        <v>264</v>
      </c>
      <c r="BG3" s="73">
        <v>1</v>
      </c>
      <c r="BH3" s="73" t="s">
        <v>212</v>
      </c>
      <c r="BI3" s="73" t="s">
        <v>212</v>
      </c>
      <c r="BJ3" s="73" t="s">
        <v>253</v>
      </c>
      <c r="BK3" s="67" t="s">
        <v>152</v>
      </c>
      <c r="BL3" s="67" t="s">
        <v>152</v>
      </c>
      <c r="BM3" s="74" t="s">
        <v>109</v>
      </c>
      <c r="BN3" s="73" t="s">
        <v>223</v>
      </c>
      <c r="BO3" s="73" t="s">
        <v>489</v>
      </c>
      <c r="BP3" s="73" t="s">
        <v>223</v>
      </c>
      <c r="BQ3" s="73" t="s">
        <v>223</v>
      </c>
      <c r="BR3" s="73" t="s">
        <v>489</v>
      </c>
      <c r="BS3" s="73" t="s">
        <v>223</v>
      </c>
      <c r="BT3" s="73" t="s">
        <v>225</v>
      </c>
      <c r="BU3" s="68">
        <f>IFERROR(VLOOKUP(U3,[1]skillPerformanceConfig!$A:$O,15,FALSE),3)</f>
        <v>10</v>
      </c>
      <c r="BV3" s="65" t="s">
        <v>368</v>
      </c>
      <c r="BW3" s="68" t="s">
        <v>727</v>
      </c>
      <c r="BX3" s="68">
        <v>2</v>
      </c>
      <c r="BY3" s="68">
        <f t="shared" ref="BY3:BY33" si="0">O3</f>
        <v>52425</v>
      </c>
      <c r="BZ3" s="68">
        <v>2</v>
      </c>
      <c r="CA3" s="68">
        <v>2</v>
      </c>
      <c r="CB3" s="68"/>
      <c r="CC3" s="73" t="s">
        <v>509</v>
      </c>
    </row>
    <row r="4" spans="1:81" s="73" customFormat="1">
      <c r="A4" s="119">
        <v>3</v>
      </c>
      <c r="B4" s="121" t="s">
        <v>393</v>
      </c>
      <c r="C4" s="120">
        <v>1</v>
      </c>
      <c r="D4" s="121" t="s">
        <v>342</v>
      </c>
      <c r="E4" s="72">
        <v>20060201</v>
      </c>
      <c r="F4" s="74"/>
      <c r="G4" s="74"/>
      <c r="H4" s="67">
        <v>953</v>
      </c>
      <c r="I4" s="67" t="s">
        <v>235</v>
      </c>
      <c r="J4" s="67" t="s">
        <v>236</v>
      </c>
      <c r="K4" s="67">
        <v>9017</v>
      </c>
      <c r="L4" s="74">
        <v>10</v>
      </c>
      <c r="M4" s="74"/>
      <c r="N4" s="118">
        <v>3</v>
      </c>
      <c r="O4" s="119">
        <v>57151</v>
      </c>
      <c r="P4" s="119">
        <v>6801</v>
      </c>
      <c r="Q4" s="119" t="s">
        <v>715</v>
      </c>
      <c r="R4" s="119">
        <v>68717</v>
      </c>
      <c r="S4" s="69" t="s">
        <v>144</v>
      </c>
      <c r="T4" s="67" t="s">
        <v>491</v>
      </c>
      <c r="U4" s="66">
        <v>20060101</v>
      </c>
      <c r="V4" s="67">
        <v>1</v>
      </c>
      <c r="W4" s="67" t="s">
        <v>569</v>
      </c>
      <c r="X4" s="67" t="s">
        <v>557</v>
      </c>
      <c r="Y4" s="70">
        <v>406</v>
      </c>
      <c r="Z4" s="70">
        <v>136</v>
      </c>
      <c r="AA4" s="70">
        <v>3376</v>
      </c>
      <c r="AB4" s="67">
        <v>0</v>
      </c>
      <c r="AC4" s="70">
        <v>136</v>
      </c>
      <c r="AD4" s="70">
        <v>109</v>
      </c>
      <c r="AE4" s="70">
        <v>676</v>
      </c>
      <c r="AF4" s="67">
        <v>0</v>
      </c>
      <c r="AG4" s="70">
        <v>0</v>
      </c>
      <c r="AH4" s="70">
        <v>0</v>
      </c>
      <c r="AI4" s="70">
        <v>0</v>
      </c>
      <c r="AJ4" s="70">
        <v>0</v>
      </c>
      <c r="AK4" s="70">
        <v>0</v>
      </c>
      <c r="AL4" s="70">
        <v>85</v>
      </c>
      <c r="AM4" s="70">
        <v>85</v>
      </c>
      <c r="AN4" s="70">
        <v>0</v>
      </c>
      <c r="AO4" s="70">
        <v>85</v>
      </c>
      <c r="AP4" s="70">
        <v>844</v>
      </c>
      <c r="AQ4" s="70">
        <v>85</v>
      </c>
      <c r="AR4" s="67">
        <v>85</v>
      </c>
      <c r="AS4" s="70">
        <v>85</v>
      </c>
      <c r="AT4" s="70">
        <v>85</v>
      </c>
      <c r="AU4" s="70">
        <v>85</v>
      </c>
      <c r="AV4" s="67">
        <v>85</v>
      </c>
      <c r="AW4" s="67">
        <v>1</v>
      </c>
      <c r="AX4" s="67">
        <v>5000</v>
      </c>
      <c r="AY4" s="67">
        <v>300</v>
      </c>
      <c r="AZ4" s="67" t="s">
        <v>201</v>
      </c>
      <c r="BA4" s="67" t="s">
        <v>196</v>
      </c>
      <c r="BB4" s="67" t="s">
        <v>196</v>
      </c>
      <c r="BC4" s="74" t="s">
        <v>458</v>
      </c>
      <c r="BD4" s="109"/>
      <c r="BE4" s="73">
        <v>1</v>
      </c>
      <c r="BF4" s="73" t="s">
        <v>262</v>
      </c>
      <c r="BG4" s="73">
        <v>1</v>
      </c>
      <c r="BH4" s="73" t="s">
        <v>338</v>
      </c>
      <c r="BI4" s="73" t="s">
        <v>338</v>
      </c>
      <c r="BJ4" s="73" t="s">
        <v>254</v>
      </c>
      <c r="BK4" s="67" t="s">
        <v>490</v>
      </c>
      <c r="BL4" s="67" t="s">
        <v>490</v>
      </c>
      <c r="BM4" s="74" t="s">
        <v>114</v>
      </c>
      <c r="BN4" s="73" t="s">
        <v>223</v>
      </c>
      <c r="BO4" s="73" t="s">
        <v>488</v>
      </c>
      <c r="BP4" s="73" t="s">
        <v>223</v>
      </c>
      <c r="BQ4" s="73" t="s">
        <v>223</v>
      </c>
      <c r="BR4" s="73" t="s">
        <v>488</v>
      </c>
      <c r="BS4" s="73" t="s">
        <v>223</v>
      </c>
      <c r="BT4" s="73" t="s">
        <v>211</v>
      </c>
      <c r="BU4" s="68" t="str">
        <f>IFERROR(VLOOKUP(U4,[1]skillPerformanceConfig!$A:$O,15,FALSE),3)</f>
        <v>3</v>
      </c>
      <c r="BV4" s="71" t="s">
        <v>369</v>
      </c>
      <c r="BW4" s="68" t="s">
        <v>728</v>
      </c>
      <c r="BX4" s="68">
        <v>3</v>
      </c>
      <c r="BY4" s="68">
        <f t="shared" si="0"/>
        <v>57151</v>
      </c>
      <c r="BZ4" s="68">
        <v>2</v>
      </c>
      <c r="CA4" s="68">
        <v>2</v>
      </c>
      <c r="CB4" s="68"/>
      <c r="CC4" s="73" t="s">
        <v>510</v>
      </c>
    </row>
    <row r="5" spans="1:81" s="52" customFormat="1">
      <c r="A5" s="111">
        <v>4</v>
      </c>
      <c r="B5" s="111" t="s">
        <v>741</v>
      </c>
      <c r="C5" s="122">
        <v>1</v>
      </c>
      <c r="D5" s="111" t="s">
        <v>343</v>
      </c>
      <c r="E5" s="77" t="s">
        <v>614</v>
      </c>
      <c r="F5" s="111"/>
      <c r="G5" s="111"/>
      <c r="H5" s="78">
        <v>962</v>
      </c>
      <c r="I5" s="78" t="s">
        <v>231</v>
      </c>
      <c r="J5" s="78" t="s">
        <v>238</v>
      </c>
      <c r="K5" s="78">
        <v>9018</v>
      </c>
      <c r="L5" s="111">
        <v>10</v>
      </c>
      <c r="M5" s="111"/>
      <c r="N5" s="123">
        <v>1</v>
      </c>
      <c r="O5" s="124">
        <v>67804</v>
      </c>
      <c r="P5" s="124">
        <v>8051</v>
      </c>
      <c r="Q5" s="124" t="s">
        <v>716</v>
      </c>
      <c r="R5" s="124">
        <v>77948</v>
      </c>
      <c r="S5" s="80" t="s">
        <v>144</v>
      </c>
      <c r="T5" s="78" t="s">
        <v>491</v>
      </c>
      <c r="U5" s="81">
        <v>30010101</v>
      </c>
      <c r="V5" s="78">
        <v>1</v>
      </c>
      <c r="W5" s="78" t="s">
        <v>565</v>
      </c>
      <c r="X5" s="78" t="s">
        <v>600</v>
      </c>
      <c r="Y5" s="82">
        <v>481</v>
      </c>
      <c r="Z5" s="82">
        <v>161</v>
      </c>
      <c r="AA5" s="82">
        <v>4004</v>
      </c>
      <c r="AB5" s="78">
        <v>0</v>
      </c>
      <c r="AC5" s="82">
        <v>161</v>
      </c>
      <c r="AD5" s="82">
        <v>129</v>
      </c>
      <c r="AE5" s="82">
        <v>801</v>
      </c>
      <c r="AF5" s="78">
        <v>0</v>
      </c>
      <c r="AG5" s="82">
        <v>0</v>
      </c>
      <c r="AH5" s="82">
        <v>0</v>
      </c>
      <c r="AI5" s="82">
        <v>0</v>
      </c>
      <c r="AJ5" s="82">
        <v>0</v>
      </c>
      <c r="AK5" s="82">
        <v>0</v>
      </c>
      <c r="AL5" s="82">
        <v>101</v>
      </c>
      <c r="AM5" s="82">
        <v>101</v>
      </c>
      <c r="AN5" s="82">
        <v>0</v>
      </c>
      <c r="AO5" s="82">
        <v>101</v>
      </c>
      <c r="AP5" s="82">
        <v>1001</v>
      </c>
      <c r="AQ5" s="82">
        <v>101</v>
      </c>
      <c r="AR5" s="78">
        <v>101</v>
      </c>
      <c r="AS5" s="82">
        <v>101</v>
      </c>
      <c r="AT5" s="82">
        <v>101</v>
      </c>
      <c r="AU5" s="82">
        <v>101</v>
      </c>
      <c r="AV5" s="78">
        <v>101</v>
      </c>
      <c r="AW5" s="78">
        <v>1</v>
      </c>
      <c r="AX5" s="78">
        <v>5000</v>
      </c>
      <c r="AY5" s="78">
        <v>300</v>
      </c>
      <c r="AZ5" s="78" t="s">
        <v>199</v>
      </c>
      <c r="BA5" s="78" t="s">
        <v>196</v>
      </c>
      <c r="BB5" s="78" t="s">
        <v>196</v>
      </c>
      <c r="BC5" s="111" t="s">
        <v>551</v>
      </c>
      <c r="BD5" s="110"/>
      <c r="BE5" s="52" t="s">
        <v>454</v>
      </c>
      <c r="BF5" s="52" t="s">
        <v>262</v>
      </c>
      <c r="BG5" s="52">
        <v>1</v>
      </c>
      <c r="BH5" s="52" t="s">
        <v>338</v>
      </c>
      <c r="BI5" s="52" t="s">
        <v>338</v>
      </c>
      <c r="BJ5" s="52" t="s">
        <v>255</v>
      </c>
      <c r="BK5" s="78" t="s">
        <v>490</v>
      </c>
      <c r="BL5" s="78" t="s">
        <v>490</v>
      </c>
      <c r="BM5" s="111" t="s">
        <v>114</v>
      </c>
      <c r="BN5" s="52" t="s">
        <v>223</v>
      </c>
      <c r="BO5" s="52" t="s">
        <v>488</v>
      </c>
      <c r="BP5" s="52" t="s">
        <v>223</v>
      </c>
      <c r="BQ5" s="52" t="s">
        <v>223</v>
      </c>
      <c r="BR5" s="52" t="s">
        <v>488</v>
      </c>
      <c r="BS5" s="52" t="s">
        <v>223</v>
      </c>
      <c r="BT5" s="52" t="s">
        <v>211</v>
      </c>
      <c r="BU5" s="79" t="str">
        <f>IFERROR(VLOOKUP(U5,[1]skillPerformanceConfig!$A:$O,15,FALSE),3)</f>
        <v>3</v>
      </c>
      <c r="BV5" s="52" t="s">
        <v>745</v>
      </c>
      <c r="BW5" s="79" t="s">
        <v>729</v>
      </c>
      <c r="BX5" s="79">
        <v>7</v>
      </c>
      <c r="BY5" s="79">
        <f t="shared" si="0"/>
        <v>67804</v>
      </c>
      <c r="BZ5" s="79">
        <v>3</v>
      </c>
      <c r="CA5" s="79">
        <v>4</v>
      </c>
      <c r="CB5" s="79"/>
      <c r="CC5" s="52" t="s">
        <v>512</v>
      </c>
    </row>
    <row r="6" spans="1:81" s="52" customFormat="1">
      <c r="A6" s="111">
        <v>5</v>
      </c>
      <c r="B6" s="111" t="s">
        <v>742</v>
      </c>
      <c r="C6" s="122">
        <v>1</v>
      </c>
      <c r="D6" s="111" t="s">
        <v>344</v>
      </c>
      <c r="E6" s="77" t="s">
        <v>622</v>
      </c>
      <c r="F6" s="111"/>
      <c r="G6" s="111"/>
      <c r="H6" s="78">
        <v>964</v>
      </c>
      <c r="I6" s="78" t="s">
        <v>231</v>
      </c>
      <c r="J6" s="78" t="s">
        <v>238</v>
      </c>
      <c r="K6" s="78">
        <v>9019</v>
      </c>
      <c r="L6" s="111">
        <v>10</v>
      </c>
      <c r="M6" s="111"/>
      <c r="N6" s="123">
        <v>2</v>
      </c>
      <c r="O6" s="124">
        <v>67804</v>
      </c>
      <c r="P6" s="124">
        <v>8051</v>
      </c>
      <c r="Q6" s="124" t="s">
        <v>716</v>
      </c>
      <c r="R6" s="124">
        <v>77948</v>
      </c>
      <c r="S6" s="80" t="s">
        <v>144</v>
      </c>
      <c r="T6" s="78" t="s">
        <v>491</v>
      </c>
      <c r="U6" s="81">
        <v>30030101</v>
      </c>
      <c r="V6" s="78">
        <v>1</v>
      </c>
      <c r="W6" s="78" t="s">
        <v>574</v>
      </c>
      <c r="X6" s="78" t="s">
        <v>575</v>
      </c>
      <c r="Y6" s="82">
        <v>481</v>
      </c>
      <c r="Z6" s="82">
        <v>161</v>
      </c>
      <c r="AA6" s="82">
        <v>4004</v>
      </c>
      <c r="AB6" s="78">
        <v>0</v>
      </c>
      <c r="AC6" s="82">
        <v>161</v>
      </c>
      <c r="AD6" s="82">
        <v>129</v>
      </c>
      <c r="AE6" s="82">
        <v>801</v>
      </c>
      <c r="AF6" s="78">
        <v>0</v>
      </c>
      <c r="AG6" s="82">
        <v>0</v>
      </c>
      <c r="AH6" s="82">
        <v>0</v>
      </c>
      <c r="AI6" s="82">
        <v>0</v>
      </c>
      <c r="AJ6" s="82">
        <v>0</v>
      </c>
      <c r="AK6" s="82">
        <v>0</v>
      </c>
      <c r="AL6" s="82">
        <v>101</v>
      </c>
      <c r="AM6" s="82">
        <v>101</v>
      </c>
      <c r="AN6" s="82">
        <v>0</v>
      </c>
      <c r="AO6" s="82">
        <v>101</v>
      </c>
      <c r="AP6" s="82">
        <v>1001</v>
      </c>
      <c r="AQ6" s="82">
        <v>101</v>
      </c>
      <c r="AR6" s="78">
        <v>101</v>
      </c>
      <c r="AS6" s="82">
        <v>101</v>
      </c>
      <c r="AT6" s="82">
        <v>101</v>
      </c>
      <c r="AU6" s="82">
        <v>101</v>
      </c>
      <c r="AV6" s="78">
        <v>101</v>
      </c>
      <c r="AW6" s="78">
        <v>1</v>
      </c>
      <c r="AX6" s="78">
        <v>5000</v>
      </c>
      <c r="AY6" s="78">
        <v>300</v>
      </c>
      <c r="AZ6" s="78" t="s">
        <v>201</v>
      </c>
      <c r="BA6" s="78" t="s">
        <v>196</v>
      </c>
      <c r="BB6" s="78" t="s">
        <v>196</v>
      </c>
      <c r="BC6" s="111" t="s">
        <v>551</v>
      </c>
      <c r="BD6" s="110"/>
      <c r="BE6" s="52" t="s">
        <v>113</v>
      </c>
      <c r="BF6" s="52" t="s">
        <v>262</v>
      </c>
      <c r="BG6" s="52">
        <v>1</v>
      </c>
      <c r="BH6" s="52" t="s">
        <v>338</v>
      </c>
      <c r="BI6" s="52" t="s">
        <v>338</v>
      </c>
      <c r="BJ6" s="52" t="s">
        <v>259</v>
      </c>
      <c r="BK6" s="78" t="s">
        <v>490</v>
      </c>
      <c r="BL6" s="78" t="s">
        <v>490</v>
      </c>
      <c r="BM6" s="111" t="s">
        <v>114</v>
      </c>
      <c r="BN6" s="52" t="s">
        <v>223</v>
      </c>
      <c r="BO6" s="52" t="s">
        <v>488</v>
      </c>
      <c r="BP6" s="52" t="s">
        <v>223</v>
      </c>
      <c r="BQ6" s="52" t="s">
        <v>223</v>
      </c>
      <c r="BR6" s="52" t="s">
        <v>488</v>
      </c>
      <c r="BS6" s="52" t="s">
        <v>223</v>
      </c>
      <c r="BT6" s="52" t="s">
        <v>211</v>
      </c>
      <c r="BU6" s="79" t="str">
        <f>IFERROR(VLOOKUP(U6,[1]skillPerformanceConfig!$A:$O,15,FALSE),3)</f>
        <v>3</v>
      </c>
      <c r="BV6" s="52" t="s">
        <v>746</v>
      </c>
      <c r="BW6" s="79" t="s">
        <v>729</v>
      </c>
      <c r="BX6" s="79">
        <v>8</v>
      </c>
      <c r="BY6" s="79">
        <f t="shared" si="0"/>
        <v>67804</v>
      </c>
      <c r="BZ6" s="79">
        <v>3</v>
      </c>
      <c r="CA6" s="79">
        <v>4</v>
      </c>
      <c r="CB6" s="79"/>
      <c r="CC6" s="52" t="s">
        <v>513</v>
      </c>
    </row>
    <row r="7" spans="1:81" s="52" customFormat="1">
      <c r="A7" s="111">
        <v>6</v>
      </c>
      <c r="B7" s="111" t="s">
        <v>743</v>
      </c>
      <c r="C7" s="122">
        <v>1</v>
      </c>
      <c r="D7" s="111" t="s">
        <v>345</v>
      </c>
      <c r="E7" s="81" t="s">
        <v>623</v>
      </c>
      <c r="F7" s="111"/>
      <c r="G7" s="111"/>
      <c r="H7" s="111">
        <v>961</v>
      </c>
      <c r="I7" s="78" t="s">
        <v>231</v>
      </c>
      <c r="J7" s="78" t="s">
        <v>237</v>
      </c>
      <c r="K7" s="78">
        <v>9020</v>
      </c>
      <c r="L7" s="111">
        <v>10</v>
      </c>
      <c r="M7" s="111"/>
      <c r="N7" s="123">
        <v>3</v>
      </c>
      <c r="O7" s="124">
        <v>67804</v>
      </c>
      <c r="P7" s="124">
        <v>8051</v>
      </c>
      <c r="Q7" s="124" t="s">
        <v>716</v>
      </c>
      <c r="R7" s="124">
        <v>77948</v>
      </c>
      <c r="S7" s="80" t="s">
        <v>144</v>
      </c>
      <c r="T7" s="78" t="s">
        <v>491</v>
      </c>
      <c r="U7" s="81">
        <v>30050101</v>
      </c>
      <c r="V7" s="78">
        <v>1</v>
      </c>
      <c r="W7" s="78" t="s">
        <v>602</v>
      </c>
      <c r="X7" s="78" t="s">
        <v>601</v>
      </c>
      <c r="Y7" s="82">
        <v>481</v>
      </c>
      <c r="Z7" s="82">
        <v>161</v>
      </c>
      <c r="AA7" s="82">
        <v>4004</v>
      </c>
      <c r="AB7" s="78">
        <v>0</v>
      </c>
      <c r="AC7" s="82">
        <v>161</v>
      </c>
      <c r="AD7" s="82">
        <v>129</v>
      </c>
      <c r="AE7" s="82">
        <v>801</v>
      </c>
      <c r="AF7" s="78">
        <v>0</v>
      </c>
      <c r="AG7" s="82">
        <v>0</v>
      </c>
      <c r="AH7" s="82">
        <v>0</v>
      </c>
      <c r="AI7" s="82">
        <v>0</v>
      </c>
      <c r="AJ7" s="82">
        <v>0</v>
      </c>
      <c r="AK7" s="82">
        <v>0</v>
      </c>
      <c r="AL7" s="82">
        <v>101</v>
      </c>
      <c r="AM7" s="82">
        <v>101</v>
      </c>
      <c r="AN7" s="82">
        <v>0</v>
      </c>
      <c r="AO7" s="82">
        <v>101</v>
      </c>
      <c r="AP7" s="82">
        <v>1001</v>
      </c>
      <c r="AQ7" s="82">
        <v>101</v>
      </c>
      <c r="AR7" s="78">
        <v>101</v>
      </c>
      <c r="AS7" s="82">
        <v>101</v>
      </c>
      <c r="AT7" s="82">
        <v>101</v>
      </c>
      <c r="AU7" s="82">
        <v>101</v>
      </c>
      <c r="AV7" s="78">
        <v>101</v>
      </c>
      <c r="AW7" s="78">
        <v>1</v>
      </c>
      <c r="AX7" s="78">
        <v>5000</v>
      </c>
      <c r="AY7" s="78">
        <v>300</v>
      </c>
      <c r="AZ7" s="78" t="s">
        <v>201</v>
      </c>
      <c r="BA7" s="78" t="s">
        <v>196</v>
      </c>
      <c r="BB7" s="78" t="s">
        <v>196</v>
      </c>
      <c r="BC7" s="111" t="s">
        <v>564</v>
      </c>
      <c r="BD7" s="110"/>
      <c r="BE7" s="52" t="s">
        <v>113</v>
      </c>
      <c r="BF7" s="52" t="s">
        <v>262</v>
      </c>
      <c r="BG7" s="52">
        <v>1</v>
      </c>
      <c r="BH7" s="52" t="s">
        <v>338</v>
      </c>
      <c r="BI7" s="52" t="s">
        <v>338</v>
      </c>
      <c r="BJ7" s="52" t="s">
        <v>260</v>
      </c>
      <c r="BK7" s="78" t="s">
        <v>490</v>
      </c>
      <c r="BL7" s="78" t="s">
        <v>490</v>
      </c>
      <c r="BM7" s="111" t="s">
        <v>114</v>
      </c>
      <c r="BN7" s="52" t="s">
        <v>223</v>
      </c>
      <c r="BO7" s="52" t="s">
        <v>488</v>
      </c>
      <c r="BP7" s="52" t="s">
        <v>223</v>
      </c>
      <c r="BQ7" s="52" t="s">
        <v>223</v>
      </c>
      <c r="BR7" s="52" t="s">
        <v>488</v>
      </c>
      <c r="BS7" s="52" t="s">
        <v>223</v>
      </c>
      <c r="BT7" s="52" t="s">
        <v>211</v>
      </c>
      <c r="BU7" s="79" t="str">
        <f>IFERROR(VLOOKUP(U7,[1]skillPerformanceConfig!$A:$O,15,FALSE),3)</f>
        <v>3</v>
      </c>
      <c r="BV7" s="52" t="s">
        <v>747</v>
      </c>
      <c r="BW7" s="79" t="s">
        <v>729</v>
      </c>
      <c r="BX7" s="79">
        <v>9</v>
      </c>
      <c r="BY7" s="79">
        <f t="shared" si="0"/>
        <v>67804</v>
      </c>
      <c r="BZ7" s="79">
        <v>3</v>
      </c>
      <c r="CA7" s="79">
        <v>4</v>
      </c>
      <c r="CB7" s="79"/>
      <c r="CC7" s="52" t="s">
        <v>514</v>
      </c>
    </row>
    <row r="8" spans="1:81" s="52" customFormat="1">
      <c r="A8" s="111">
        <v>7</v>
      </c>
      <c r="B8" s="111" t="s">
        <v>396</v>
      </c>
      <c r="C8" s="122">
        <v>1</v>
      </c>
      <c r="D8" s="111" t="s">
        <v>346</v>
      </c>
      <c r="E8" s="77" t="s">
        <v>615</v>
      </c>
      <c r="F8" s="111"/>
      <c r="G8" s="111"/>
      <c r="H8" s="78">
        <v>949</v>
      </c>
      <c r="I8" s="78" t="s">
        <v>231</v>
      </c>
      <c r="J8" s="78" t="s">
        <v>233</v>
      </c>
      <c r="K8" s="78">
        <v>9021</v>
      </c>
      <c r="L8" s="111">
        <v>10</v>
      </c>
      <c r="M8" s="111"/>
      <c r="N8" s="123">
        <v>1</v>
      </c>
      <c r="O8" s="124">
        <v>73610</v>
      </c>
      <c r="P8" s="124">
        <v>8747</v>
      </c>
      <c r="Q8" s="124" t="s">
        <v>717</v>
      </c>
      <c r="R8" s="124">
        <v>83103</v>
      </c>
      <c r="S8" s="80" t="s">
        <v>144</v>
      </c>
      <c r="T8" s="78" t="s">
        <v>491</v>
      </c>
      <c r="U8" s="83">
        <v>30020101</v>
      </c>
      <c r="V8" s="78">
        <v>1</v>
      </c>
      <c r="W8" s="78" t="s">
        <v>566</v>
      </c>
      <c r="X8" s="78" t="s">
        <v>557</v>
      </c>
      <c r="Y8" s="82">
        <v>524</v>
      </c>
      <c r="Z8" s="82">
        <v>175</v>
      </c>
      <c r="AA8" s="82">
        <v>4360</v>
      </c>
      <c r="AB8" s="78">
        <v>0</v>
      </c>
      <c r="AC8" s="82">
        <v>175</v>
      </c>
      <c r="AD8" s="82">
        <v>140</v>
      </c>
      <c r="AE8" s="82">
        <v>872</v>
      </c>
      <c r="AF8" s="78">
        <v>0</v>
      </c>
      <c r="AG8" s="82">
        <v>0</v>
      </c>
      <c r="AH8" s="82">
        <v>0</v>
      </c>
      <c r="AI8" s="82">
        <v>0</v>
      </c>
      <c r="AJ8" s="82">
        <v>0</v>
      </c>
      <c r="AK8" s="82">
        <v>0</v>
      </c>
      <c r="AL8" s="82">
        <v>109</v>
      </c>
      <c r="AM8" s="82">
        <v>109</v>
      </c>
      <c r="AN8" s="82">
        <v>0</v>
      </c>
      <c r="AO8" s="82">
        <v>109</v>
      </c>
      <c r="AP8" s="82">
        <v>1090</v>
      </c>
      <c r="AQ8" s="82">
        <v>109</v>
      </c>
      <c r="AR8" s="78">
        <v>109</v>
      </c>
      <c r="AS8" s="82">
        <v>109</v>
      </c>
      <c r="AT8" s="82">
        <v>109</v>
      </c>
      <c r="AU8" s="82">
        <v>109</v>
      </c>
      <c r="AV8" s="78">
        <v>109</v>
      </c>
      <c r="AW8" s="78">
        <v>1</v>
      </c>
      <c r="AX8" s="78">
        <v>5000</v>
      </c>
      <c r="AY8" s="78">
        <v>300</v>
      </c>
      <c r="AZ8" s="78" t="s">
        <v>201</v>
      </c>
      <c r="BA8" s="78" t="s">
        <v>196</v>
      </c>
      <c r="BB8" s="78" t="s">
        <v>196</v>
      </c>
      <c r="BC8" s="111" t="s">
        <v>550</v>
      </c>
      <c r="BD8" s="110"/>
      <c r="BE8" s="52" t="s">
        <v>442</v>
      </c>
      <c r="BF8" s="52" t="s">
        <v>262</v>
      </c>
      <c r="BG8" s="52">
        <v>1</v>
      </c>
      <c r="BH8" s="52" t="s">
        <v>338</v>
      </c>
      <c r="BI8" s="52" t="s">
        <v>338</v>
      </c>
      <c r="BJ8" s="52" t="s">
        <v>261</v>
      </c>
      <c r="BK8" s="78" t="s">
        <v>490</v>
      </c>
      <c r="BL8" s="78" t="s">
        <v>490</v>
      </c>
      <c r="BM8" s="111" t="s">
        <v>114</v>
      </c>
      <c r="BN8" s="52" t="s">
        <v>223</v>
      </c>
      <c r="BO8" s="52" t="s">
        <v>488</v>
      </c>
      <c r="BP8" s="52" t="s">
        <v>223</v>
      </c>
      <c r="BQ8" s="52" t="s">
        <v>223</v>
      </c>
      <c r="BR8" s="52" t="s">
        <v>488</v>
      </c>
      <c r="BS8" s="52" t="s">
        <v>223</v>
      </c>
      <c r="BT8" s="52" t="s">
        <v>211</v>
      </c>
      <c r="BU8" s="79" t="str">
        <f>IFERROR(VLOOKUP(U8,[1]skillPerformanceConfig!$A:$O,15,FALSE),3)</f>
        <v>3</v>
      </c>
      <c r="BV8" s="52" t="s">
        <v>370</v>
      </c>
      <c r="BW8" s="79" t="s">
        <v>730</v>
      </c>
      <c r="BX8" s="79">
        <v>10</v>
      </c>
      <c r="BY8" s="79">
        <f t="shared" si="0"/>
        <v>73610</v>
      </c>
      <c r="BZ8" s="79">
        <v>3</v>
      </c>
      <c r="CA8" s="79">
        <v>4</v>
      </c>
      <c r="CB8" s="79"/>
      <c r="CC8" s="52" t="s">
        <v>515</v>
      </c>
    </row>
    <row r="9" spans="1:81" s="52" customFormat="1">
      <c r="A9" s="111">
        <v>8</v>
      </c>
      <c r="B9" s="111" t="s">
        <v>447</v>
      </c>
      <c r="C9" s="122">
        <v>1</v>
      </c>
      <c r="D9" s="111" t="s">
        <v>347</v>
      </c>
      <c r="E9" s="81" t="s">
        <v>624</v>
      </c>
      <c r="F9" s="111"/>
      <c r="G9" s="111"/>
      <c r="H9" s="78">
        <v>958</v>
      </c>
      <c r="I9" s="78" t="s">
        <v>231</v>
      </c>
      <c r="J9" s="78" t="s">
        <v>232</v>
      </c>
      <c r="K9" s="78">
        <v>9022</v>
      </c>
      <c r="L9" s="111">
        <v>10</v>
      </c>
      <c r="M9" s="111"/>
      <c r="N9" s="123">
        <v>3</v>
      </c>
      <c r="O9" s="124">
        <v>80198</v>
      </c>
      <c r="P9" s="124">
        <v>9500</v>
      </c>
      <c r="Q9" s="124" t="s">
        <v>718</v>
      </c>
      <c r="R9" s="124">
        <v>88481</v>
      </c>
      <c r="S9" s="80" t="s">
        <v>144</v>
      </c>
      <c r="T9" s="78" t="s">
        <v>491</v>
      </c>
      <c r="U9" s="81">
        <v>30060101</v>
      </c>
      <c r="V9" s="78">
        <v>1</v>
      </c>
      <c r="W9" s="78" t="s">
        <v>603</v>
      </c>
      <c r="X9" s="78" t="s">
        <v>604</v>
      </c>
      <c r="Y9" s="82">
        <v>570</v>
      </c>
      <c r="Z9" s="82">
        <v>190</v>
      </c>
      <c r="AA9" s="82">
        <v>4748</v>
      </c>
      <c r="AB9" s="78">
        <v>0</v>
      </c>
      <c r="AC9" s="82">
        <v>190</v>
      </c>
      <c r="AD9" s="82">
        <v>152</v>
      </c>
      <c r="AE9" s="82">
        <v>950</v>
      </c>
      <c r="AF9" s="78">
        <v>0</v>
      </c>
      <c r="AG9" s="82">
        <v>0</v>
      </c>
      <c r="AH9" s="82">
        <v>0</v>
      </c>
      <c r="AI9" s="82">
        <v>0</v>
      </c>
      <c r="AJ9" s="82">
        <v>0</v>
      </c>
      <c r="AK9" s="82">
        <v>0</v>
      </c>
      <c r="AL9" s="82">
        <v>119</v>
      </c>
      <c r="AM9" s="82">
        <v>119</v>
      </c>
      <c r="AN9" s="82">
        <v>0</v>
      </c>
      <c r="AO9" s="82">
        <v>119</v>
      </c>
      <c r="AP9" s="82">
        <v>1187</v>
      </c>
      <c r="AQ9" s="82">
        <v>119</v>
      </c>
      <c r="AR9" s="78">
        <v>119</v>
      </c>
      <c r="AS9" s="82">
        <v>119</v>
      </c>
      <c r="AT9" s="82">
        <v>119</v>
      </c>
      <c r="AU9" s="82">
        <v>119</v>
      </c>
      <c r="AV9" s="78">
        <v>119</v>
      </c>
      <c r="AW9" s="78">
        <v>1</v>
      </c>
      <c r="AX9" s="78">
        <v>5000</v>
      </c>
      <c r="AY9" s="78">
        <v>300</v>
      </c>
      <c r="AZ9" s="78" t="s">
        <v>201</v>
      </c>
      <c r="BA9" s="78" t="s">
        <v>196</v>
      </c>
      <c r="BB9" s="78" t="s">
        <v>196</v>
      </c>
      <c r="BC9" s="111" t="s">
        <v>457</v>
      </c>
      <c r="BD9" s="110"/>
      <c r="BE9" s="52" t="s">
        <v>113</v>
      </c>
      <c r="BF9" s="52" t="s">
        <v>262</v>
      </c>
      <c r="BG9" s="52">
        <v>1</v>
      </c>
      <c r="BH9" s="52" t="s">
        <v>338</v>
      </c>
      <c r="BI9" s="52" t="s">
        <v>338</v>
      </c>
      <c r="BJ9" s="52" t="s">
        <v>256</v>
      </c>
      <c r="BK9" s="78" t="s">
        <v>490</v>
      </c>
      <c r="BL9" s="78" t="s">
        <v>490</v>
      </c>
      <c r="BM9" s="111" t="s">
        <v>114</v>
      </c>
      <c r="BN9" s="52" t="s">
        <v>223</v>
      </c>
      <c r="BO9" s="52" t="s">
        <v>488</v>
      </c>
      <c r="BP9" s="52" t="s">
        <v>223</v>
      </c>
      <c r="BQ9" s="52" t="s">
        <v>223</v>
      </c>
      <c r="BR9" s="52" t="s">
        <v>488</v>
      </c>
      <c r="BS9" s="52" t="s">
        <v>223</v>
      </c>
      <c r="BT9" s="52" t="s">
        <v>211</v>
      </c>
      <c r="BU9" s="79">
        <f>IFERROR(VLOOKUP(U9,[1]skillPerformanceConfig!$A:$O,15,FALSE),3)</f>
        <v>10</v>
      </c>
      <c r="BV9" s="52" t="s">
        <v>487</v>
      </c>
      <c r="BW9" s="79" t="s">
        <v>731</v>
      </c>
      <c r="BX9" s="79">
        <v>11</v>
      </c>
      <c r="BY9" s="79">
        <f t="shared" si="0"/>
        <v>80198</v>
      </c>
      <c r="BZ9" s="79">
        <v>3</v>
      </c>
      <c r="CA9" s="79">
        <v>4</v>
      </c>
      <c r="CB9" s="79"/>
      <c r="CC9" s="52" t="s">
        <v>516</v>
      </c>
    </row>
    <row r="10" spans="1:81" s="53" customFormat="1">
      <c r="A10" s="95">
        <v>9</v>
      </c>
      <c r="B10" s="95" t="s">
        <v>397</v>
      </c>
      <c r="C10" s="125">
        <v>1</v>
      </c>
      <c r="D10" s="95" t="s">
        <v>348</v>
      </c>
      <c r="E10" s="92" t="s">
        <v>626</v>
      </c>
      <c r="F10" s="95"/>
      <c r="G10" s="95"/>
      <c r="H10" s="93" t="s">
        <v>203</v>
      </c>
      <c r="I10" s="93" t="s">
        <v>53</v>
      </c>
      <c r="J10" s="94" t="s">
        <v>243</v>
      </c>
      <c r="K10" s="95">
        <v>9001</v>
      </c>
      <c r="L10" s="95">
        <v>10</v>
      </c>
      <c r="M10" s="95"/>
      <c r="N10" s="126">
        <v>2</v>
      </c>
      <c r="O10" s="127">
        <v>103657</v>
      </c>
      <c r="P10" s="127">
        <v>12302</v>
      </c>
      <c r="Q10" s="127" t="s">
        <v>719</v>
      </c>
      <c r="R10" s="127">
        <v>107095</v>
      </c>
      <c r="S10" s="97" t="s">
        <v>144</v>
      </c>
      <c r="T10" s="93" t="s">
        <v>491</v>
      </c>
      <c r="U10" s="92">
        <v>40050101</v>
      </c>
      <c r="V10" s="93">
        <v>1</v>
      </c>
      <c r="W10" s="93" t="s">
        <v>578</v>
      </c>
      <c r="X10" s="93" t="s">
        <v>579</v>
      </c>
      <c r="Y10" s="98">
        <v>736</v>
      </c>
      <c r="Z10" s="98">
        <v>246</v>
      </c>
      <c r="AA10" s="98">
        <v>6132</v>
      </c>
      <c r="AB10" s="93">
        <v>0</v>
      </c>
      <c r="AC10" s="98">
        <v>246</v>
      </c>
      <c r="AD10" s="98">
        <v>197</v>
      </c>
      <c r="AE10" s="98">
        <v>1227</v>
      </c>
      <c r="AF10" s="93">
        <v>0</v>
      </c>
      <c r="AG10" s="98">
        <v>0</v>
      </c>
      <c r="AH10" s="98">
        <v>0</v>
      </c>
      <c r="AI10" s="98">
        <v>0</v>
      </c>
      <c r="AJ10" s="98">
        <v>0</v>
      </c>
      <c r="AK10" s="98">
        <v>0</v>
      </c>
      <c r="AL10" s="98">
        <v>154</v>
      </c>
      <c r="AM10" s="98">
        <v>154</v>
      </c>
      <c r="AN10" s="98">
        <v>0</v>
      </c>
      <c r="AO10" s="98">
        <v>154</v>
      </c>
      <c r="AP10" s="98">
        <v>1533</v>
      </c>
      <c r="AQ10" s="98">
        <v>154</v>
      </c>
      <c r="AR10" s="93">
        <v>154</v>
      </c>
      <c r="AS10" s="98">
        <v>154</v>
      </c>
      <c r="AT10" s="98">
        <v>154</v>
      </c>
      <c r="AU10" s="98">
        <v>154</v>
      </c>
      <c r="AV10" s="93">
        <v>154</v>
      </c>
      <c r="AW10" s="93">
        <v>1</v>
      </c>
      <c r="AX10" s="93">
        <v>5000</v>
      </c>
      <c r="AY10" s="93">
        <v>300</v>
      </c>
      <c r="AZ10" s="93" t="s">
        <v>201</v>
      </c>
      <c r="BA10" s="93" t="s">
        <v>196</v>
      </c>
      <c r="BB10" s="93" t="s">
        <v>196</v>
      </c>
      <c r="BC10" s="95" t="s">
        <v>562</v>
      </c>
      <c r="BD10" s="112"/>
      <c r="BE10" s="53">
        <v>1</v>
      </c>
      <c r="BF10" s="53" t="s">
        <v>262</v>
      </c>
      <c r="BG10" s="53">
        <v>1</v>
      </c>
      <c r="BH10" s="53" t="s">
        <v>338</v>
      </c>
      <c r="BI10" s="53" t="s">
        <v>338</v>
      </c>
      <c r="BJ10" s="53" t="s">
        <v>252</v>
      </c>
      <c r="BK10" s="93" t="s">
        <v>490</v>
      </c>
      <c r="BL10" s="93" t="s">
        <v>490</v>
      </c>
      <c r="BM10" s="95" t="s">
        <v>114</v>
      </c>
      <c r="BN10" s="53" t="s">
        <v>223</v>
      </c>
      <c r="BO10" s="53" t="s">
        <v>488</v>
      </c>
      <c r="BP10" s="53" t="s">
        <v>223</v>
      </c>
      <c r="BQ10" s="53" t="s">
        <v>223</v>
      </c>
      <c r="BR10" s="53" t="s">
        <v>488</v>
      </c>
      <c r="BS10" s="53" t="s">
        <v>223</v>
      </c>
      <c r="BT10" s="53" t="s">
        <v>211</v>
      </c>
      <c r="BU10" s="96" t="str">
        <f>IFERROR(VLOOKUP(U10,[1]skillPerformanceConfig!$A:$O,15,FALSE),3)</f>
        <v>10</v>
      </c>
      <c r="BV10" s="53" t="s">
        <v>371</v>
      </c>
      <c r="BW10" s="96" t="s">
        <v>732</v>
      </c>
      <c r="BX10" s="96">
        <v>13</v>
      </c>
      <c r="BY10" s="96">
        <f t="shared" si="0"/>
        <v>103657</v>
      </c>
      <c r="BZ10" s="96">
        <v>4</v>
      </c>
      <c r="CA10" s="96">
        <v>7</v>
      </c>
      <c r="CB10" s="96"/>
      <c r="CC10" s="53" t="s">
        <v>517</v>
      </c>
    </row>
    <row r="11" spans="1:81" s="54" customFormat="1">
      <c r="A11" s="88">
        <v>10</v>
      </c>
      <c r="B11" s="88" t="s">
        <v>398</v>
      </c>
      <c r="C11" s="128">
        <v>1</v>
      </c>
      <c r="D11" s="88" t="s">
        <v>353</v>
      </c>
      <c r="E11" s="105" t="s">
        <v>620</v>
      </c>
      <c r="F11" s="88"/>
      <c r="G11" s="88"/>
      <c r="H11" s="56">
        <v>1902</v>
      </c>
      <c r="I11" s="56" t="s">
        <v>53</v>
      </c>
      <c r="J11" s="56" t="s">
        <v>230</v>
      </c>
      <c r="K11" s="88">
        <v>9002</v>
      </c>
      <c r="L11" s="88">
        <v>10</v>
      </c>
      <c r="M11" s="88"/>
      <c r="N11" s="129">
        <v>1</v>
      </c>
      <c r="O11" s="130">
        <v>133669</v>
      </c>
      <c r="P11" s="130">
        <v>15859</v>
      </c>
      <c r="Q11" s="130" t="s">
        <v>720</v>
      </c>
      <c r="R11" s="130">
        <v>129465</v>
      </c>
      <c r="S11" s="90" t="s">
        <v>144</v>
      </c>
      <c r="T11" s="56" t="s">
        <v>491</v>
      </c>
      <c r="U11" s="106">
        <v>50010101</v>
      </c>
      <c r="V11" s="56">
        <v>1</v>
      </c>
      <c r="W11" s="56" t="s">
        <v>563</v>
      </c>
      <c r="X11" s="56" t="s">
        <v>557</v>
      </c>
      <c r="Y11" s="91">
        <v>951</v>
      </c>
      <c r="Z11" s="91">
        <v>317</v>
      </c>
      <c r="AA11" s="91">
        <v>7919</v>
      </c>
      <c r="AB11" s="56">
        <v>0</v>
      </c>
      <c r="AC11" s="91">
        <v>317</v>
      </c>
      <c r="AD11" s="91">
        <v>254</v>
      </c>
      <c r="AE11" s="91">
        <v>1584</v>
      </c>
      <c r="AF11" s="56">
        <v>0</v>
      </c>
      <c r="AG11" s="91">
        <v>0</v>
      </c>
      <c r="AH11" s="91">
        <v>0</v>
      </c>
      <c r="AI11" s="91">
        <v>0</v>
      </c>
      <c r="AJ11" s="91">
        <v>0</v>
      </c>
      <c r="AK11" s="91">
        <v>0</v>
      </c>
      <c r="AL11" s="91">
        <v>198</v>
      </c>
      <c r="AM11" s="91">
        <v>198</v>
      </c>
      <c r="AN11" s="91">
        <v>0</v>
      </c>
      <c r="AO11" s="91">
        <v>198</v>
      </c>
      <c r="AP11" s="91">
        <v>1980</v>
      </c>
      <c r="AQ11" s="91">
        <v>198</v>
      </c>
      <c r="AR11" s="56">
        <v>198</v>
      </c>
      <c r="AS11" s="91">
        <v>198</v>
      </c>
      <c r="AT11" s="91">
        <v>198</v>
      </c>
      <c r="AU11" s="91">
        <v>198</v>
      </c>
      <c r="AV11" s="56">
        <v>198</v>
      </c>
      <c r="AW11" s="56">
        <v>1</v>
      </c>
      <c r="AX11" s="56">
        <v>5000</v>
      </c>
      <c r="AY11" s="56">
        <v>300</v>
      </c>
      <c r="AZ11" s="56" t="s">
        <v>201</v>
      </c>
      <c r="BA11" s="56" t="s">
        <v>196</v>
      </c>
      <c r="BB11" s="56" t="s">
        <v>196</v>
      </c>
      <c r="BC11" s="88" t="s">
        <v>559</v>
      </c>
      <c r="BD11" s="113"/>
      <c r="BE11" s="54" t="s">
        <v>214</v>
      </c>
      <c r="BF11" s="54" t="s">
        <v>262</v>
      </c>
      <c r="BG11" s="54">
        <v>1</v>
      </c>
      <c r="BH11" s="54" t="s">
        <v>338</v>
      </c>
      <c r="BI11" s="54" t="s">
        <v>338</v>
      </c>
      <c r="BJ11" s="54" t="s">
        <v>245</v>
      </c>
      <c r="BK11" s="56" t="s">
        <v>490</v>
      </c>
      <c r="BL11" s="56" t="s">
        <v>490</v>
      </c>
      <c r="BM11" s="88" t="s">
        <v>114</v>
      </c>
      <c r="BN11" s="54" t="s">
        <v>223</v>
      </c>
      <c r="BO11" s="54" t="s">
        <v>488</v>
      </c>
      <c r="BP11" s="54" t="s">
        <v>223</v>
      </c>
      <c r="BQ11" s="54" t="s">
        <v>223</v>
      </c>
      <c r="BR11" s="54" t="s">
        <v>488</v>
      </c>
      <c r="BS11" s="54" t="s">
        <v>223</v>
      </c>
      <c r="BT11" s="54" t="s">
        <v>211</v>
      </c>
      <c r="BU11" s="89" t="str">
        <f>IFERROR(VLOOKUP(U11,[1]skillPerformanceConfig!$A:$O,15,FALSE),3)</f>
        <v>3</v>
      </c>
      <c r="BV11" s="54" t="s">
        <v>372</v>
      </c>
      <c r="BW11" s="89" t="s">
        <v>733</v>
      </c>
      <c r="BX11" s="89">
        <v>25</v>
      </c>
      <c r="BY11" s="89">
        <f t="shared" si="0"/>
        <v>133669</v>
      </c>
      <c r="BZ11" s="89">
        <v>5</v>
      </c>
      <c r="CA11" s="89">
        <v>9</v>
      </c>
      <c r="CB11" s="89"/>
      <c r="CC11" s="54" t="s">
        <v>518</v>
      </c>
    </row>
    <row r="12" spans="1:81" s="73" customFormat="1">
      <c r="A12" s="74">
        <v>11</v>
      </c>
      <c r="B12" s="74" t="s">
        <v>399</v>
      </c>
      <c r="C12" s="120">
        <v>1</v>
      </c>
      <c r="D12" s="74" t="s">
        <v>349</v>
      </c>
      <c r="E12" s="66">
        <v>20050201</v>
      </c>
      <c r="F12" s="74"/>
      <c r="G12" s="74"/>
      <c r="H12" s="67">
        <v>1908</v>
      </c>
      <c r="I12" s="67" t="s">
        <v>53</v>
      </c>
      <c r="J12" s="67" t="s">
        <v>228</v>
      </c>
      <c r="K12" s="74">
        <v>9005</v>
      </c>
      <c r="L12" s="74">
        <v>10</v>
      </c>
      <c r="M12" s="74"/>
      <c r="N12" s="118">
        <v>3</v>
      </c>
      <c r="O12" s="119">
        <v>62101</v>
      </c>
      <c r="P12" s="119">
        <v>7386</v>
      </c>
      <c r="Q12" s="119" t="s">
        <v>721</v>
      </c>
      <c r="R12" s="119">
        <v>73223</v>
      </c>
      <c r="S12" s="69" t="s">
        <v>144</v>
      </c>
      <c r="T12" s="67" t="s">
        <v>491</v>
      </c>
      <c r="U12" s="66">
        <v>20050101</v>
      </c>
      <c r="V12" s="67">
        <v>1</v>
      </c>
      <c r="W12" s="67" t="s">
        <v>570</v>
      </c>
      <c r="X12" s="67" t="s">
        <v>571</v>
      </c>
      <c r="Y12" s="70">
        <v>442</v>
      </c>
      <c r="Z12" s="70">
        <v>148</v>
      </c>
      <c r="AA12" s="70">
        <v>3676</v>
      </c>
      <c r="AB12" s="67">
        <v>0</v>
      </c>
      <c r="AC12" s="70">
        <v>148</v>
      </c>
      <c r="AD12" s="70">
        <v>118</v>
      </c>
      <c r="AE12" s="70">
        <v>736</v>
      </c>
      <c r="AF12" s="67">
        <v>0</v>
      </c>
      <c r="AG12" s="70">
        <v>0</v>
      </c>
      <c r="AH12" s="70">
        <v>0</v>
      </c>
      <c r="AI12" s="70">
        <v>0</v>
      </c>
      <c r="AJ12" s="70">
        <v>0</v>
      </c>
      <c r="AK12" s="70">
        <v>0</v>
      </c>
      <c r="AL12" s="70">
        <v>92</v>
      </c>
      <c r="AM12" s="70">
        <v>92</v>
      </c>
      <c r="AN12" s="70">
        <v>0</v>
      </c>
      <c r="AO12" s="70">
        <v>92</v>
      </c>
      <c r="AP12" s="70">
        <v>919</v>
      </c>
      <c r="AQ12" s="70">
        <v>92</v>
      </c>
      <c r="AR12" s="67">
        <v>92</v>
      </c>
      <c r="AS12" s="70">
        <v>92</v>
      </c>
      <c r="AT12" s="70">
        <v>92</v>
      </c>
      <c r="AU12" s="70">
        <v>92</v>
      </c>
      <c r="AV12" s="67">
        <v>92</v>
      </c>
      <c r="AW12" s="67">
        <v>1</v>
      </c>
      <c r="AX12" s="67">
        <v>5000</v>
      </c>
      <c r="AY12" s="67">
        <v>300</v>
      </c>
      <c r="AZ12" s="67" t="s">
        <v>201</v>
      </c>
      <c r="BA12" s="67" t="s">
        <v>196</v>
      </c>
      <c r="BB12" s="67" t="s">
        <v>196</v>
      </c>
      <c r="BC12" s="74" t="s">
        <v>456</v>
      </c>
      <c r="BD12" s="109"/>
      <c r="BE12" s="73">
        <v>1</v>
      </c>
      <c r="BF12" s="73" t="s">
        <v>262</v>
      </c>
      <c r="BG12" s="73">
        <v>1</v>
      </c>
      <c r="BH12" s="73" t="s">
        <v>338</v>
      </c>
      <c r="BI12" s="73" t="s">
        <v>338</v>
      </c>
      <c r="BJ12" s="73" t="s">
        <v>250</v>
      </c>
      <c r="BK12" s="67" t="s">
        <v>490</v>
      </c>
      <c r="BL12" s="67" t="s">
        <v>490</v>
      </c>
      <c r="BM12" s="74" t="s">
        <v>114</v>
      </c>
      <c r="BN12" s="73" t="s">
        <v>223</v>
      </c>
      <c r="BO12" s="73" t="s">
        <v>488</v>
      </c>
      <c r="BP12" s="73" t="s">
        <v>223</v>
      </c>
      <c r="BQ12" s="73" t="s">
        <v>223</v>
      </c>
      <c r="BR12" s="73" t="s">
        <v>488</v>
      </c>
      <c r="BS12" s="73" t="s">
        <v>223</v>
      </c>
      <c r="BT12" s="73" t="s">
        <v>211</v>
      </c>
      <c r="BU12" s="68">
        <f>IFERROR(VLOOKUP(U12,[1]skillPerformanceConfig!$A:$O,15,FALSE),3)</f>
        <v>10</v>
      </c>
      <c r="BV12" s="73" t="s">
        <v>373</v>
      </c>
      <c r="BW12" s="68" t="s">
        <v>734</v>
      </c>
      <c r="BX12" s="68">
        <v>4</v>
      </c>
      <c r="BY12" s="68">
        <f t="shared" si="0"/>
        <v>62101</v>
      </c>
      <c r="BZ12" s="68">
        <v>2</v>
      </c>
      <c r="CA12" s="68">
        <v>3</v>
      </c>
      <c r="CB12" s="68"/>
      <c r="CC12" s="73" t="s">
        <v>511</v>
      </c>
    </row>
    <row r="13" spans="1:81" s="53" customFormat="1">
      <c r="A13" s="95">
        <v>12</v>
      </c>
      <c r="B13" s="95" t="s">
        <v>400</v>
      </c>
      <c r="C13" s="125">
        <v>1</v>
      </c>
      <c r="D13" s="95" t="s">
        <v>350</v>
      </c>
      <c r="E13" s="92" t="s">
        <v>627</v>
      </c>
      <c r="F13" s="95"/>
      <c r="G13" s="95"/>
      <c r="H13" s="93">
        <v>1911</v>
      </c>
      <c r="I13" s="93" t="s">
        <v>53</v>
      </c>
      <c r="J13" s="93" t="s">
        <v>229</v>
      </c>
      <c r="K13" s="95">
        <v>9006</v>
      </c>
      <c r="L13" s="95">
        <v>10</v>
      </c>
      <c r="M13" s="95"/>
      <c r="N13" s="126">
        <v>3</v>
      </c>
      <c r="O13" s="127">
        <v>103657</v>
      </c>
      <c r="P13" s="127">
        <v>12302</v>
      </c>
      <c r="Q13" s="127" t="s">
        <v>719</v>
      </c>
      <c r="R13" s="127">
        <v>107095</v>
      </c>
      <c r="S13" s="97" t="s">
        <v>144</v>
      </c>
      <c r="T13" s="93" t="s">
        <v>491</v>
      </c>
      <c r="U13" s="99">
        <v>40080101</v>
      </c>
      <c r="V13" s="93">
        <v>1</v>
      </c>
      <c r="W13" s="93" t="s">
        <v>580</v>
      </c>
      <c r="X13" s="93" t="s">
        <v>581</v>
      </c>
      <c r="Y13" s="98">
        <v>736</v>
      </c>
      <c r="Z13" s="98">
        <v>246</v>
      </c>
      <c r="AA13" s="98">
        <v>6132</v>
      </c>
      <c r="AB13" s="93">
        <v>0</v>
      </c>
      <c r="AC13" s="98">
        <v>246</v>
      </c>
      <c r="AD13" s="98">
        <v>197</v>
      </c>
      <c r="AE13" s="98">
        <v>1227</v>
      </c>
      <c r="AF13" s="93">
        <v>0</v>
      </c>
      <c r="AG13" s="98">
        <v>0</v>
      </c>
      <c r="AH13" s="98">
        <v>0</v>
      </c>
      <c r="AI13" s="98">
        <v>0</v>
      </c>
      <c r="AJ13" s="98">
        <v>0</v>
      </c>
      <c r="AK13" s="98">
        <v>0</v>
      </c>
      <c r="AL13" s="98">
        <v>154</v>
      </c>
      <c r="AM13" s="98">
        <v>154</v>
      </c>
      <c r="AN13" s="98">
        <v>0</v>
      </c>
      <c r="AO13" s="98">
        <v>154</v>
      </c>
      <c r="AP13" s="98">
        <v>1533</v>
      </c>
      <c r="AQ13" s="98">
        <v>154</v>
      </c>
      <c r="AR13" s="93">
        <v>154</v>
      </c>
      <c r="AS13" s="98">
        <v>154</v>
      </c>
      <c r="AT13" s="98">
        <v>154</v>
      </c>
      <c r="AU13" s="98">
        <v>154</v>
      </c>
      <c r="AV13" s="93">
        <v>154</v>
      </c>
      <c r="AW13" s="93">
        <v>1</v>
      </c>
      <c r="AX13" s="93">
        <v>5000</v>
      </c>
      <c r="AY13" s="93">
        <v>300</v>
      </c>
      <c r="AZ13" s="93" t="s">
        <v>201</v>
      </c>
      <c r="BA13" s="93" t="s">
        <v>196</v>
      </c>
      <c r="BB13" s="93" t="s">
        <v>196</v>
      </c>
      <c r="BC13" s="95" t="s">
        <v>562</v>
      </c>
      <c r="BD13" s="112"/>
      <c r="BE13" s="53" t="s">
        <v>214</v>
      </c>
      <c r="BF13" s="53" t="s">
        <v>262</v>
      </c>
      <c r="BG13" s="53">
        <v>1</v>
      </c>
      <c r="BH13" s="53" t="s">
        <v>338</v>
      </c>
      <c r="BI13" s="53" t="s">
        <v>338</v>
      </c>
      <c r="BJ13" s="53" t="s">
        <v>251</v>
      </c>
      <c r="BK13" s="93" t="s">
        <v>490</v>
      </c>
      <c r="BL13" s="93" t="s">
        <v>490</v>
      </c>
      <c r="BM13" s="95" t="s">
        <v>114</v>
      </c>
      <c r="BN13" s="53" t="s">
        <v>223</v>
      </c>
      <c r="BO13" s="53" t="s">
        <v>488</v>
      </c>
      <c r="BP13" s="53" t="s">
        <v>223</v>
      </c>
      <c r="BQ13" s="53" t="s">
        <v>223</v>
      </c>
      <c r="BR13" s="53" t="s">
        <v>488</v>
      </c>
      <c r="BS13" s="53" t="s">
        <v>223</v>
      </c>
      <c r="BT13" s="53" t="s">
        <v>211</v>
      </c>
      <c r="BU13" s="96" t="str">
        <f>IFERROR(VLOOKUP(U13,[1]skillPerformanceConfig!$A:$O,15,FALSE),3)</f>
        <v>3</v>
      </c>
      <c r="BV13" s="53" t="s">
        <v>374</v>
      </c>
      <c r="BW13" s="96" t="s">
        <v>732</v>
      </c>
      <c r="BX13" s="96">
        <v>14</v>
      </c>
      <c r="BY13" s="96">
        <f t="shared" si="0"/>
        <v>103657</v>
      </c>
      <c r="BZ13" s="96">
        <v>4</v>
      </c>
      <c r="CA13" s="96">
        <v>7</v>
      </c>
      <c r="CB13" s="96"/>
      <c r="CC13" s="53" t="s">
        <v>520</v>
      </c>
    </row>
    <row r="14" spans="1:81" s="54" customFormat="1">
      <c r="A14" s="88">
        <v>13</v>
      </c>
      <c r="B14" s="88" t="s">
        <v>401</v>
      </c>
      <c r="C14" s="128">
        <v>1</v>
      </c>
      <c r="D14" s="88" t="s">
        <v>352</v>
      </c>
      <c r="E14" s="86" t="s">
        <v>628</v>
      </c>
      <c r="F14" s="88"/>
      <c r="G14" s="88"/>
      <c r="H14" s="56">
        <v>1906</v>
      </c>
      <c r="I14" s="56" t="s">
        <v>53</v>
      </c>
      <c r="J14" s="56" t="s">
        <v>228</v>
      </c>
      <c r="K14" s="88">
        <v>9008</v>
      </c>
      <c r="L14" s="88">
        <v>10</v>
      </c>
      <c r="M14" s="88"/>
      <c r="N14" s="129">
        <v>2</v>
      </c>
      <c r="O14" s="130">
        <v>112752</v>
      </c>
      <c r="P14" s="130">
        <v>13386</v>
      </c>
      <c r="Q14" s="130" t="s">
        <v>722</v>
      </c>
      <c r="R14" s="130">
        <v>113996</v>
      </c>
      <c r="S14" s="90" t="s">
        <v>144</v>
      </c>
      <c r="T14" s="56" t="s">
        <v>491</v>
      </c>
      <c r="U14" s="104">
        <v>50020101</v>
      </c>
      <c r="V14" s="56">
        <v>1</v>
      </c>
      <c r="W14" s="56" t="s">
        <v>605</v>
      </c>
      <c r="X14" s="56" t="s">
        <v>582</v>
      </c>
      <c r="Y14" s="91">
        <v>802</v>
      </c>
      <c r="Z14" s="91">
        <v>268</v>
      </c>
      <c r="AA14" s="91">
        <v>6677</v>
      </c>
      <c r="AB14" s="56">
        <v>0</v>
      </c>
      <c r="AC14" s="91">
        <v>268</v>
      </c>
      <c r="AD14" s="91">
        <v>214</v>
      </c>
      <c r="AE14" s="91">
        <v>1336</v>
      </c>
      <c r="AF14" s="56">
        <v>0</v>
      </c>
      <c r="AG14" s="91">
        <v>0</v>
      </c>
      <c r="AH14" s="91">
        <v>0</v>
      </c>
      <c r="AI14" s="91">
        <v>0</v>
      </c>
      <c r="AJ14" s="91">
        <v>0</v>
      </c>
      <c r="AK14" s="91">
        <v>0</v>
      </c>
      <c r="AL14" s="91">
        <v>167</v>
      </c>
      <c r="AM14" s="91">
        <v>167</v>
      </c>
      <c r="AN14" s="91">
        <v>0</v>
      </c>
      <c r="AO14" s="91">
        <v>167</v>
      </c>
      <c r="AP14" s="91">
        <v>1670</v>
      </c>
      <c r="AQ14" s="91">
        <v>167</v>
      </c>
      <c r="AR14" s="56">
        <v>167</v>
      </c>
      <c r="AS14" s="91">
        <v>167</v>
      </c>
      <c r="AT14" s="91">
        <v>167</v>
      </c>
      <c r="AU14" s="91">
        <v>167</v>
      </c>
      <c r="AV14" s="56">
        <v>167</v>
      </c>
      <c r="AW14" s="56">
        <v>1</v>
      </c>
      <c r="AX14" s="56">
        <v>5000</v>
      </c>
      <c r="AY14" s="56">
        <v>300</v>
      </c>
      <c r="AZ14" s="56" t="s">
        <v>201</v>
      </c>
      <c r="BA14" s="56" t="s">
        <v>196</v>
      </c>
      <c r="BB14" s="56" t="s">
        <v>196</v>
      </c>
      <c r="BC14" s="88" t="s">
        <v>456</v>
      </c>
      <c r="BD14" s="113"/>
      <c r="BE14" s="54">
        <v>1</v>
      </c>
      <c r="BF14" s="54" t="s">
        <v>262</v>
      </c>
      <c r="BG14" s="54">
        <v>1</v>
      </c>
      <c r="BH14" s="54" t="s">
        <v>338</v>
      </c>
      <c r="BI14" s="54" t="s">
        <v>338</v>
      </c>
      <c r="BJ14" s="54" t="s">
        <v>249</v>
      </c>
      <c r="BK14" s="56" t="s">
        <v>490</v>
      </c>
      <c r="BL14" s="56" t="s">
        <v>490</v>
      </c>
      <c r="BM14" s="88" t="s">
        <v>114</v>
      </c>
      <c r="BN14" s="54" t="s">
        <v>223</v>
      </c>
      <c r="BO14" s="54" t="s">
        <v>488</v>
      </c>
      <c r="BP14" s="54" t="s">
        <v>223</v>
      </c>
      <c r="BQ14" s="54" t="s">
        <v>223</v>
      </c>
      <c r="BR14" s="54" t="s">
        <v>488</v>
      </c>
      <c r="BS14" s="54" t="s">
        <v>223</v>
      </c>
      <c r="BT14" s="54" t="s">
        <v>211</v>
      </c>
      <c r="BU14" s="89">
        <f>IFERROR(VLOOKUP(U14,[1]skillPerformanceConfig!$A:$O,15,FALSE),3)</f>
        <v>10</v>
      </c>
      <c r="BV14" s="54" t="s">
        <v>375</v>
      </c>
      <c r="BW14" s="89" t="s">
        <v>735</v>
      </c>
      <c r="BX14" s="89">
        <v>24</v>
      </c>
      <c r="BY14" s="89">
        <f t="shared" si="0"/>
        <v>112752</v>
      </c>
      <c r="BZ14" s="89">
        <v>5</v>
      </c>
      <c r="CA14" s="89">
        <v>7</v>
      </c>
      <c r="CB14" s="89"/>
      <c r="CC14" s="54" t="s">
        <v>519</v>
      </c>
    </row>
    <row r="15" spans="1:81" s="63" customFormat="1">
      <c r="A15" s="59">
        <v>14</v>
      </c>
      <c r="B15" s="59" t="s">
        <v>402</v>
      </c>
      <c r="C15" s="131">
        <v>1</v>
      </c>
      <c r="D15" s="59" t="s">
        <v>351</v>
      </c>
      <c r="E15" s="57" t="s">
        <v>388</v>
      </c>
      <c r="F15" s="59"/>
      <c r="G15" s="59"/>
      <c r="H15" s="58">
        <v>1915</v>
      </c>
      <c r="I15" s="58" t="s">
        <v>53</v>
      </c>
      <c r="J15" s="58"/>
      <c r="K15" s="59">
        <v>9023</v>
      </c>
      <c r="L15" s="59">
        <v>10</v>
      </c>
      <c r="M15" s="59"/>
      <c r="N15" s="132">
        <v>2</v>
      </c>
      <c r="O15" s="133">
        <v>40500</v>
      </c>
      <c r="P15" s="133">
        <v>4805</v>
      </c>
      <c r="Q15" s="133" t="s">
        <v>723</v>
      </c>
      <c r="R15" s="133">
        <v>44800</v>
      </c>
      <c r="S15" s="61" t="s">
        <v>144</v>
      </c>
      <c r="T15" s="58" t="s">
        <v>491</v>
      </c>
      <c r="U15" s="57" t="s">
        <v>621</v>
      </c>
      <c r="V15" s="58">
        <v>1</v>
      </c>
      <c r="W15" s="58" t="s">
        <v>269</v>
      </c>
      <c r="X15" s="58" t="s">
        <v>163</v>
      </c>
      <c r="Y15" s="107">
        <v>288</v>
      </c>
      <c r="Z15" s="107">
        <v>96</v>
      </c>
      <c r="AA15" s="107">
        <v>2400</v>
      </c>
      <c r="AB15" s="58">
        <v>0</v>
      </c>
      <c r="AC15" s="107">
        <v>96</v>
      </c>
      <c r="AD15" s="107">
        <v>77</v>
      </c>
      <c r="AE15" s="107">
        <v>480</v>
      </c>
      <c r="AF15" s="58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60</v>
      </c>
      <c r="AM15" s="107">
        <v>60</v>
      </c>
      <c r="AN15" s="107">
        <v>0</v>
      </c>
      <c r="AO15" s="107">
        <v>60</v>
      </c>
      <c r="AP15" s="107">
        <v>600</v>
      </c>
      <c r="AQ15" s="107">
        <v>60</v>
      </c>
      <c r="AR15" s="58">
        <v>60</v>
      </c>
      <c r="AS15" s="107">
        <v>60</v>
      </c>
      <c r="AT15" s="107">
        <v>60</v>
      </c>
      <c r="AU15" s="107">
        <v>60</v>
      </c>
      <c r="AV15" s="58">
        <v>60</v>
      </c>
      <c r="AW15" s="58">
        <v>1</v>
      </c>
      <c r="AX15" s="58">
        <v>5000</v>
      </c>
      <c r="AY15" s="58">
        <v>300</v>
      </c>
      <c r="AZ15" s="58" t="s">
        <v>201</v>
      </c>
      <c r="BA15" s="58" t="s">
        <v>196</v>
      </c>
      <c r="BB15" s="58" t="s">
        <v>196</v>
      </c>
      <c r="BC15" s="59" t="s">
        <v>456</v>
      </c>
      <c r="BD15" s="114"/>
      <c r="BE15" s="63">
        <v>1</v>
      </c>
      <c r="BF15" s="63" t="s">
        <v>262</v>
      </c>
      <c r="BG15" s="63">
        <v>1</v>
      </c>
      <c r="BH15" s="63" t="s">
        <v>338</v>
      </c>
      <c r="BI15" s="63" t="s">
        <v>338</v>
      </c>
      <c r="BJ15" s="63" t="s">
        <v>246</v>
      </c>
      <c r="BK15" s="58" t="s">
        <v>490</v>
      </c>
      <c r="BL15" s="58" t="s">
        <v>490</v>
      </c>
      <c r="BM15" s="59" t="s">
        <v>114</v>
      </c>
      <c r="BN15" s="63" t="s">
        <v>223</v>
      </c>
      <c r="BO15" s="63" t="s">
        <v>488</v>
      </c>
      <c r="BP15" s="63" t="s">
        <v>223</v>
      </c>
      <c r="BQ15" s="63" t="s">
        <v>223</v>
      </c>
      <c r="BR15" s="63" t="s">
        <v>488</v>
      </c>
      <c r="BS15" s="63" t="s">
        <v>223</v>
      </c>
      <c r="BT15" s="63" t="s">
        <v>211</v>
      </c>
      <c r="BU15" s="60">
        <f>IFERROR(VLOOKUP(U15,[1]skillPerformanceConfig!$A:$O,15,FALSE),3)</f>
        <v>3</v>
      </c>
      <c r="BV15" s="63" t="s">
        <v>376</v>
      </c>
      <c r="BW15" s="60" t="s">
        <v>736</v>
      </c>
      <c r="BX15" s="63">
        <f t="shared" ref="BX15:BX28" si="1">RANK(BY15,BY$3:BY$33)+1</f>
        <v>28</v>
      </c>
      <c r="BY15" s="60">
        <f t="shared" si="0"/>
        <v>40500</v>
      </c>
      <c r="BZ15" s="60">
        <v>1</v>
      </c>
      <c r="CA15" s="60">
        <v>1</v>
      </c>
      <c r="CB15" s="60"/>
    </row>
    <row r="16" spans="1:81" s="53" customFormat="1">
      <c r="A16" s="95">
        <v>15</v>
      </c>
      <c r="B16" s="95" t="s">
        <v>403</v>
      </c>
      <c r="C16" s="125">
        <v>1</v>
      </c>
      <c r="D16" s="95" t="s">
        <v>354</v>
      </c>
      <c r="E16" s="100" t="s">
        <v>616</v>
      </c>
      <c r="F16" s="95"/>
      <c r="G16" s="95"/>
      <c r="H16" s="93">
        <v>1905</v>
      </c>
      <c r="I16" s="93" t="s">
        <v>227</v>
      </c>
      <c r="J16" s="93" t="s">
        <v>258</v>
      </c>
      <c r="K16" s="95">
        <v>9004</v>
      </c>
      <c r="L16" s="95">
        <v>10</v>
      </c>
      <c r="M16" s="95"/>
      <c r="N16" s="126">
        <v>1</v>
      </c>
      <c r="O16" s="127">
        <v>95105</v>
      </c>
      <c r="P16" s="127">
        <v>11301</v>
      </c>
      <c r="Q16" s="127" t="s">
        <v>724</v>
      </c>
      <c r="R16" s="127">
        <v>100578</v>
      </c>
      <c r="S16" s="97" t="s">
        <v>144</v>
      </c>
      <c r="T16" s="93" t="s">
        <v>491</v>
      </c>
      <c r="U16" s="101">
        <v>40010101</v>
      </c>
      <c r="V16" s="98">
        <v>1</v>
      </c>
      <c r="W16" s="93" t="s">
        <v>583</v>
      </c>
      <c r="X16" s="93" t="s">
        <v>584</v>
      </c>
      <c r="Y16" s="98">
        <v>676</v>
      </c>
      <c r="Z16" s="98">
        <v>226</v>
      </c>
      <c r="AA16" s="98">
        <v>5630</v>
      </c>
      <c r="AB16" s="95">
        <v>0</v>
      </c>
      <c r="AC16" s="98">
        <v>226</v>
      </c>
      <c r="AD16" s="98">
        <v>181</v>
      </c>
      <c r="AE16" s="98">
        <v>1126</v>
      </c>
      <c r="AF16" s="93">
        <v>0</v>
      </c>
      <c r="AG16" s="98">
        <v>0</v>
      </c>
      <c r="AH16" s="98">
        <v>0</v>
      </c>
      <c r="AI16" s="98">
        <v>0</v>
      </c>
      <c r="AJ16" s="98">
        <v>0</v>
      </c>
      <c r="AK16" s="98">
        <v>0</v>
      </c>
      <c r="AL16" s="98">
        <v>141</v>
      </c>
      <c r="AM16" s="98">
        <v>141</v>
      </c>
      <c r="AN16" s="98">
        <v>0</v>
      </c>
      <c r="AO16" s="98">
        <v>141</v>
      </c>
      <c r="AP16" s="98">
        <v>1408</v>
      </c>
      <c r="AQ16" s="98">
        <v>141</v>
      </c>
      <c r="AR16" s="93">
        <v>141</v>
      </c>
      <c r="AS16" s="98">
        <v>141</v>
      </c>
      <c r="AT16" s="98">
        <v>141</v>
      </c>
      <c r="AU16" s="98">
        <v>141</v>
      </c>
      <c r="AV16" s="93">
        <v>141</v>
      </c>
      <c r="AW16" s="93">
        <v>1</v>
      </c>
      <c r="AX16" s="93">
        <v>5000</v>
      </c>
      <c r="AY16" s="93">
        <v>300</v>
      </c>
      <c r="AZ16" s="93" t="s">
        <v>201</v>
      </c>
      <c r="BA16" s="93" t="s">
        <v>196</v>
      </c>
      <c r="BB16" s="93" t="s">
        <v>196</v>
      </c>
      <c r="BC16" s="95" t="s">
        <v>562</v>
      </c>
      <c r="BD16" s="112"/>
      <c r="BE16" s="53">
        <v>1</v>
      </c>
      <c r="BF16" s="53" t="s">
        <v>262</v>
      </c>
      <c r="BG16" s="53">
        <v>1</v>
      </c>
      <c r="BH16" s="53" t="s">
        <v>338</v>
      </c>
      <c r="BI16" s="53" t="s">
        <v>338</v>
      </c>
      <c r="BJ16" s="53" t="s">
        <v>248</v>
      </c>
      <c r="BK16" s="93" t="s">
        <v>490</v>
      </c>
      <c r="BL16" s="93" t="s">
        <v>490</v>
      </c>
      <c r="BM16" s="95" t="s">
        <v>114</v>
      </c>
      <c r="BN16" s="53" t="s">
        <v>223</v>
      </c>
      <c r="BO16" s="53" t="s">
        <v>488</v>
      </c>
      <c r="BP16" s="53" t="s">
        <v>223</v>
      </c>
      <c r="BQ16" s="53" t="s">
        <v>223</v>
      </c>
      <c r="BR16" s="53" t="s">
        <v>488</v>
      </c>
      <c r="BS16" s="53" t="s">
        <v>223</v>
      </c>
      <c r="BT16" s="53" t="s">
        <v>211</v>
      </c>
      <c r="BU16" s="96" t="str">
        <f>IFERROR(VLOOKUP(U16,[1]skillPerformanceConfig!$A:$O,15,FALSE),3)</f>
        <v>3</v>
      </c>
      <c r="BV16" s="55" t="s">
        <v>377</v>
      </c>
      <c r="BW16" s="96" t="s">
        <v>737</v>
      </c>
      <c r="BX16" s="96">
        <v>16</v>
      </c>
      <c r="BY16" s="96">
        <f t="shared" si="0"/>
        <v>95105</v>
      </c>
      <c r="BZ16" s="96">
        <v>4</v>
      </c>
      <c r="CA16" s="96">
        <v>7</v>
      </c>
      <c r="CB16" s="96"/>
      <c r="CC16" s="53" t="s">
        <v>521</v>
      </c>
    </row>
    <row r="17" spans="1:81" s="53" customFormat="1">
      <c r="A17" s="95">
        <v>16</v>
      </c>
      <c r="B17" s="95" t="s">
        <v>404</v>
      </c>
      <c r="C17" s="125">
        <v>1</v>
      </c>
      <c r="D17" s="95" t="s">
        <v>356</v>
      </c>
      <c r="E17" s="100" t="s">
        <v>617</v>
      </c>
      <c r="F17" s="95"/>
      <c r="G17" s="95"/>
      <c r="H17" s="93">
        <v>1001</v>
      </c>
      <c r="I17" s="93" t="s">
        <v>227</v>
      </c>
      <c r="J17" s="93" t="s">
        <v>257</v>
      </c>
      <c r="K17" s="95">
        <v>9024</v>
      </c>
      <c r="L17" s="95">
        <v>10</v>
      </c>
      <c r="M17" s="95"/>
      <c r="N17" s="126">
        <v>1</v>
      </c>
      <c r="O17" s="127">
        <v>87445</v>
      </c>
      <c r="P17" s="127">
        <v>10359</v>
      </c>
      <c r="Q17" s="127" t="s">
        <v>725</v>
      </c>
      <c r="R17" s="127">
        <v>94237</v>
      </c>
      <c r="S17" s="97" t="s">
        <v>144</v>
      </c>
      <c r="T17" s="93" t="s">
        <v>491</v>
      </c>
      <c r="U17" s="101">
        <v>40020101</v>
      </c>
      <c r="V17" s="93">
        <v>1</v>
      </c>
      <c r="W17" s="93" t="s">
        <v>585</v>
      </c>
      <c r="X17" s="93" t="s">
        <v>586</v>
      </c>
      <c r="Y17" s="98">
        <v>621</v>
      </c>
      <c r="Z17" s="98">
        <v>207</v>
      </c>
      <c r="AA17" s="98">
        <v>5170</v>
      </c>
      <c r="AB17" s="95">
        <v>0</v>
      </c>
      <c r="AC17" s="98">
        <v>207</v>
      </c>
      <c r="AD17" s="98">
        <v>166</v>
      </c>
      <c r="AE17" s="98">
        <v>1034</v>
      </c>
      <c r="AF17" s="93">
        <v>0</v>
      </c>
      <c r="AG17" s="98">
        <v>0</v>
      </c>
      <c r="AH17" s="98">
        <v>0</v>
      </c>
      <c r="AI17" s="98">
        <v>0</v>
      </c>
      <c r="AJ17" s="98">
        <v>0</v>
      </c>
      <c r="AK17" s="98">
        <v>0</v>
      </c>
      <c r="AL17" s="98">
        <v>130</v>
      </c>
      <c r="AM17" s="98">
        <v>130</v>
      </c>
      <c r="AN17" s="98">
        <v>0</v>
      </c>
      <c r="AO17" s="98">
        <v>130</v>
      </c>
      <c r="AP17" s="98">
        <v>1293</v>
      </c>
      <c r="AQ17" s="98">
        <v>130</v>
      </c>
      <c r="AR17" s="93">
        <v>130</v>
      </c>
      <c r="AS17" s="98">
        <v>130</v>
      </c>
      <c r="AT17" s="98">
        <v>130</v>
      </c>
      <c r="AU17" s="98">
        <v>130</v>
      </c>
      <c r="AV17" s="93">
        <v>130</v>
      </c>
      <c r="AW17" s="93">
        <v>1</v>
      </c>
      <c r="AX17" s="93">
        <v>5000</v>
      </c>
      <c r="AY17" s="93">
        <v>300</v>
      </c>
      <c r="AZ17" s="93" t="s">
        <v>201</v>
      </c>
      <c r="BA17" s="93" t="s">
        <v>196</v>
      </c>
      <c r="BB17" s="93" t="s">
        <v>196</v>
      </c>
      <c r="BC17" s="95" t="s">
        <v>456</v>
      </c>
      <c r="BD17" s="112"/>
      <c r="BE17" s="53">
        <v>1</v>
      </c>
      <c r="BF17" s="53" t="s">
        <v>262</v>
      </c>
      <c r="BG17" s="53">
        <v>1</v>
      </c>
      <c r="BH17" s="53" t="s">
        <v>338</v>
      </c>
      <c r="BI17" s="53" t="s">
        <v>338</v>
      </c>
      <c r="BJ17" s="53" t="s">
        <v>247</v>
      </c>
      <c r="BK17" s="93" t="s">
        <v>490</v>
      </c>
      <c r="BL17" s="93" t="s">
        <v>490</v>
      </c>
      <c r="BM17" s="95" t="s">
        <v>114</v>
      </c>
      <c r="BN17" s="53" t="s">
        <v>223</v>
      </c>
      <c r="BO17" s="53" t="s">
        <v>488</v>
      </c>
      <c r="BP17" s="53" t="s">
        <v>223</v>
      </c>
      <c r="BQ17" s="53" t="s">
        <v>223</v>
      </c>
      <c r="BR17" s="53" t="s">
        <v>488</v>
      </c>
      <c r="BS17" s="53" t="s">
        <v>223</v>
      </c>
      <c r="BT17" s="53" t="s">
        <v>211</v>
      </c>
      <c r="BU17" s="96" t="str">
        <f>IFERROR(VLOOKUP(U17,[1]skillPerformanceConfig!$A:$O,15,FALSE),3)</f>
        <v>3</v>
      </c>
      <c r="BV17" s="55" t="s">
        <v>378</v>
      </c>
      <c r="BW17" s="96" t="s">
        <v>738</v>
      </c>
      <c r="BX17" s="96">
        <v>17</v>
      </c>
      <c r="BY17" s="96">
        <f t="shared" si="0"/>
        <v>87445</v>
      </c>
      <c r="BZ17" s="96">
        <v>4</v>
      </c>
      <c r="CA17" s="96">
        <v>7</v>
      </c>
      <c r="CB17" s="96"/>
      <c r="CC17" s="53" t="s">
        <v>522</v>
      </c>
    </row>
    <row r="18" spans="1:81" s="53" customFormat="1">
      <c r="A18" s="95">
        <v>17</v>
      </c>
      <c r="B18" s="95" t="s">
        <v>405</v>
      </c>
      <c r="C18" s="125">
        <v>1</v>
      </c>
      <c r="D18" s="95" t="s">
        <v>357</v>
      </c>
      <c r="E18" s="92" t="s">
        <v>629</v>
      </c>
      <c r="F18" s="95"/>
      <c r="G18" s="95"/>
      <c r="H18" s="95">
        <v>1914</v>
      </c>
      <c r="I18" s="93" t="s">
        <v>53</v>
      </c>
      <c r="J18" s="95" t="s">
        <v>366</v>
      </c>
      <c r="K18" s="102">
        <v>9014</v>
      </c>
      <c r="L18" s="95">
        <v>10</v>
      </c>
      <c r="M18" s="95"/>
      <c r="N18" s="126">
        <v>3</v>
      </c>
      <c r="O18" s="127">
        <v>95105</v>
      </c>
      <c r="P18" s="127">
        <v>11301</v>
      </c>
      <c r="Q18" s="127" t="s">
        <v>724</v>
      </c>
      <c r="R18" s="127">
        <v>100578</v>
      </c>
      <c r="S18" s="97" t="s">
        <v>315</v>
      </c>
      <c r="T18" s="93" t="s">
        <v>491</v>
      </c>
      <c r="U18" s="99">
        <v>40090101</v>
      </c>
      <c r="V18" s="93">
        <v>1</v>
      </c>
      <c r="W18" s="95" t="s">
        <v>587</v>
      </c>
      <c r="X18" s="95" t="s">
        <v>588</v>
      </c>
      <c r="Y18" s="98">
        <v>676</v>
      </c>
      <c r="Z18" s="98">
        <v>226</v>
      </c>
      <c r="AA18" s="98">
        <v>5630</v>
      </c>
      <c r="AB18" s="93">
        <v>0</v>
      </c>
      <c r="AC18" s="98">
        <v>226</v>
      </c>
      <c r="AD18" s="98">
        <v>181</v>
      </c>
      <c r="AE18" s="98">
        <v>1126</v>
      </c>
      <c r="AF18" s="93">
        <v>0</v>
      </c>
      <c r="AG18" s="98">
        <v>0</v>
      </c>
      <c r="AH18" s="98">
        <v>0</v>
      </c>
      <c r="AI18" s="98">
        <v>0</v>
      </c>
      <c r="AJ18" s="98">
        <v>0</v>
      </c>
      <c r="AK18" s="98">
        <v>0</v>
      </c>
      <c r="AL18" s="98">
        <v>141</v>
      </c>
      <c r="AM18" s="98">
        <v>141</v>
      </c>
      <c r="AN18" s="98">
        <v>0</v>
      </c>
      <c r="AO18" s="98">
        <v>141</v>
      </c>
      <c r="AP18" s="98">
        <v>1408</v>
      </c>
      <c r="AQ18" s="98">
        <v>141</v>
      </c>
      <c r="AR18" s="93">
        <v>141</v>
      </c>
      <c r="AS18" s="98">
        <v>141</v>
      </c>
      <c r="AT18" s="98">
        <v>141</v>
      </c>
      <c r="AU18" s="98">
        <v>141</v>
      </c>
      <c r="AV18" s="93">
        <v>141</v>
      </c>
      <c r="AW18" s="93">
        <v>1</v>
      </c>
      <c r="AX18" s="93">
        <v>5000</v>
      </c>
      <c r="AY18" s="93">
        <v>300</v>
      </c>
      <c r="AZ18" s="93" t="s">
        <v>337</v>
      </c>
      <c r="BA18" s="93" t="s">
        <v>114</v>
      </c>
      <c r="BB18" s="93" t="s">
        <v>114</v>
      </c>
      <c r="BC18" s="95" t="s">
        <v>562</v>
      </c>
      <c r="BE18" s="53">
        <v>1</v>
      </c>
      <c r="BF18" s="53" t="s">
        <v>262</v>
      </c>
      <c r="BG18" s="53">
        <v>1</v>
      </c>
      <c r="BH18" s="53" t="s">
        <v>338</v>
      </c>
      <c r="BI18" s="53" t="s">
        <v>338</v>
      </c>
      <c r="BJ18" s="53" t="s">
        <v>420</v>
      </c>
      <c r="BK18" s="93" t="s">
        <v>490</v>
      </c>
      <c r="BL18" s="93" t="s">
        <v>490</v>
      </c>
      <c r="BM18" s="95" t="s">
        <v>114</v>
      </c>
      <c r="BN18" s="53" t="s">
        <v>223</v>
      </c>
      <c r="BO18" s="53" t="s">
        <v>488</v>
      </c>
      <c r="BP18" s="53" t="s">
        <v>223</v>
      </c>
      <c r="BQ18" s="53" t="s">
        <v>223</v>
      </c>
      <c r="BR18" s="53" t="s">
        <v>488</v>
      </c>
      <c r="BS18" s="53" t="s">
        <v>223</v>
      </c>
      <c r="BT18" s="53" t="s">
        <v>211</v>
      </c>
      <c r="BU18" s="96" t="str">
        <f>IFERROR(VLOOKUP(U18,[1]skillPerformanceConfig!$A:$O,15,FALSE),3)</f>
        <v>3</v>
      </c>
      <c r="BV18" s="53" t="s">
        <v>379</v>
      </c>
      <c r="BW18" s="96" t="s">
        <v>737</v>
      </c>
      <c r="BX18" s="96">
        <v>18</v>
      </c>
      <c r="BY18" s="96">
        <f t="shared" si="0"/>
        <v>95105</v>
      </c>
      <c r="BZ18" s="96">
        <v>4</v>
      </c>
      <c r="CA18" s="96">
        <v>7</v>
      </c>
      <c r="CB18" s="96"/>
      <c r="CC18" s="53" t="s">
        <v>523</v>
      </c>
    </row>
    <row r="19" spans="1:81" s="53" customFormat="1">
      <c r="A19" s="95">
        <v>18</v>
      </c>
      <c r="B19" s="95" t="s">
        <v>406</v>
      </c>
      <c r="C19" s="125">
        <v>1</v>
      </c>
      <c r="D19" s="95" t="s">
        <v>443</v>
      </c>
      <c r="E19" s="92" t="s">
        <v>630</v>
      </c>
      <c r="F19" s="95"/>
      <c r="G19" s="95"/>
      <c r="H19" s="95">
        <v>1904</v>
      </c>
      <c r="I19" s="93" t="s">
        <v>53</v>
      </c>
      <c r="J19" s="95" t="s">
        <v>367</v>
      </c>
      <c r="K19" s="102">
        <v>9007</v>
      </c>
      <c r="L19" s="95">
        <v>10</v>
      </c>
      <c r="M19" s="95"/>
      <c r="N19" s="126">
        <v>3</v>
      </c>
      <c r="O19" s="127">
        <v>95105</v>
      </c>
      <c r="P19" s="127">
        <v>11301</v>
      </c>
      <c r="Q19" s="127" t="s">
        <v>724</v>
      </c>
      <c r="R19" s="127">
        <v>100578</v>
      </c>
      <c r="S19" s="97" t="s">
        <v>315</v>
      </c>
      <c r="T19" s="93" t="s">
        <v>491</v>
      </c>
      <c r="U19" s="99">
        <v>40100101</v>
      </c>
      <c r="V19" s="93">
        <v>1</v>
      </c>
      <c r="W19" s="95" t="s">
        <v>606</v>
      </c>
      <c r="X19" s="95" t="s">
        <v>607</v>
      </c>
      <c r="Y19" s="98">
        <v>676</v>
      </c>
      <c r="Z19" s="98">
        <v>226</v>
      </c>
      <c r="AA19" s="98">
        <v>5630</v>
      </c>
      <c r="AB19" s="93">
        <v>0</v>
      </c>
      <c r="AC19" s="98">
        <v>226</v>
      </c>
      <c r="AD19" s="98">
        <v>181</v>
      </c>
      <c r="AE19" s="98">
        <v>1126</v>
      </c>
      <c r="AF19" s="93">
        <v>0</v>
      </c>
      <c r="AG19" s="98">
        <v>0</v>
      </c>
      <c r="AH19" s="98">
        <v>0</v>
      </c>
      <c r="AI19" s="98">
        <v>0</v>
      </c>
      <c r="AJ19" s="98">
        <v>0</v>
      </c>
      <c r="AK19" s="98">
        <v>0</v>
      </c>
      <c r="AL19" s="98">
        <v>141</v>
      </c>
      <c r="AM19" s="98">
        <v>141</v>
      </c>
      <c r="AN19" s="98">
        <v>0</v>
      </c>
      <c r="AO19" s="98">
        <v>141</v>
      </c>
      <c r="AP19" s="98">
        <v>1408</v>
      </c>
      <c r="AQ19" s="98">
        <v>141</v>
      </c>
      <c r="AR19" s="93">
        <v>141</v>
      </c>
      <c r="AS19" s="98">
        <v>141</v>
      </c>
      <c r="AT19" s="98">
        <v>141</v>
      </c>
      <c r="AU19" s="98">
        <v>141</v>
      </c>
      <c r="AV19" s="93">
        <v>141</v>
      </c>
      <c r="AW19" s="93">
        <v>1</v>
      </c>
      <c r="AX19" s="93">
        <v>5000</v>
      </c>
      <c r="AY19" s="93">
        <v>300</v>
      </c>
      <c r="AZ19" s="93" t="s">
        <v>337</v>
      </c>
      <c r="BA19" s="93" t="s">
        <v>114</v>
      </c>
      <c r="BB19" s="93" t="s">
        <v>114</v>
      </c>
      <c r="BC19" s="95" t="s">
        <v>456</v>
      </c>
      <c r="BE19" s="53" t="s">
        <v>455</v>
      </c>
      <c r="BF19" s="53" t="s">
        <v>262</v>
      </c>
      <c r="BG19" s="53">
        <v>1</v>
      </c>
      <c r="BH19" s="53" t="s">
        <v>338</v>
      </c>
      <c r="BI19" s="53" t="s">
        <v>338</v>
      </c>
      <c r="BJ19" s="53" t="s">
        <v>421</v>
      </c>
      <c r="BK19" s="93" t="s">
        <v>490</v>
      </c>
      <c r="BL19" s="93" t="s">
        <v>490</v>
      </c>
      <c r="BM19" s="95" t="s">
        <v>114</v>
      </c>
      <c r="BN19" s="53" t="s">
        <v>223</v>
      </c>
      <c r="BO19" s="53" t="s">
        <v>488</v>
      </c>
      <c r="BP19" s="53" t="s">
        <v>223</v>
      </c>
      <c r="BQ19" s="53" t="s">
        <v>223</v>
      </c>
      <c r="BR19" s="53" t="s">
        <v>488</v>
      </c>
      <c r="BS19" s="53" t="s">
        <v>223</v>
      </c>
      <c r="BT19" s="53" t="s">
        <v>211</v>
      </c>
      <c r="BU19" s="96" t="str">
        <f>IFERROR(VLOOKUP(U19,[1]skillPerformanceConfig!$A:$O,15,FALSE),3)</f>
        <v>3</v>
      </c>
      <c r="BV19" s="53" t="s">
        <v>380</v>
      </c>
      <c r="BW19" s="96" t="s">
        <v>737</v>
      </c>
      <c r="BX19" s="96">
        <v>19</v>
      </c>
      <c r="BY19" s="96">
        <f t="shared" si="0"/>
        <v>95105</v>
      </c>
      <c r="BZ19" s="96">
        <v>4</v>
      </c>
      <c r="CA19" s="96">
        <v>7</v>
      </c>
      <c r="CB19" s="96"/>
      <c r="CC19" s="53" t="s">
        <v>524</v>
      </c>
    </row>
    <row r="20" spans="1:81" s="63" customFormat="1">
      <c r="A20" s="59">
        <v>19</v>
      </c>
      <c r="B20" s="59" t="s">
        <v>407</v>
      </c>
      <c r="C20" s="131">
        <v>1</v>
      </c>
      <c r="D20" s="134" t="s">
        <v>358</v>
      </c>
      <c r="E20" s="57" t="s">
        <v>389</v>
      </c>
      <c r="F20" s="59"/>
      <c r="G20" s="59"/>
      <c r="H20" s="59">
        <v>1907</v>
      </c>
      <c r="I20" s="58" t="s">
        <v>53</v>
      </c>
      <c r="J20" s="58"/>
      <c r="K20" s="62">
        <v>9009</v>
      </c>
      <c r="L20" s="59">
        <v>10</v>
      </c>
      <c r="M20" s="59"/>
      <c r="N20" s="132">
        <v>2</v>
      </c>
      <c r="O20" s="133">
        <v>40500</v>
      </c>
      <c r="P20" s="133">
        <v>4805</v>
      </c>
      <c r="Q20" s="133" t="s">
        <v>723</v>
      </c>
      <c r="R20" s="133">
        <v>53200</v>
      </c>
      <c r="S20" s="61" t="s">
        <v>315</v>
      </c>
      <c r="T20" s="58" t="s">
        <v>491</v>
      </c>
      <c r="U20" s="57" t="s">
        <v>621</v>
      </c>
      <c r="V20" s="58">
        <v>1</v>
      </c>
      <c r="W20" s="58" t="s">
        <v>268</v>
      </c>
      <c r="X20" s="59" t="s">
        <v>336</v>
      </c>
      <c r="Y20" s="107">
        <v>288</v>
      </c>
      <c r="Z20" s="107">
        <v>96</v>
      </c>
      <c r="AA20" s="107">
        <v>2400</v>
      </c>
      <c r="AB20" s="58">
        <v>0</v>
      </c>
      <c r="AC20" s="107">
        <v>96</v>
      </c>
      <c r="AD20" s="107">
        <v>77</v>
      </c>
      <c r="AE20" s="107">
        <v>480</v>
      </c>
      <c r="AF20" s="58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60</v>
      </c>
      <c r="AM20" s="107">
        <v>60</v>
      </c>
      <c r="AN20" s="107">
        <v>0</v>
      </c>
      <c r="AO20" s="107">
        <v>60</v>
      </c>
      <c r="AP20" s="107">
        <v>600</v>
      </c>
      <c r="AQ20" s="107">
        <v>60</v>
      </c>
      <c r="AR20" s="58">
        <v>60</v>
      </c>
      <c r="AS20" s="107">
        <v>60</v>
      </c>
      <c r="AT20" s="107">
        <v>60</v>
      </c>
      <c r="AU20" s="107">
        <v>60</v>
      </c>
      <c r="AV20" s="58">
        <v>60</v>
      </c>
      <c r="AW20" s="58">
        <v>1</v>
      </c>
      <c r="AX20" s="58">
        <v>5000</v>
      </c>
      <c r="AY20" s="58">
        <v>300</v>
      </c>
      <c r="AZ20" s="58" t="s">
        <v>337</v>
      </c>
      <c r="BA20" s="58" t="s">
        <v>114</v>
      </c>
      <c r="BB20" s="58" t="s">
        <v>114</v>
      </c>
      <c r="BC20" s="59" t="s">
        <v>456</v>
      </c>
      <c r="BE20" s="63">
        <v>1</v>
      </c>
      <c r="BF20" s="63" t="s">
        <v>262</v>
      </c>
      <c r="BG20" s="63">
        <v>1</v>
      </c>
      <c r="BH20" s="63" t="s">
        <v>338</v>
      </c>
      <c r="BI20" s="63" t="s">
        <v>338</v>
      </c>
      <c r="BJ20" s="63" t="s">
        <v>422</v>
      </c>
      <c r="BK20" s="58" t="s">
        <v>490</v>
      </c>
      <c r="BL20" s="58" t="s">
        <v>490</v>
      </c>
      <c r="BM20" s="59" t="s">
        <v>114</v>
      </c>
      <c r="BN20" s="63" t="s">
        <v>223</v>
      </c>
      <c r="BO20" s="63" t="s">
        <v>488</v>
      </c>
      <c r="BP20" s="63" t="s">
        <v>223</v>
      </c>
      <c r="BQ20" s="63" t="s">
        <v>223</v>
      </c>
      <c r="BR20" s="63" t="s">
        <v>488</v>
      </c>
      <c r="BS20" s="63" t="s">
        <v>223</v>
      </c>
      <c r="BT20" s="63" t="s">
        <v>211</v>
      </c>
      <c r="BU20" s="60">
        <f>IFERROR(VLOOKUP(U20,[1]skillPerformanceConfig!$A:$O,15,FALSE),3)</f>
        <v>3</v>
      </c>
      <c r="BV20" s="63" t="s">
        <v>381</v>
      </c>
      <c r="BW20" s="60" t="s">
        <v>736</v>
      </c>
      <c r="BX20" s="63">
        <f t="shared" si="1"/>
        <v>28</v>
      </c>
      <c r="BY20" s="60">
        <f t="shared" si="0"/>
        <v>40500</v>
      </c>
      <c r="BZ20" s="60">
        <v>1</v>
      </c>
      <c r="CA20" s="60">
        <v>1</v>
      </c>
      <c r="CB20" s="60"/>
    </row>
    <row r="21" spans="1:81" s="52" customFormat="1">
      <c r="A21" s="111">
        <v>20</v>
      </c>
      <c r="B21" s="111" t="s">
        <v>408</v>
      </c>
      <c r="C21" s="122">
        <v>1</v>
      </c>
      <c r="D21" s="111" t="s">
        <v>359</v>
      </c>
      <c r="E21" s="84" t="s">
        <v>625</v>
      </c>
      <c r="F21" s="111"/>
      <c r="G21" s="111"/>
      <c r="H21" s="111">
        <v>1909</v>
      </c>
      <c r="I21" s="78" t="s">
        <v>227</v>
      </c>
      <c r="J21" s="111" t="s">
        <v>440</v>
      </c>
      <c r="K21" s="85">
        <v>9010</v>
      </c>
      <c r="L21" s="111">
        <v>10</v>
      </c>
      <c r="M21" s="111"/>
      <c r="N21" s="123">
        <v>2</v>
      </c>
      <c r="O21" s="124">
        <v>80198</v>
      </c>
      <c r="P21" s="124">
        <v>9500</v>
      </c>
      <c r="Q21" s="124" t="s">
        <v>718</v>
      </c>
      <c r="R21" s="124">
        <v>88481</v>
      </c>
      <c r="S21" s="80" t="s">
        <v>315</v>
      </c>
      <c r="T21" s="78" t="s">
        <v>491</v>
      </c>
      <c r="U21" s="81">
        <v>30040101</v>
      </c>
      <c r="V21" s="78">
        <v>1</v>
      </c>
      <c r="W21" s="111" t="s">
        <v>576</v>
      </c>
      <c r="X21" s="111" t="s">
        <v>577</v>
      </c>
      <c r="Y21" s="82">
        <v>570</v>
      </c>
      <c r="Z21" s="82">
        <v>190</v>
      </c>
      <c r="AA21" s="82">
        <v>4748</v>
      </c>
      <c r="AB21" s="78">
        <v>0</v>
      </c>
      <c r="AC21" s="82">
        <v>190</v>
      </c>
      <c r="AD21" s="82">
        <v>152</v>
      </c>
      <c r="AE21" s="82">
        <v>950</v>
      </c>
      <c r="AF21" s="78">
        <v>0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119</v>
      </c>
      <c r="AM21" s="82">
        <v>119</v>
      </c>
      <c r="AN21" s="82">
        <v>0</v>
      </c>
      <c r="AO21" s="82">
        <v>119</v>
      </c>
      <c r="AP21" s="82">
        <v>1187</v>
      </c>
      <c r="AQ21" s="82">
        <v>119</v>
      </c>
      <c r="AR21" s="78">
        <v>119</v>
      </c>
      <c r="AS21" s="82">
        <v>119</v>
      </c>
      <c r="AT21" s="82">
        <v>119</v>
      </c>
      <c r="AU21" s="82">
        <v>119</v>
      </c>
      <c r="AV21" s="78">
        <v>119</v>
      </c>
      <c r="AW21" s="78">
        <v>1</v>
      </c>
      <c r="AX21" s="78">
        <v>5000</v>
      </c>
      <c r="AY21" s="78">
        <v>300</v>
      </c>
      <c r="AZ21" s="78" t="s">
        <v>337</v>
      </c>
      <c r="BA21" s="78" t="s">
        <v>114</v>
      </c>
      <c r="BB21" s="78" t="s">
        <v>114</v>
      </c>
      <c r="BC21" s="111" t="s">
        <v>456</v>
      </c>
      <c r="BE21" s="52" t="s">
        <v>222</v>
      </c>
      <c r="BF21" s="52" t="s">
        <v>262</v>
      </c>
      <c r="BG21" s="52">
        <v>1</v>
      </c>
      <c r="BH21" s="52" t="s">
        <v>338</v>
      </c>
      <c r="BI21" s="52" t="s">
        <v>338</v>
      </c>
      <c r="BJ21" s="52" t="s">
        <v>423</v>
      </c>
      <c r="BK21" s="78" t="s">
        <v>490</v>
      </c>
      <c r="BL21" s="78" t="s">
        <v>490</v>
      </c>
      <c r="BM21" s="111" t="s">
        <v>114</v>
      </c>
      <c r="BN21" s="52" t="s">
        <v>223</v>
      </c>
      <c r="BO21" s="52" t="s">
        <v>488</v>
      </c>
      <c r="BP21" s="52" t="s">
        <v>223</v>
      </c>
      <c r="BQ21" s="52" t="s">
        <v>223</v>
      </c>
      <c r="BR21" s="52" t="s">
        <v>488</v>
      </c>
      <c r="BS21" s="52" t="s">
        <v>223</v>
      </c>
      <c r="BT21" s="52" t="s">
        <v>211</v>
      </c>
      <c r="BU21" s="79" t="str">
        <f>IFERROR(VLOOKUP(U21,[1]skillPerformanceConfig!$A:$O,15,FALSE),3)</f>
        <v>2</v>
      </c>
      <c r="BV21" s="52" t="s">
        <v>382</v>
      </c>
      <c r="BW21" s="79" t="s">
        <v>731</v>
      </c>
      <c r="BX21" s="79">
        <v>12</v>
      </c>
      <c r="BY21" s="79">
        <f t="shared" si="0"/>
        <v>80198</v>
      </c>
      <c r="BZ21" s="79">
        <v>3</v>
      </c>
      <c r="CA21" s="79">
        <v>4</v>
      </c>
      <c r="CB21" s="79"/>
      <c r="CC21" s="52" t="s">
        <v>525</v>
      </c>
    </row>
    <row r="22" spans="1:81" s="63" customFormat="1">
      <c r="A22" s="59">
        <v>21</v>
      </c>
      <c r="B22" s="59" t="s">
        <v>479</v>
      </c>
      <c r="C22" s="131">
        <v>1</v>
      </c>
      <c r="D22" s="59" t="s">
        <v>480</v>
      </c>
      <c r="E22" s="57" t="s">
        <v>485</v>
      </c>
      <c r="F22" s="59"/>
      <c r="G22" s="59"/>
      <c r="H22" s="59"/>
      <c r="I22" s="58" t="s">
        <v>227</v>
      </c>
      <c r="J22" s="64"/>
      <c r="K22" s="62">
        <v>9011</v>
      </c>
      <c r="L22" s="59">
        <v>10</v>
      </c>
      <c r="M22" s="59"/>
      <c r="N22" s="132">
        <v>3</v>
      </c>
      <c r="O22" s="133">
        <v>40500</v>
      </c>
      <c r="P22" s="133">
        <v>4805</v>
      </c>
      <c r="Q22" s="133" t="s">
        <v>723</v>
      </c>
      <c r="R22" s="133">
        <v>53200</v>
      </c>
      <c r="S22" s="61" t="s">
        <v>315</v>
      </c>
      <c r="T22" s="58" t="s">
        <v>491</v>
      </c>
      <c r="U22" s="57" t="s">
        <v>621</v>
      </c>
      <c r="V22" s="58">
        <v>1</v>
      </c>
      <c r="W22" s="59" t="s">
        <v>336</v>
      </c>
      <c r="X22" s="59" t="s">
        <v>336</v>
      </c>
      <c r="Y22" s="107">
        <v>288</v>
      </c>
      <c r="Z22" s="107">
        <v>96</v>
      </c>
      <c r="AA22" s="107">
        <v>2400</v>
      </c>
      <c r="AB22" s="58">
        <v>0</v>
      </c>
      <c r="AC22" s="107">
        <v>96</v>
      </c>
      <c r="AD22" s="107">
        <v>77</v>
      </c>
      <c r="AE22" s="107">
        <v>480</v>
      </c>
      <c r="AF22" s="58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60</v>
      </c>
      <c r="AM22" s="107">
        <v>60</v>
      </c>
      <c r="AN22" s="107">
        <v>0</v>
      </c>
      <c r="AO22" s="107">
        <v>60</v>
      </c>
      <c r="AP22" s="107">
        <v>600</v>
      </c>
      <c r="AQ22" s="107">
        <v>60</v>
      </c>
      <c r="AR22" s="58">
        <v>60</v>
      </c>
      <c r="AS22" s="107">
        <v>60</v>
      </c>
      <c r="AT22" s="107">
        <v>60</v>
      </c>
      <c r="AU22" s="107">
        <v>60</v>
      </c>
      <c r="AV22" s="58">
        <v>60</v>
      </c>
      <c r="AW22" s="58">
        <v>1</v>
      </c>
      <c r="AX22" s="58">
        <v>5000</v>
      </c>
      <c r="AY22" s="58">
        <v>300</v>
      </c>
      <c r="AZ22" s="58" t="s">
        <v>337</v>
      </c>
      <c r="BA22" s="58" t="s">
        <v>114</v>
      </c>
      <c r="BB22" s="58" t="s">
        <v>114</v>
      </c>
      <c r="BC22" s="59" t="s">
        <v>483</v>
      </c>
      <c r="BE22" s="63" t="s">
        <v>484</v>
      </c>
      <c r="BF22" s="63" t="s">
        <v>262</v>
      </c>
      <c r="BG22" s="63">
        <v>1</v>
      </c>
      <c r="BH22" s="63" t="s">
        <v>338</v>
      </c>
      <c r="BI22" s="63" t="s">
        <v>338</v>
      </c>
      <c r="BJ22" s="64" t="s">
        <v>481</v>
      </c>
      <c r="BK22" s="58" t="s">
        <v>490</v>
      </c>
      <c r="BL22" s="58" t="s">
        <v>490</v>
      </c>
      <c r="BM22" s="59" t="s">
        <v>114</v>
      </c>
      <c r="BN22" s="63" t="s">
        <v>223</v>
      </c>
      <c r="BO22" s="63" t="s">
        <v>488</v>
      </c>
      <c r="BP22" s="63" t="s">
        <v>223</v>
      </c>
      <c r="BQ22" s="63" t="s">
        <v>223</v>
      </c>
      <c r="BR22" s="63" t="s">
        <v>488</v>
      </c>
      <c r="BS22" s="63" t="s">
        <v>223</v>
      </c>
      <c r="BT22" s="63" t="s">
        <v>211</v>
      </c>
      <c r="BU22" s="60">
        <f>IFERROR(VLOOKUP(U22,[1]skillPerformanceConfig!$A:$O,15,FALSE),3)</f>
        <v>3</v>
      </c>
      <c r="BV22" s="63" t="s">
        <v>482</v>
      </c>
      <c r="BW22" s="60" t="s">
        <v>736</v>
      </c>
      <c r="BX22" s="63">
        <f t="shared" si="1"/>
        <v>28</v>
      </c>
      <c r="BY22" s="60">
        <f t="shared" si="0"/>
        <v>40500</v>
      </c>
      <c r="BZ22" s="60">
        <v>1</v>
      </c>
      <c r="CA22" s="60">
        <v>1</v>
      </c>
      <c r="CB22" s="60"/>
    </row>
    <row r="23" spans="1:81" s="54" customFormat="1">
      <c r="A23" s="88">
        <v>22</v>
      </c>
      <c r="B23" s="88" t="s">
        <v>409</v>
      </c>
      <c r="C23" s="128">
        <v>1</v>
      </c>
      <c r="D23" s="88" t="s">
        <v>360</v>
      </c>
      <c r="E23" s="86" t="s">
        <v>631</v>
      </c>
      <c r="F23" s="88"/>
      <c r="G23" s="88"/>
      <c r="H23" s="88">
        <v>1912</v>
      </c>
      <c r="I23" s="56" t="s">
        <v>227</v>
      </c>
      <c r="J23" s="87" t="s">
        <v>243</v>
      </c>
      <c r="K23" s="103">
        <v>9012</v>
      </c>
      <c r="L23" s="88">
        <v>10</v>
      </c>
      <c r="M23" s="88"/>
      <c r="N23" s="129">
        <v>3</v>
      </c>
      <c r="O23" s="130">
        <v>122772</v>
      </c>
      <c r="P23" s="130">
        <v>14555</v>
      </c>
      <c r="Q23" s="130" t="s">
        <v>726</v>
      </c>
      <c r="R23" s="130">
        <v>121537</v>
      </c>
      <c r="S23" s="90" t="s">
        <v>315</v>
      </c>
      <c r="T23" s="56" t="s">
        <v>491</v>
      </c>
      <c r="U23" s="104">
        <v>50040101</v>
      </c>
      <c r="V23" s="56">
        <v>1</v>
      </c>
      <c r="W23" s="56" t="s">
        <v>597</v>
      </c>
      <c r="X23" s="88" t="s">
        <v>596</v>
      </c>
      <c r="Y23" s="91">
        <v>873</v>
      </c>
      <c r="Z23" s="91">
        <v>291</v>
      </c>
      <c r="AA23" s="91">
        <v>7272</v>
      </c>
      <c r="AB23" s="56">
        <v>0</v>
      </c>
      <c r="AC23" s="91">
        <v>291</v>
      </c>
      <c r="AD23" s="91">
        <v>233</v>
      </c>
      <c r="AE23" s="91">
        <v>1455</v>
      </c>
      <c r="AF23" s="56">
        <v>0</v>
      </c>
      <c r="AG23" s="91">
        <v>0</v>
      </c>
      <c r="AH23" s="91">
        <v>0</v>
      </c>
      <c r="AI23" s="91">
        <v>0</v>
      </c>
      <c r="AJ23" s="91">
        <v>0</v>
      </c>
      <c r="AK23" s="91">
        <v>0</v>
      </c>
      <c r="AL23" s="91">
        <v>182</v>
      </c>
      <c r="AM23" s="91">
        <v>182</v>
      </c>
      <c r="AN23" s="91">
        <v>0</v>
      </c>
      <c r="AO23" s="91">
        <v>182</v>
      </c>
      <c r="AP23" s="91">
        <v>1818</v>
      </c>
      <c r="AQ23" s="91">
        <v>182</v>
      </c>
      <c r="AR23" s="56">
        <v>182</v>
      </c>
      <c r="AS23" s="91">
        <v>182</v>
      </c>
      <c r="AT23" s="91">
        <v>182</v>
      </c>
      <c r="AU23" s="91">
        <v>182</v>
      </c>
      <c r="AV23" s="56">
        <v>182</v>
      </c>
      <c r="AW23" s="56">
        <v>1</v>
      </c>
      <c r="AX23" s="56">
        <v>5000</v>
      </c>
      <c r="AY23" s="56">
        <v>300</v>
      </c>
      <c r="AZ23" s="56" t="s">
        <v>337</v>
      </c>
      <c r="BA23" s="56" t="s">
        <v>114</v>
      </c>
      <c r="BB23" s="56" t="s">
        <v>114</v>
      </c>
      <c r="BC23" s="88" t="s">
        <v>456</v>
      </c>
      <c r="BE23" s="54">
        <v>1</v>
      </c>
      <c r="BF23" s="54" t="s">
        <v>262</v>
      </c>
      <c r="BG23" s="54">
        <v>1</v>
      </c>
      <c r="BH23" s="54" t="s">
        <v>338</v>
      </c>
      <c r="BI23" s="54" t="s">
        <v>338</v>
      </c>
      <c r="BJ23" s="54" t="s">
        <v>424</v>
      </c>
      <c r="BK23" s="56" t="s">
        <v>490</v>
      </c>
      <c r="BL23" s="56" t="s">
        <v>490</v>
      </c>
      <c r="BM23" s="88" t="s">
        <v>114</v>
      </c>
      <c r="BN23" s="54" t="s">
        <v>223</v>
      </c>
      <c r="BO23" s="54" t="s">
        <v>488</v>
      </c>
      <c r="BP23" s="54" t="s">
        <v>223</v>
      </c>
      <c r="BQ23" s="54" t="s">
        <v>223</v>
      </c>
      <c r="BR23" s="54" t="s">
        <v>488</v>
      </c>
      <c r="BS23" s="54" t="s">
        <v>223</v>
      </c>
      <c r="BT23" s="54" t="s">
        <v>211</v>
      </c>
      <c r="BU23" s="89" t="str">
        <f>IFERROR(VLOOKUP(U23,[1]skillPerformanceConfig!$A:$O,15,FALSE),3)</f>
        <v>10</v>
      </c>
      <c r="BV23" s="54" t="s">
        <v>486</v>
      </c>
      <c r="BW23" s="89" t="s">
        <v>739</v>
      </c>
      <c r="BX23" s="89">
        <v>26</v>
      </c>
      <c r="BY23" s="89">
        <f t="shared" si="0"/>
        <v>122772</v>
      </c>
      <c r="BZ23" s="89">
        <v>5</v>
      </c>
      <c r="CA23" s="89">
        <v>9</v>
      </c>
      <c r="CB23" s="89"/>
      <c r="CC23" s="54" t="s">
        <v>526</v>
      </c>
    </row>
    <row r="24" spans="1:81" s="63" customFormat="1">
      <c r="A24" s="59">
        <v>23</v>
      </c>
      <c r="B24" s="59" t="s">
        <v>410</v>
      </c>
      <c r="C24" s="131">
        <v>1</v>
      </c>
      <c r="D24" s="59" t="s">
        <v>361</v>
      </c>
      <c r="E24" s="57" t="s">
        <v>444</v>
      </c>
      <c r="F24" s="59"/>
      <c r="G24" s="59"/>
      <c r="H24" s="59">
        <v>1916</v>
      </c>
      <c r="I24" s="58" t="s">
        <v>227</v>
      </c>
      <c r="J24" s="59"/>
      <c r="K24" s="62">
        <v>9026</v>
      </c>
      <c r="L24" s="59">
        <v>10</v>
      </c>
      <c r="M24" s="59"/>
      <c r="N24" s="132">
        <v>1</v>
      </c>
      <c r="O24" s="133">
        <v>40500</v>
      </c>
      <c r="P24" s="133">
        <v>4805</v>
      </c>
      <c r="Q24" s="133" t="s">
        <v>723</v>
      </c>
      <c r="R24" s="133">
        <v>53200</v>
      </c>
      <c r="S24" s="61" t="s">
        <v>315</v>
      </c>
      <c r="T24" s="58" t="s">
        <v>491</v>
      </c>
      <c r="U24" s="57" t="s">
        <v>621</v>
      </c>
      <c r="V24" s="58">
        <v>1</v>
      </c>
      <c r="W24" s="59" t="s">
        <v>418</v>
      </c>
      <c r="X24" s="59" t="s">
        <v>419</v>
      </c>
      <c r="Y24" s="107">
        <v>288</v>
      </c>
      <c r="Z24" s="107">
        <v>96</v>
      </c>
      <c r="AA24" s="107">
        <v>2400</v>
      </c>
      <c r="AB24" s="58">
        <v>0</v>
      </c>
      <c r="AC24" s="107">
        <v>96</v>
      </c>
      <c r="AD24" s="107">
        <v>77</v>
      </c>
      <c r="AE24" s="107">
        <v>480</v>
      </c>
      <c r="AF24" s="58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60</v>
      </c>
      <c r="AM24" s="107">
        <v>60</v>
      </c>
      <c r="AN24" s="107">
        <v>0</v>
      </c>
      <c r="AO24" s="107">
        <v>60</v>
      </c>
      <c r="AP24" s="107">
        <v>600</v>
      </c>
      <c r="AQ24" s="107">
        <v>60</v>
      </c>
      <c r="AR24" s="58">
        <v>60</v>
      </c>
      <c r="AS24" s="107">
        <v>60</v>
      </c>
      <c r="AT24" s="107">
        <v>60</v>
      </c>
      <c r="AU24" s="107">
        <v>60</v>
      </c>
      <c r="AV24" s="58">
        <v>60</v>
      </c>
      <c r="AW24" s="58">
        <v>1</v>
      </c>
      <c r="AX24" s="58">
        <v>5000</v>
      </c>
      <c r="AY24" s="58">
        <v>300</v>
      </c>
      <c r="AZ24" s="58" t="s">
        <v>337</v>
      </c>
      <c r="BA24" s="58" t="s">
        <v>114</v>
      </c>
      <c r="BB24" s="58" t="s">
        <v>114</v>
      </c>
      <c r="BC24" s="59" t="s">
        <v>456</v>
      </c>
      <c r="BE24" s="63">
        <v>1</v>
      </c>
      <c r="BF24" s="63" t="s">
        <v>262</v>
      </c>
      <c r="BG24" s="63">
        <v>1</v>
      </c>
      <c r="BH24" s="63" t="s">
        <v>338</v>
      </c>
      <c r="BI24" s="63" t="s">
        <v>338</v>
      </c>
      <c r="BJ24" s="63" t="s">
        <v>425</v>
      </c>
      <c r="BK24" s="58" t="s">
        <v>490</v>
      </c>
      <c r="BL24" s="58" t="s">
        <v>490</v>
      </c>
      <c r="BM24" s="59" t="s">
        <v>114</v>
      </c>
      <c r="BN24" s="63" t="s">
        <v>223</v>
      </c>
      <c r="BO24" s="63" t="s">
        <v>488</v>
      </c>
      <c r="BP24" s="63" t="s">
        <v>223</v>
      </c>
      <c r="BQ24" s="63" t="s">
        <v>223</v>
      </c>
      <c r="BR24" s="63" t="s">
        <v>488</v>
      </c>
      <c r="BS24" s="63" t="s">
        <v>223</v>
      </c>
      <c r="BT24" s="63" t="s">
        <v>211</v>
      </c>
      <c r="BU24" s="60">
        <f>IFERROR(VLOOKUP(U24,[1]skillPerformanceConfig!$A:$O,15,FALSE),3)</f>
        <v>3</v>
      </c>
      <c r="BV24" s="63" t="s">
        <v>383</v>
      </c>
      <c r="BW24" s="60" t="s">
        <v>736</v>
      </c>
      <c r="BX24" s="63">
        <f t="shared" si="1"/>
        <v>28</v>
      </c>
      <c r="BY24" s="60">
        <f t="shared" si="0"/>
        <v>40500</v>
      </c>
      <c r="BZ24" s="60">
        <v>1</v>
      </c>
      <c r="CA24" s="60">
        <v>1</v>
      </c>
      <c r="CB24" s="60"/>
    </row>
    <row r="25" spans="1:81" s="53" customFormat="1">
      <c r="A25" s="95">
        <v>24</v>
      </c>
      <c r="B25" s="95" t="s">
        <v>411</v>
      </c>
      <c r="C25" s="125">
        <v>1</v>
      </c>
      <c r="D25" s="95" t="s">
        <v>362</v>
      </c>
      <c r="E25" s="100" t="s">
        <v>618</v>
      </c>
      <c r="F25" s="95"/>
      <c r="G25" s="95"/>
      <c r="H25" s="95">
        <v>1903</v>
      </c>
      <c r="I25" s="93" t="s">
        <v>227</v>
      </c>
      <c r="J25" s="95" t="s">
        <v>367</v>
      </c>
      <c r="K25" s="102">
        <v>9003</v>
      </c>
      <c r="L25" s="95">
        <v>10</v>
      </c>
      <c r="M25" s="95"/>
      <c r="N25" s="126">
        <v>1</v>
      </c>
      <c r="O25" s="127">
        <v>95105</v>
      </c>
      <c r="P25" s="127">
        <v>11301</v>
      </c>
      <c r="Q25" s="127" t="s">
        <v>724</v>
      </c>
      <c r="R25" s="127">
        <v>100578</v>
      </c>
      <c r="S25" s="97" t="s">
        <v>315</v>
      </c>
      <c r="T25" s="93" t="s">
        <v>491</v>
      </c>
      <c r="U25" s="101">
        <v>40030101</v>
      </c>
      <c r="V25" s="93">
        <v>1</v>
      </c>
      <c r="W25" s="95" t="s">
        <v>558</v>
      </c>
      <c r="X25" s="95" t="s">
        <v>589</v>
      </c>
      <c r="Y25" s="98">
        <v>676</v>
      </c>
      <c r="Z25" s="98">
        <v>226</v>
      </c>
      <c r="AA25" s="98">
        <v>5630</v>
      </c>
      <c r="AB25" s="93">
        <v>0</v>
      </c>
      <c r="AC25" s="98">
        <v>226</v>
      </c>
      <c r="AD25" s="98">
        <v>181</v>
      </c>
      <c r="AE25" s="98">
        <v>1126</v>
      </c>
      <c r="AF25" s="93">
        <v>0</v>
      </c>
      <c r="AG25" s="98">
        <v>0</v>
      </c>
      <c r="AH25" s="98">
        <v>0</v>
      </c>
      <c r="AI25" s="98">
        <v>0</v>
      </c>
      <c r="AJ25" s="98">
        <v>0</v>
      </c>
      <c r="AK25" s="98">
        <v>0</v>
      </c>
      <c r="AL25" s="98">
        <v>141</v>
      </c>
      <c r="AM25" s="98">
        <v>141</v>
      </c>
      <c r="AN25" s="98">
        <v>0</v>
      </c>
      <c r="AO25" s="98">
        <v>141</v>
      </c>
      <c r="AP25" s="98">
        <v>1408</v>
      </c>
      <c r="AQ25" s="98">
        <v>141</v>
      </c>
      <c r="AR25" s="93">
        <v>141</v>
      </c>
      <c r="AS25" s="98">
        <v>141</v>
      </c>
      <c r="AT25" s="98">
        <v>141</v>
      </c>
      <c r="AU25" s="98">
        <v>141</v>
      </c>
      <c r="AV25" s="93">
        <v>141</v>
      </c>
      <c r="AW25" s="93">
        <v>1</v>
      </c>
      <c r="AX25" s="93">
        <v>5000</v>
      </c>
      <c r="AY25" s="93">
        <v>300</v>
      </c>
      <c r="AZ25" s="93" t="s">
        <v>337</v>
      </c>
      <c r="BA25" s="93" t="s">
        <v>114</v>
      </c>
      <c r="BB25" s="93" t="s">
        <v>114</v>
      </c>
      <c r="BC25" s="95" t="s">
        <v>456</v>
      </c>
      <c r="BE25" s="53">
        <v>1</v>
      </c>
      <c r="BF25" s="53" t="s">
        <v>262</v>
      </c>
      <c r="BG25" s="53">
        <v>1</v>
      </c>
      <c r="BH25" s="53" t="s">
        <v>338</v>
      </c>
      <c r="BI25" s="53" t="s">
        <v>338</v>
      </c>
      <c r="BJ25" s="53" t="s">
        <v>426</v>
      </c>
      <c r="BK25" s="93" t="s">
        <v>490</v>
      </c>
      <c r="BL25" s="93" t="s">
        <v>490</v>
      </c>
      <c r="BM25" s="95" t="s">
        <v>114</v>
      </c>
      <c r="BN25" s="53" t="s">
        <v>223</v>
      </c>
      <c r="BO25" s="53" t="s">
        <v>488</v>
      </c>
      <c r="BP25" s="53" t="s">
        <v>223</v>
      </c>
      <c r="BQ25" s="53" t="s">
        <v>223</v>
      </c>
      <c r="BR25" s="53" t="s">
        <v>488</v>
      </c>
      <c r="BS25" s="53" t="s">
        <v>223</v>
      </c>
      <c r="BT25" s="53" t="s">
        <v>211</v>
      </c>
      <c r="BU25" s="96" t="str">
        <f>IFERROR(VLOOKUP(U25,[1]skillPerformanceConfig!$A:$O,15,FALSE),3)</f>
        <v>3</v>
      </c>
      <c r="BV25" s="53" t="s">
        <v>384</v>
      </c>
      <c r="BW25" s="96" t="s">
        <v>737</v>
      </c>
      <c r="BX25" s="96">
        <v>20</v>
      </c>
      <c r="BY25" s="96">
        <f t="shared" si="0"/>
        <v>95105</v>
      </c>
      <c r="BZ25" s="96">
        <v>4</v>
      </c>
      <c r="CA25" s="96">
        <v>7</v>
      </c>
      <c r="CB25" s="96"/>
      <c r="CC25" s="53" t="s">
        <v>527</v>
      </c>
    </row>
    <row r="26" spans="1:81" s="53" customFormat="1">
      <c r="A26" s="95">
        <v>25</v>
      </c>
      <c r="B26" s="95" t="s">
        <v>412</v>
      </c>
      <c r="C26" s="125">
        <v>1</v>
      </c>
      <c r="D26" s="95" t="s">
        <v>363</v>
      </c>
      <c r="E26" s="92" t="s">
        <v>632</v>
      </c>
      <c r="F26" s="95"/>
      <c r="G26" s="95"/>
      <c r="H26" s="95">
        <v>1913</v>
      </c>
      <c r="I26" s="93" t="s">
        <v>227</v>
      </c>
      <c r="J26" s="94" t="s">
        <v>243</v>
      </c>
      <c r="K26" s="102">
        <v>9013</v>
      </c>
      <c r="L26" s="95">
        <v>10</v>
      </c>
      <c r="M26" s="95"/>
      <c r="N26" s="126">
        <v>2</v>
      </c>
      <c r="O26" s="127">
        <v>87445</v>
      </c>
      <c r="P26" s="127">
        <v>10359</v>
      </c>
      <c r="Q26" s="127" t="s">
        <v>725</v>
      </c>
      <c r="R26" s="127">
        <v>94237</v>
      </c>
      <c r="S26" s="97" t="s">
        <v>315</v>
      </c>
      <c r="T26" s="93" t="s">
        <v>491</v>
      </c>
      <c r="U26" s="92">
        <v>40060101</v>
      </c>
      <c r="V26" s="93">
        <v>1</v>
      </c>
      <c r="W26" s="93" t="s">
        <v>608</v>
      </c>
      <c r="X26" s="95" t="s">
        <v>590</v>
      </c>
      <c r="Y26" s="98">
        <v>621</v>
      </c>
      <c r="Z26" s="98">
        <v>207</v>
      </c>
      <c r="AA26" s="98">
        <v>5170</v>
      </c>
      <c r="AB26" s="93">
        <v>0</v>
      </c>
      <c r="AC26" s="98">
        <v>207</v>
      </c>
      <c r="AD26" s="98">
        <v>166</v>
      </c>
      <c r="AE26" s="98">
        <v>1034</v>
      </c>
      <c r="AF26" s="93">
        <v>0</v>
      </c>
      <c r="AG26" s="98">
        <v>0</v>
      </c>
      <c r="AH26" s="98">
        <v>0</v>
      </c>
      <c r="AI26" s="98">
        <v>0</v>
      </c>
      <c r="AJ26" s="98">
        <v>0</v>
      </c>
      <c r="AK26" s="98">
        <v>0</v>
      </c>
      <c r="AL26" s="98">
        <v>130</v>
      </c>
      <c r="AM26" s="98">
        <v>130</v>
      </c>
      <c r="AN26" s="98">
        <v>0</v>
      </c>
      <c r="AO26" s="98">
        <v>130</v>
      </c>
      <c r="AP26" s="98">
        <v>1293</v>
      </c>
      <c r="AQ26" s="98">
        <v>130</v>
      </c>
      <c r="AR26" s="93">
        <v>130</v>
      </c>
      <c r="AS26" s="98">
        <v>130</v>
      </c>
      <c r="AT26" s="98">
        <v>130</v>
      </c>
      <c r="AU26" s="98">
        <v>130</v>
      </c>
      <c r="AV26" s="93">
        <v>130</v>
      </c>
      <c r="AW26" s="93">
        <v>1</v>
      </c>
      <c r="AX26" s="93">
        <v>5000</v>
      </c>
      <c r="AY26" s="93">
        <v>300</v>
      </c>
      <c r="AZ26" s="93" t="s">
        <v>337</v>
      </c>
      <c r="BA26" s="93" t="s">
        <v>114</v>
      </c>
      <c r="BB26" s="93" t="s">
        <v>114</v>
      </c>
      <c r="BC26" s="95" t="s">
        <v>456</v>
      </c>
      <c r="BE26" s="53">
        <v>1</v>
      </c>
      <c r="BF26" s="53" t="s">
        <v>262</v>
      </c>
      <c r="BG26" s="53">
        <v>1</v>
      </c>
      <c r="BH26" s="53" t="s">
        <v>338</v>
      </c>
      <c r="BI26" s="53" t="s">
        <v>338</v>
      </c>
      <c r="BJ26" s="53" t="s">
        <v>427</v>
      </c>
      <c r="BK26" s="93" t="s">
        <v>490</v>
      </c>
      <c r="BL26" s="93" t="s">
        <v>490</v>
      </c>
      <c r="BM26" s="95" t="s">
        <v>114</v>
      </c>
      <c r="BN26" s="53" t="s">
        <v>223</v>
      </c>
      <c r="BO26" s="53" t="s">
        <v>488</v>
      </c>
      <c r="BP26" s="53" t="s">
        <v>223</v>
      </c>
      <c r="BQ26" s="53" t="s">
        <v>223</v>
      </c>
      <c r="BR26" s="53" t="s">
        <v>488</v>
      </c>
      <c r="BS26" s="53" t="s">
        <v>223</v>
      </c>
      <c r="BT26" s="53" t="s">
        <v>211</v>
      </c>
      <c r="BU26" s="96" t="str">
        <f>IFERROR(VLOOKUP(U26,[1]skillPerformanceConfig!$A:$O,15,FALSE),3)</f>
        <v>10</v>
      </c>
      <c r="BV26" s="53" t="s">
        <v>385</v>
      </c>
      <c r="BW26" s="96" t="s">
        <v>738</v>
      </c>
      <c r="BX26" s="96">
        <v>21</v>
      </c>
      <c r="BY26" s="96">
        <f t="shared" si="0"/>
        <v>87445</v>
      </c>
      <c r="BZ26" s="96">
        <v>4</v>
      </c>
      <c r="CA26" s="96">
        <v>7</v>
      </c>
      <c r="CB26" s="96"/>
      <c r="CC26" s="53" t="s">
        <v>528</v>
      </c>
    </row>
    <row r="27" spans="1:81" s="53" customFormat="1">
      <c r="A27" s="95">
        <v>26</v>
      </c>
      <c r="B27" s="95" t="s">
        <v>413</v>
      </c>
      <c r="C27" s="125">
        <v>1</v>
      </c>
      <c r="D27" s="95" t="s">
        <v>364</v>
      </c>
      <c r="E27" s="100" t="s">
        <v>619</v>
      </c>
      <c r="F27" s="95"/>
      <c r="G27" s="95"/>
      <c r="H27" s="95">
        <v>1923</v>
      </c>
      <c r="I27" s="93" t="s">
        <v>227</v>
      </c>
      <c r="J27" s="95" t="s">
        <v>367</v>
      </c>
      <c r="K27" s="102">
        <v>9027</v>
      </c>
      <c r="L27" s="95">
        <v>10</v>
      </c>
      <c r="M27" s="95"/>
      <c r="N27" s="126">
        <v>1</v>
      </c>
      <c r="O27" s="127">
        <v>103657</v>
      </c>
      <c r="P27" s="127">
        <v>12302</v>
      </c>
      <c r="Q27" s="127" t="s">
        <v>719</v>
      </c>
      <c r="R27" s="127">
        <v>107095</v>
      </c>
      <c r="S27" s="97" t="s">
        <v>315</v>
      </c>
      <c r="T27" s="93" t="s">
        <v>491</v>
      </c>
      <c r="U27" s="101">
        <v>40040101</v>
      </c>
      <c r="V27" s="93">
        <v>1</v>
      </c>
      <c r="W27" s="93" t="s">
        <v>591</v>
      </c>
      <c r="X27" s="93" t="s">
        <v>557</v>
      </c>
      <c r="Y27" s="98">
        <v>736</v>
      </c>
      <c r="Z27" s="98">
        <v>246</v>
      </c>
      <c r="AA27" s="98">
        <v>6132</v>
      </c>
      <c r="AB27" s="93">
        <v>0</v>
      </c>
      <c r="AC27" s="98">
        <v>246</v>
      </c>
      <c r="AD27" s="98">
        <v>197</v>
      </c>
      <c r="AE27" s="98">
        <v>1227</v>
      </c>
      <c r="AF27" s="93">
        <v>0</v>
      </c>
      <c r="AG27" s="98">
        <v>0</v>
      </c>
      <c r="AH27" s="98">
        <v>0</v>
      </c>
      <c r="AI27" s="98">
        <v>0</v>
      </c>
      <c r="AJ27" s="98">
        <v>0</v>
      </c>
      <c r="AK27" s="98">
        <v>0</v>
      </c>
      <c r="AL27" s="98">
        <v>154</v>
      </c>
      <c r="AM27" s="98">
        <v>154</v>
      </c>
      <c r="AN27" s="98">
        <v>0</v>
      </c>
      <c r="AO27" s="98">
        <v>154</v>
      </c>
      <c r="AP27" s="98">
        <v>1533</v>
      </c>
      <c r="AQ27" s="98">
        <v>154</v>
      </c>
      <c r="AR27" s="93">
        <v>154</v>
      </c>
      <c r="AS27" s="98">
        <v>154</v>
      </c>
      <c r="AT27" s="98">
        <v>154</v>
      </c>
      <c r="AU27" s="98">
        <v>154</v>
      </c>
      <c r="AV27" s="93">
        <v>154</v>
      </c>
      <c r="AW27" s="93">
        <v>1</v>
      </c>
      <c r="AX27" s="93">
        <v>5000</v>
      </c>
      <c r="AY27" s="93">
        <v>300</v>
      </c>
      <c r="AZ27" s="93" t="s">
        <v>337</v>
      </c>
      <c r="BA27" s="93" t="s">
        <v>114</v>
      </c>
      <c r="BB27" s="93" t="s">
        <v>114</v>
      </c>
      <c r="BC27" s="95" t="s">
        <v>562</v>
      </c>
      <c r="BE27" s="53" t="s">
        <v>442</v>
      </c>
      <c r="BF27" s="53" t="s">
        <v>262</v>
      </c>
      <c r="BG27" s="53">
        <v>1</v>
      </c>
      <c r="BH27" s="53" t="s">
        <v>338</v>
      </c>
      <c r="BI27" s="53" t="s">
        <v>338</v>
      </c>
      <c r="BJ27" s="53" t="s">
        <v>428</v>
      </c>
      <c r="BK27" s="93" t="s">
        <v>490</v>
      </c>
      <c r="BL27" s="93" t="s">
        <v>490</v>
      </c>
      <c r="BM27" s="95" t="s">
        <v>114</v>
      </c>
      <c r="BN27" s="53" t="s">
        <v>223</v>
      </c>
      <c r="BO27" s="53" t="s">
        <v>488</v>
      </c>
      <c r="BP27" s="53" t="s">
        <v>223</v>
      </c>
      <c r="BQ27" s="53" t="s">
        <v>223</v>
      </c>
      <c r="BR27" s="53" t="s">
        <v>488</v>
      </c>
      <c r="BS27" s="53" t="s">
        <v>223</v>
      </c>
      <c r="BT27" s="53" t="s">
        <v>211</v>
      </c>
      <c r="BU27" s="96" t="str">
        <f>IFERROR(VLOOKUP(U27,[1]skillPerformanceConfig!$A:$O,15,FALSE),3)</f>
        <v>3</v>
      </c>
      <c r="BV27" s="53" t="s">
        <v>386</v>
      </c>
      <c r="BW27" s="96" t="s">
        <v>732</v>
      </c>
      <c r="BX27" s="96">
        <v>22</v>
      </c>
      <c r="BY27" s="96">
        <f t="shared" si="0"/>
        <v>103657</v>
      </c>
      <c r="BZ27" s="96">
        <v>4</v>
      </c>
      <c r="CA27" s="96">
        <v>7</v>
      </c>
      <c r="CB27" s="96"/>
      <c r="CC27" s="53" t="s">
        <v>529</v>
      </c>
    </row>
    <row r="28" spans="1:81" s="63" customFormat="1">
      <c r="A28" s="59">
        <v>27</v>
      </c>
      <c r="B28" s="59" t="s">
        <v>414</v>
      </c>
      <c r="C28" s="131">
        <v>1</v>
      </c>
      <c r="D28" s="59" t="s">
        <v>365</v>
      </c>
      <c r="E28" s="57" t="s">
        <v>390</v>
      </c>
      <c r="F28" s="59"/>
      <c r="G28" s="59"/>
      <c r="H28" s="59">
        <v>1924</v>
      </c>
      <c r="I28" s="58" t="s">
        <v>227</v>
      </c>
      <c r="J28" s="64"/>
      <c r="K28" s="62">
        <v>9028</v>
      </c>
      <c r="L28" s="59">
        <v>10</v>
      </c>
      <c r="M28" s="59"/>
      <c r="N28" s="132">
        <v>3</v>
      </c>
      <c r="O28" s="133">
        <v>40500</v>
      </c>
      <c r="P28" s="133">
        <v>4805</v>
      </c>
      <c r="Q28" s="133" t="s">
        <v>723</v>
      </c>
      <c r="R28" s="133">
        <v>44800</v>
      </c>
      <c r="S28" s="61" t="s">
        <v>315</v>
      </c>
      <c r="T28" s="58" t="s">
        <v>491</v>
      </c>
      <c r="U28" s="57" t="s">
        <v>621</v>
      </c>
      <c r="V28" s="58">
        <v>1</v>
      </c>
      <c r="W28" s="58" t="s">
        <v>267</v>
      </c>
      <c r="X28" s="58" t="s">
        <v>163</v>
      </c>
      <c r="Y28" s="107">
        <v>288</v>
      </c>
      <c r="Z28" s="107">
        <v>96</v>
      </c>
      <c r="AA28" s="107">
        <v>2400</v>
      </c>
      <c r="AB28" s="58">
        <v>0</v>
      </c>
      <c r="AC28" s="107">
        <v>96</v>
      </c>
      <c r="AD28" s="107">
        <v>77</v>
      </c>
      <c r="AE28" s="107">
        <v>480</v>
      </c>
      <c r="AF28" s="58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60</v>
      </c>
      <c r="AM28" s="107">
        <v>60</v>
      </c>
      <c r="AN28" s="107">
        <v>0</v>
      </c>
      <c r="AO28" s="107">
        <v>60</v>
      </c>
      <c r="AP28" s="107">
        <v>600</v>
      </c>
      <c r="AQ28" s="107">
        <v>60</v>
      </c>
      <c r="AR28" s="58">
        <v>60</v>
      </c>
      <c r="AS28" s="107">
        <v>60</v>
      </c>
      <c r="AT28" s="107">
        <v>60</v>
      </c>
      <c r="AU28" s="107">
        <v>60</v>
      </c>
      <c r="AV28" s="58">
        <v>60</v>
      </c>
      <c r="AW28" s="58">
        <v>1</v>
      </c>
      <c r="AX28" s="58">
        <v>5000</v>
      </c>
      <c r="AY28" s="58">
        <v>300</v>
      </c>
      <c r="AZ28" s="58" t="s">
        <v>337</v>
      </c>
      <c r="BA28" s="58" t="s">
        <v>114</v>
      </c>
      <c r="BB28" s="58" t="s">
        <v>114</v>
      </c>
      <c r="BC28" s="59" t="s">
        <v>456</v>
      </c>
      <c r="BE28" s="63" t="s">
        <v>441</v>
      </c>
      <c r="BF28" s="63" t="s">
        <v>262</v>
      </c>
      <c r="BG28" s="63">
        <v>1</v>
      </c>
      <c r="BH28" s="63" t="s">
        <v>338</v>
      </c>
      <c r="BI28" s="63" t="s">
        <v>338</v>
      </c>
      <c r="BJ28" s="63" t="s">
        <v>429</v>
      </c>
      <c r="BK28" s="58" t="s">
        <v>490</v>
      </c>
      <c r="BL28" s="58" t="s">
        <v>490</v>
      </c>
      <c r="BM28" s="59" t="s">
        <v>114</v>
      </c>
      <c r="BN28" s="63" t="s">
        <v>223</v>
      </c>
      <c r="BO28" s="63" t="s">
        <v>488</v>
      </c>
      <c r="BP28" s="63" t="s">
        <v>223</v>
      </c>
      <c r="BQ28" s="63" t="s">
        <v>223</v>
      </c>
      <c r="BR28" s="63" t="s">
        <v>488</v>
      </c>
      <c r="BS28" s="63" t="s">
        <v>223</v>
      </c>
      <c r="BT28" s="63" t="s">
        <v>211</v>
      </c>
      <c r="BU28" s="60">
        <f>IFERROR(VLOOKUP(U28,[1]skillPerformanceConfig!$A:$O,15,FALSE),3)</f>
        <v>3</v>
      </c>
      <c r="BV28" s="63" t="s">
        <v>387</v>
      </c>
      <c r="BW28" s="60" t="s">
        <v>736</v>
      </c>
      <c r="BX28" s="63">
        <f t="shared" si="1"/>
        <v>28</v>
      </c>
      <c r="BY28" s="60">
        <f t="shared" si="0"/>
        <v>40500</v>
      </c>
      <c r="BZ28" s="60">
        <v>1</v>
      </c>
      <c r="CA28" s="60">
        <v>7</v>
      </c>
      <c r="CB28" s="60"/>
    </row>
    <row r="29" spans="1:81" s="73" customFormat="1">
      <c r="A29" s="74">
        <v>28</v>
      </c>
      <c r="B29" s="74" t="s">
        <v>451</v>
      </c>
      <c r="C29" s="120">
        <v>1</v>
      </c>
      <c r="D29" s="74" t="s">
        <v>448</v>
      </c>
      <c r="E29" s="66">
        <v>20010201</v>
      </c>
      <c r="F29" s="74"/>
      <c r="G29" s="74"/>
      <c r="H29" s="67" t="s">
        <v>449</v>
      </c>
      <c r="I29" s="67" t="s">
        <v>227</v>
      </c>
      <c r="J29" s="67" t="s">
        <v>450</v>
      </c>
      <c r="K29" s="75">
        <v>9029</v>
      </c>
      <c r="L29" s="74">
        <v>10</v>
      </c>
      <c r="M29" s="74"/>
      <c r="N29" s="118">
        <v>1</v>
      </c>
      <c r="O29" s="119">
        <v>62101</v>
      </c>
      <c r="P29" s="119">
        <v>7386</v>
      </c>
      <c r="Q29" s="119" t="s">
        <v>721</v>
      </c>
      <c r="R29" s="119">
        <v>73223</v>
      </c>
      <c r="S29" s="69" t="s">
        <v>315</v>
      </c>
      <c r="T29" s="67" t="s">
        <v>491</v>
      </c>
      <c r="U29" s="66">
        <v>20010101</v>
      </c>
      <c r="V29" s="67">
        <v>1</v>
      </c>
      <c r="W29" s="67" t="s">
        <v>572</v>
      </c>
      <c r="X29" s="67" t="s">
        <v>556</v>
      </c>
      <c r="Y29" s="70">
        <v>442</v>
      </c>
      <c r="Z29" s="70">
        <v>148</v>
      </c>
      <c r="AA29" s="70">
        <v>3676</v>
      </c>
      <c r="AB29" s="67">
        <v>0</v>
      </c>
      <c r="AC29" s="70">
        <v>148</v>
      </c>
      <c r="AD29" s="70">
        <v>118</v>
      </c>
      <c r="AE29" s="70">
        <v>736</v>
      </c>
      <c r="AF29" s="67">
        <v>0</v>
      </c>
      <c r="AG29" s="70">
        <v>0</v>
      </c>
      <c r="AH29" s="70">
        <v>0</v>
      </c>
      <c r="AI29" s="70">
        <v>0</v>
      </c>
      <c r="AJ29" s="70">
        <v>0</v>
      </c>
      <c r="AK29" s="70">
        <v>0</v>
      </c>
      <c r="AL29" s="70">
        <v>92</v>
      </c>
      <c r="AM29" s="70">
        <v>92</v>
      </c>
      <c r="AN29" s="70">
        <v>0</v>
      </c>
      <c r="AO29" s="70">
        <v>92</v>
      </c>
      <c r="AP29" s="70">
        <v>919</v>
      </c>
      <c r="AQ29" s="70">
        <v>92</v>
      </c>
      <c r="AR29" s="67">
        <v>92</v>
      </c>
      <c r="AS29" s="70">
        <v>92</v>
      </c>
      <c r="AT29" s="70">
        <v>92</v>
      </c>
      <c r="AU29" s="70">
        <v>92</v>
      </c>
      <c r="AV29" s="67">
        <v>92</v>
      </c>
      <c r="AW29" s="67">
        <v>1</v>
      </c>
      <c r="AX29" s="67">
        <v>5000</v>
      </c>
      <c r="AY29" s="67">
        <v>300</v>
      </c>
      <c r="AZ29" s="67" t="s">
        <v>337</v>
      </c>
      <c r="BA29" s="67" t="s">
        <v>114</v>
      </c>
      <c r="BB29" s="67" t="s">
        <v>114</v>
      </c>
      <c r="BC29" s="74" t="s">
        <v>561</v>
      </c>
      <c r="BE29" s="73" t="s">
        <v>222</v>
      </c>
      <c r="BF29" s="73" t="s">
        <v>262</v>
      </c>
      <c r="BG29" s="73">
        <v>1</v>
      </c>
      <c r="BH29" s="73" t="s">
        <v>338</v>
      </c>
      <c r="BI29" s="73" t="s">
        <v>338</v>
      </c>
      <c r="BJ29" s="73" t="s">
        <v>453</v>
      </c>
      <c r="BK29" s="67" t="s">
        <v>490</v>
      </c>
      <c r="BL29" s="67" t="s">
        <v>490</v>
      </c>
      <c r="BM29" s="74" t="s">
        <v>114</v>
      </c>
      <c r="BN29" s="73" t="s">
        <v>223</v>
      </c>
      <c r="BO29" s="73" t="s">
        <v>488</v>
      </c>
      <c r="BP29" s="73" t="s">
        <v>223</v>
      </c>
      <c r="BQ29" s="73" t="s">
        <v>223</v>
      </c>
      <c r="BR29" s="73" t="s">
        <v>488</v>
      </c>
      <c r="BS29" s="73" t="s">
        <v>223</v>
      </c>
      <c r="BT29" s="73" t="s">
        <v>211</v>
      </c>
      <c r="BU29" s="68" t="str">
        <f>IFERROR(VLOOKUP(U29,[1]skillPerformanceConfig!$A:$O,15,FALSE),3)</f>
        <v>3</v>
      </c>
      <c r="BV29" s="73" t="s">
        <v>452</v>
      </c>
      <c r="BW29" s="68" t="s">
        <v>734</v>
      </c>
      <c r="BX29" s="68">
        <v>5</v>
      </c>
      <c r="BY29" s="68">
        <f t="shared" si="0"/>
        <v>62101</v>
      </c>
      <c r="BZ29" s="68">
        <v>2</v>
      </c>
      <c r="CA29" s="68">
        <v>2</v>
      </c>
      <c r="CB29" s="68"/>
      <c r="CC29" s="73" t="s">
        <v>530</v>
      </c>
    </row>
    <row r="30" spans="1:81" s="53" customFormat="1">
      <c r="A30" s="95">
        <v>29</v>
      </c>
      <c r="B30" s="95" t="s">
        <v>532</v>
      </c>
      <c r="C30" s="125">
        <v>1</v>
      </c>
      <c r="D30" s="95" t="s">
        <v>459</v>
      </c>
      <c r="E30" s="92" t="s">
        <v>633</v>
      </c>
      <c r="F30" s="95"/>
      <c r="G30" s="95"/>
      <c r="H30" s="93">
        <v>971</v>
      </c>
      <c r="I30" s="93" t="s">
        <v>227</v>
      </c>
      <c r="J30" s="93" t="s">
        <v>460</v>
      </c>
      <c r="K30" s="102">
        <v>9030</v>
      </c>
      <c r="L30" s="95">
        <v>10</v>
      </c>
      <c r="M30" s="95"/>
      <c r="N30" s="126">
        <v>2</v>
      </c>
      <c r="O30" s="127">
        <v>87445</v>
      </c>
      <c r="P30" s="127">
        <v>10359</v>
      </c>
      <c r="Q30" s="127" t="s">
        <v>725</v>
      </c>
      <c r="R30" s="127">
        <v>94237</v>
      </c>
      <c r="S30" s="97" t="s">
        <v>315</v>
      </c>
      <c r="T30" s="93" t="s">
        <v>491</v>
      </c>
      <c r="U30" s="99">
        <v>40070101</v>
      </c>
      <c r="V30" s="93">
        <v>1</v>
      </c>
      <c r="W30" s="93" t="s">
        <v>592</v>
      </c>
      <c r="X30" s="93" t="s">
        <v>593</v>
      </c>
      <c r="Y30" s="98">
        <v>621</v>
      </c>
      <c r="Z30" s="98">
        <v>207</v>
      </c>
      <c r="AA30" s="98">
        <v>5170</v>
      </c>
      <c r="AB30" s="93">
        <v>0</v>
      </c>
      <c r="AC30" s="98">
        <v>207</v>
      </c>
      <c r="AD30" s="98">
        <v>166</v>
      </c>
      <c r="AE30" s="98">
        <v>1034</v>
      </c>
      <c r="AF30" s="93">
        <v>0</v>
      </c>
      <c r="AG30" s="98">
        <v>0</v>
      </c>
      <c r="AH30" s="98">
        <v>0</v>
      </c>
      <c r="AI30" s="98">
        <v>0</v>
      </c>
      <c r="AJ30" s="98">
        <v>0</v>
      </c>
      <c r="AK30" s="98">
        <v>0</v>
      </c>
      <c r="AL30" s="98">
        <v>130</v>
      </c>
      <c r="AM30" s="98">
        <v>130</v>
      </c>
      <c r="AN30" s="98">
        <v>0</v>
      </c>
      <c r="AO30" s="98">
        <v>130</v>
      </c>
      <c r="AP30" s="98">
        <v>1293</v>
      </c>
      <c r="AQ30" s="98">
        <v>130</v>
      </c>
      <c r="AR30" s="93">
        <v>130</v>
      </c>
      <c r="AS30" s="98">
        <v>130</v>
      </c>
      <c r="AT30" s="98">
        <v>130</v>
      </c>
      <c r="AU30" s="98">
        <v>130</v>
      </c>
      <c r="AV30" s="93">
        <v>130</v>
      </c>
      <c r="AW30" s="93">
        <v>1</v>
      </c>
      <c r="AX30" s="93">
        <v>5000</v>
      </c>
      <c r="AY30" s="93">
        <v>300</v>
      </c>
      <c r="AZ30" s="93" t="s">
        <v>337</v>
      </c>
      <c r="BA30" s="93" t="s">
        <v>114</v>
      </c>
      <c r="BB30" s="93" t="s">
        <v>114</v>
      </c>
      <c r="BC30" s="95" t="s">
        <v>561</v>
      </c>
      <c r="BE30" s="53" t="s">
        <v>113</v>
      </c>
      <c r="BF30" s="53" t="s">
        <v>262</v>
      </c>
      <c r="BG30" s="53">
        <v>1</v>
      </c>
      <c r="BH30" s="53" t="s">
        <v>338</v>
      </c>
      <c r="BI30" s="53" t="s">
        <v>338</v>
      </c>
      <c r="BJ30" s="93" t="s">
        <v>471</v>
      </c>
      <c r="BK30" s="93" t="s">
        <v>490</v>
      </c>
      <c r="BL30" s="93" t="s">
        <v>490</v>
      </c>
      <c r="BM30" s="95" t="s">
        <v>114</v>
      </c>
      <c r="BN30" s="53" t="s">
        <v>223</v>
      </c>
      <c r="BO30" s="53" t="s">
        <v>488</v>
      </c>
      <c r="BP30" s="53" t="s">
        <v>223</v>
      </c>
      <c r="BQ30" s="53" t="s">
        <v>223</v>
      </c>
      <c r="BR30" s="53" t="s">
        <v>488</v>
      </c>
      <c r="BS30" s="53" t="s">
        <v>223</v>
      </c>
      <c r="BT30" s="53" t="s">
        <v>211</v>
      </c>
      <c r="BU30" s="96" t="str">
        <f>IFERROR(VLOOKUP(U30,[1]skillPerformanceConfig!$A:$O,15,FALSE),3)</f>
        <v>3</v>
      </c>
      <c r="BV30" s="53" t="s">
        <v>467</v>
      </c>
      <c r="BW30" s="96" t="s">
        <v>738</v>
      </c>
      <c r="BX30" s="96">
        <v>23</v>
      </c>
      <c r="BY30" s="96">
        <f t="shared" si="0"/>
        <v>87445</v>
      </c>
      <c r="BZ30" s="96">
        <v>4</v>
      </c>
      <c r="CA30" s="96">
        <v>7</v>
      </c>
      <c r="CB30" s="96"/>
      <c r="CC30" s="53" t="s">
        <v>534</v>
      </c>
    </row>
    <row r="31" spans="1:81" s="73" customFormat="1" ht="15" customHeight="1">
      <c r="A31" s="74">
        <v>30</v>
      </c>
      <c r="B31" s="74" t="s">
        <v>469</v>
      </c>
      <c r="C31" s="120">
        <v>1</v>
      </c>
      <c r="D31" s="74" t="s">
        <v>466</v>
      </c>
      <c r="E31" s="66">
        <v>20030201</v>
      </c>
      <c r="F31" s="74"/>
      <c r="G31" s="74"/>
      <c r="H31" s="67">
        <v>1004</v>
      </c>
      <c r="I31" s="67" t="s">
        <v>227</v>
      </c>
      <c r="J31" s="74" t="s">
        <v>461</v>
      </c>
      <c r="K31" s="75">
        <v>9031</v>
      </c>
      <c r="L31" s="74">
        <v>10</v>
      </c>
      <c r="M31" s="74"/>
      <c r="N31" s="118">
        <v>2</v>
      </c>
      <c r="O31" s="119">
        <v>57151</v>
      </c>
      <c r="P31" s="119">
        <v>6801</v>
      </c>
      <c r="Q31" s="119" t="s">
        <v>715</v>
      </c>
      <c r="R31" s="119">
        <v>68717</v>
      </c>
      <c r="S31" s="69" t="s">
        <v>315</v>
      </c>
      <c r="T31" s="67" t="s">
        <v>491</v>
      </c>
      <c r="U31" s="76">
        <v>20030101</v>
      </c>
      <c r="V31" s="67">
        <v>1</v>
      </c>
      <c r="W31" s="67" t="s">
        <v>573</v>
      </c>
      <c r="X31" s="67" t="s">
        <v>557</v>
      </c>
      <c r="Y31" s="70">
        <v>406</v>
      </c>
      <c r="Z31" s="70">
        <v>136</v>
      </c>
      <c r="AA31" s="70">
        <v>3376</v>
      </c>
      <c r="AB31" s="67">
        <v>0</v>
      </c>
      <c r="AC31" s="70">
        <v>136</v>
      </c>
      <c r="AD31" s="70">
        <v>109</v>
      </c>
      <c r="AE31" s="70">
        <v>676</v>
      </c>
      <c r="AF31" s="67">
        <v>0</v>
      </c>
      <c r="AG31" s="70">
        <v>0</v>
      </c>
      <c r="AH31" s="70">
        <v>0</v>
      </c>
      <c r="AI31" s="70">
        <v>0</v>
      </c>
      <c r="AJ31" s="70">
        <v>0</v>
      </c>
      <c r="AK31" s="70">
        <v>0</v>
      </c>
      <c r="AL31" s="70">
        <v>85</v>
      </c>
      <c r="AM31" s="70">
        <v>85</v>
      </c>
      <c r="AN31" s="70">
        <v>0</v>
      </c>
      <c r="AO31" s="70">
        <v>85</v>
      </c>
      <c r="AP31" s="70">
        <v>844</v>
      </c>
      <c r="AQ31" s="70">
        <v>85</v>
      </c>
      <c r="AR31" s="67">
        <v>85</v>
      </c>
      <c r="AS31" s="70">
        <v>85</v>
      </c>
      <c r="AT31" s="70">
        <v>85</v>
      </c>
      <c r="AU31" s="70">
        <v>85</v>
      </c>
      <c r="AV31" s="67">
        <v>85</v>
      </c>
      <c r="AW31" s="67">
        <v>1</v>
      </c>
      <c r="AX31" s="67">
        <v>5000</v>
      </c>
      <c r="AY31" s="67">
        <v>300</v>
      </c>
      <c r="AZ31" s="67" t="s">
        <v>337</v>
      </c>
      <c r="BA31" s="67" t="s">
        <v>114</v>
      </c>
      <c r="BB31" s="67" t="s">
        <v>114</v>
      </c>
      <c r="BC31" s="74" t="s">
        <v>550</v>
      </c>
      <c r="BE31" s="73" t="s">
        <v>113</v>
      </c>
      <c r="BF31" s="73" t="s">
        <v>262</v>
      </c>
      <c r="BG31" s="73">
        <v>1</v>
      </c>
      <c r="BH31" s="73" t="s">
        <v>338</v>
      </c>
      <c r="BI31" s="73" t="s">
        <v>338</v>
      </c>
      <c r="BJ31" s="67" t="s">
        <v>554</v>
      </c>
      <c r="BK31" s="67" t="s">
        <v>490</v>
      </c>
      <c r="BL31" s="67" t="s">
        <v>490</v>
      </c>
      <c r="BM31" s="74" t="s">
        <v>114</v>
      </c>
      <c r="BN31" s="73" t="s">
        <v>223</v>
      </c>
      <c r="BO31" s="73" t="s">
        <v>488</v>
      </c>
      <c r="BP31" s="73" t="s">
        <v>223</v>
      </c>
      <c r="BQ31" s="73" t="s">
        <v>223</v>
      </c>
      <c r="BR31" s="73" t="s">
        <v>488</v>
      </c>
      <c r="BS31" s="73" t="s">
        <v>223</v>
      </c>
      <c r="BT31" s="73" t="s">
        <v>211</v>
      </c>
      <c r="BU31" s="68" t="str">
        <f>IFERROR(VLOOKUP(U31,[1]skillPerformanceConfig!$A:$O,15,FALSE),3)</f>
        <v>3</v>
      </c>
      <c r="BV31" s="73" t="s">
        <v>468</v>
      </c>
      <c r="BW31" s="68" t="s">
        <v>728</v>
      </c>
      <c r="BX31" s="68">
        <v>6</v>
      </c>
      <c r="BY31" s="68">
        <f t="shared" si="0"/>
        <v>57151</v>
      </c>
      <c r="BZ31" s="68">
        <v>2</v>
      </c>
      <c r="CA31" s="68">
        <v>2</v>
      </c>
      <c r="CB31" s="68"/>
      <c r="CC31" s="73" t="s">
        <v>535</v>
      </c>
    </row>
    <row r="32" spans="1:81" s="53" customFormat="1">
      <c r="A32" s="95">
        <v>31</v>
      </c>
      <c r="B32" s="95" t="s">
        <v>533</v>
      </c>
      <c r="C32" s="125">
        <v>1</v>
      </c>
      <c r="D32" s="95" t="s">
        <v>475</v>
      </c>
      <c r="E32" s="92" t="s">
        <v>634</v>
      </c>
      <c r="F32" s="95"/>
      <c r="G32" s="95"/>
      <c r="H32" s="93">
        <v>1006</v>
      </c>
      <c r="I32" s="93" t="s">
        <v>227</v>
      </c>
      <c r="J32" s="95" t="s">
        <v>462</v>
      </c>
      <c r="K32" s="102">
        <v>9032</v>
      </c>
      <c r="L32" s="95">
        <v>10</v>
      </c>
      <c r="M32" s="95"/>
      <c r="N32" s="126">
        <v>3</v>
      </c>
      <c r="O32" s="127">
        <v>95105</v>
      </c>
      <c r="P32" s="127">
        <v>11301</v>
      </c>
      <c r="Q32" s="127" t="s">
        <v>724</v>
      </c>
      <c r="R32" s="127">
        <v>100578</v>
      </c>
      <c r="S32" s="97" t="s">
        <v>315</v>
      </c>
      <c r="T32" s="93" t="s">
        <v>491</v>
      </c>
      <c r="U32" s="99">
        <v>40110101</v>
      </c>
      <c r="V32" s="93">
        <v>1</v>
      </c>
      <c r="W32" s="93" t="s">
        <v>594</v>
      </c>
      <c r="X32" s="93" t="s">
        <v>595</v>
      </c>
      <c r="Y32" s="98">
        <v>676</v>
      </c>
      <c r="Z32" s="98">
        <v>226</v>
      </c>
      <c r="AA32" s="98">
        <v>5630</v>
      </c>
      <c r="AB32" s="93">
        <v>0</v>
      </c>
      <c r="AC32" s="98">
        <v>226</v>
      </c>
      <c r="AD32" s="98">
        <v>181</v>
      </c>
      <c r="AE32" s="98">
        <v>1126</v>
      </c>
      <c r="AF32" s="93">
        <v>0</v>
      </c>
      <c r="AG32" s="98">
        <v>0</v>
      </c>
      <c r="AH32" s="98">
        <v>0</v>
      </c>
      <c r="AI32" s="98">
        <v>0</v>
      </c>
      <c r="AJ32" s="98">
        <v>0</v>
      </c>
      <c r="AK32" s="98">
        <v>0</v>
      </c>
      <c r="AL32" s="98">
        <v>141</v>
      </c>
      <c r="AM32" s="98">
        <v>141</v>
      </c>
      <c r="AN32" s="98">
        <v>0</v>
      </c>
      <c r="AO32" s="98">
        <v>141</v>
      </c>
      <c r="AP32" s="98">
        <v>1408</v>
      </c>
      <c r="AQ32" s="98">
        <v>141</v>
      </c>
      <c r="AR32" s="93">
        <v>141</v>
      </c>
      <c r="AS32" s="98">
        <v>141</v>
      </c>
      <c r="AT32" s="98">
        <v>141</v>
      </c>
      <c r="AU32" s="98">
        <v>141</v>
      </c>
      <c r="AV32" s="93">
        <v>141</v>
      </c>
      <c r="AW32" s="93">
        <v>1</v>
      </c>
      <c r="AX32" s="93">
        <v>5000</v>
      </c>
      <c r="AY32" s="93">
        <v>300</v>
      </c>
      <c r="AZ32" s="93" t="s">
        <v>337</v>
      </c>
      <c r="BA32" s="93" t="s">
        <v>114</v>
      </c>
      <c r="BB32" s="93" t="s">
        <v>114</v>
      </c>
      <c r="BC32" s="95" t="s">
        <v>560</v>
      </c>
      <c r="BE32" s="53" t="s">
        <v>113</v>
      </c>
      <c r="BF32" s="53" t="s">
        <v>262</v>
      </c>
      <c r="BG32" s="53">
        <v>1</v>
      </c>
      <c r="BH32" s="53" t="s">
        <v>338</v>
      </c>
      <c r="BI32" s="53" t="s">
        <v>338</v>
      </c>
      <c r="BJ32" s="93" t="s">
        <v>472</v>
      </c>
      <c r="BK32" s="93" t="s">
        <v>490</v>
      </c>
      <c r="BL32" s="93" t="s">
        <v>490</v>
      </c>
      <c r="BM32" s="95" t="s">
        <v>114</v>
      </c>
      <c r="BN32" s="53" t="s">
        <v>223</v>
      </c>
      <c r="BO32" s="53" t="s">
        <v>488</v>
      </c>
      <c r="BP32" s="53" t="s">
        <v>223</v>
      </c>
      <c r="BQ32" s="53" t="s">
        <v>223</v>
      </c>
      <c r="BR32" s="53" t="s">
        <v>488</v>
      </c>
      <c r="BS32" s="53" t="s">
        <v>223</v>
      </c>
      <c r="BT32" s="53" t="s">
        <v>211</v>
      </c>
      <c r="BU32" s="96" t="str">
        <f>IFERROR(VLOOKUP(U32,[1]skillPerformanceConfig!$A:$O,15,FALSE),3)</f>
        <v>5</v>
      </c>
      <c r="BV32" s="53" t="s">
        <v>470</v>
      </c>
      <c r="BW32" s="96" t="s">
        <v>737</v>
      </c>
      <c r="BX32" s="96">
        <v>15</v>
      </c>
      <c r="BY32" s="96">
        <f t="shared" si="0"/>
        <v>95105</v>
      </c>
      <c r="BZ32" s="96">
        <v>4</v>
      </c>
      <c r="CA32" s="96">
        <v>7</v>
      </c>
      <c r="CB32" s="96"/>
      <c r="CC32" s="53" t="s">
        <v>536</v>
      </c>
    </row>
    <row r="33" spans="1:81" s="54" customFormat="1">
      <c r="A33" s="88">
        <v>32</v>
      </c>
      <c r="B33" s="88" t="s">
        <v>473</v>
      </c>
      <c r="C33" s="128">
        <v>1</v>
      </c>
      <c r="D33" s="88" t="s">
        <v>474</v>
      </c>
      <c r="E33" s="86" t="s">
        <v>635</v>
      </c>
      <c r="F33" s="88"/>
      <c r="G33" s="88"/>
      <c r="H33" s="56" t="s">
        <v>463</v>
      </c>
      <c r="I33" s="56" t="s">
        <v>464</v>
      </c>
      <c r="J33" s="56" t="s">
        <v>465</v>
      </c>
      <c r="K33" s="103">
        <v>9033</v>
      </c>
      <c r="L33" s="88">
        <v>10</v>
      </c>
      <c r="M33" s="88"/>
      <c r="N33" s="129">
        <v>2</v>
      </c>
      <c r="O33" s="130">
        <v>133669</v>
      </c>
      <c r="P33" s="130">
        <v>15859</v>
      </c>
      <c r="Q33" s="130" t="s">
        <v>720</v>
      </c>
      <c r="R33" s="130">
        <v>109063</v>
      </c>
      <c r="S33" s="90" t="s">
        <v>315</v>
      </c>
      <c r="T33" s="56" t="s">
        <v>491</v>
      </c>
      <c r="U33" s="104">
        <v>50030101</v>
      </c>
      <c r="V33" s="56">
        <v>1</v>
      </c>
      <c r="W33" s="56" t="s">
        <v>598</v>
      </c>
      <c r="X33" s="56" t="s">
        <v>557</v>
      </c>
      <c r="Y33" s="91">
        <v>951</v>
      </c>
      <c r="Z33" s="91">
        <v>317</v>
      </c>
      <c r="AA33" s="91">
        <v>7919</v>
      </c>
      <c r="AB33" s="56">
        <v>0</v>
      </c>
      <c r="AC33" s="91">
        <v>317</v>
      </c>
      <c r="AD33" s="91">
        <v>254</v>
      </c>
      <c r="AE33" s="91">
        <v>1584</v>
      </c>
      <c r="AF33" s="56">
        <v>0</v>
      </c>
      <c r="AG33" s="91">
        <v>0</v>
      </c>
      <c r="AH33" s="91">
        <v>0</v>
      </c>
      <c r="AI33" s="91">
        <v>0</v>
      </c>
      <c r="AJ33" s="91">
        <v>0</v>
      </c>
      <c r="AK33" s="91">
        <v>0</v>
      </c>
      <c r="AL33" s="91">
        <v>198</v>
      </c>
      <c r="AM33" s="91">
        <v>198</v>
      </c>
      <c r="AN33" s="91">
        <v>0</v>
      </c>
      <c r="AO33" s="91">
        <v>198</v>
      </c>
      <c r="AP33" s="91">
        <v>1980</v>
      </c>
      <c r="AQ33" s="91">
        <v>198</v>
      </c>
      <c r="AR33" s="56">
        <v>198</v>
      </c>
      <c r="AS33" s="91">
        <v>198</v>
      </c>
      <c r="AT33" s="91">
        <v>198</v>
      </c>
      <c r="AU33" s="91">
        <v>198</v>
      </c>
      <c r="AV33" s="56">
        <v>198</v>
      </c>
      <c r="AW33" s="56">
        <v>1</v>
      </c>
      <c r="AX33" s="56">
        <v>5000</v>
      </c>
      <c r="AY33" s="56">
        <v>300</v>
      </c>
      <c r="AZ33" s="56" t="s">
        <v>337</v>
      </c>
      <c r="BA33" s="56" t="s">
        <v>114</v>
      </c>
      <c r="BB33" s="56" t="s">
        <v>114</v>
      </c>
      <c r="BC33" s="88" t="s">
        <v>560</v>
      </c>
      <c r="BE33" s="54" t="s">
        <v>214</v>
      </c>
      <c r="BF33" s="54" t="s">
        <v>262</v>
      </c>
      <c r="BG33" s="54">
        <v>1</v>
      </c>
      <c r="BH33" s="54" t="s">
        <v>338</v>
      </c>
      <c r="BI33" s="54" t="s">
        <v>338</v>
      </c>
      <c r="BJ33" s="56" t="s">
        <v>553</v>
      </c>
      <c r="BK33" s="56" t="s">
        <v>490</v>
      </c>
      <c r="BL33" s="56" t="s">
        <v>490</v>
      </c>
      <c r="BM33" s="88" t="s">
        <v>114</v>
      </c>
      <c r="BN33" s="54" t="s">
        <v>223</v>
      </c>
      <c r="BO33" s="54" t="s">
        <v>488</v>
      </c>
      <c r="BP33" s="54" t="s">
        <v>223</v>
      </c>
      <c r="BQ33" s="54" t="s">
        <v>223</v>
      </c>
      <c r="BR33" s="54" t="s">
        <v>488</v>
      </c>
      <c r="BS33" s="54" t="s">
        <v>223</v>
      </c>
      <c r="BT33" s="54" t="s">
        <v>211</v>
      </c>
      <c r="BU33" s="89" t="str">
        <f>IFERROR(VLOOKUP(U33,[1]skillPerformanceConfig!$A:$O,15,FALSE),3)</f>
        <v>3</v>
      </c>
      <c r="BV33" s="54" t="s">
        <v>476</v>
      </c>
      <c r="BW33" s="89" t="s">
        <v>733</v>
      </c>
      <c r="BX33" s="89">
        <v>27</v>
      </c>
      <c r="BY33" s="89">
        <f t="shared" si="0"/>
        <v>133669</v>
      </c>
      <c r="BZ33" s="89">
        <v>5</v>
      </c>
      <c r="CA33" s="89">
        <v>9</v>
      </c>
      <c r="CB33" s="89"/>
      <c r="CC33" s="54" t="s">
        <v>531</v>
      </c>
    </row>
  </sheetData>
  <autoFilter ref="A1:BC33"/>
  <phoneticPr fontId="1" type="noConversion"/>
  <conditionalFormatting sqref="BY2:BY33">
    <cfRule type="dataBar" priority="11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{BEE3B819-6414-4588-AA68-912D01602B60}</x14:id>
        </ext>
      </extLst>
    </cfRule>
  </conditionalFormatting>
  <conditionalFormatting sqref="BY29">
    <cfRule type="dataBar" priority="9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{07667924-B448-41AF-9DBC-766BF0736E0F}</x14:id>
        </ext>
      </extLst>
    </cfRule>
  </conditionalFormatting>
  <conditionalFormatting sqref="BY30">
    <cfRule type="dataBar" priority="7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{80A5ADBF-2CC7-4DE4-A79A-ADCA835D8E82}</x14:id>
        </ext>
      </extLst>
    </cfRule>
  </conditionalFormatting>
  <conditionalFormatting sqref="BY31">
    <cfRule type="dataBar" priority="5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{C49A2348-3679-4FAB-954A-916B90FA3A4D}</x14:id>
        </ext>
      </extLst>
    </cfRule>
  </conditionalFormatting>
  <conditionalFormatting sqref="BY32">
    <cfRule type="dataBar" priority="3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{22137F9E-2ED7-4AEA-A61B-D1855CC13AF5}</x14:id>
        </ext>
      </extLst>
    </cfRule>
  </conditionalFormatting>
  <conditionalFormatting sqref="BY33">
    <cfRule type="dataBar" priority="1">
      <dataBar>
        <cfvo type="min" val="0"/>
        <cfvo type="max" val="0"/>
        <color rgb="FFFF555A"/>
      </dataBar>
      <extLst xmlns:x14="http://schemas.microsoft.com/office/spreadsheetml/2009/9/main">
        <ext uri="{B025F937-C7B1-47D3-B67F-A62EFF666E3E}">
          <x14:id>{D0EE9AAD-2BF1-4503-9832-39426721C2F8}</x14:id>
        </ext>
      </extLst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BEE3B819-6414-4588-AA68-912D01602B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BY2:BY33</xm:sqref>
        </x14:conditionalFormatting>
        <x14:conditionalFormatting xmlns:xm="http://schemas.microsoft.com/office/excel/2006/main">
          <x14:cfRule type="dataBar" id="{07667924-B448-41AF-9DBC-766BF0736E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BY29</xm:sqref>
        </x14:conditionalFormatting>
        <x14:conditionalFormatting xmlns:xm="http://schemas.microsoft.com/office/excel/2006/main">
          <x14:cfRule type="dataBar" id="{80A5ADBF-2CC7-4DE4-A79A-ADCA835D8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BY30</xm:sqref>
        </x14:conditionalFormatting>
        <x14:conditionalFormatting xmlns:xm="http://schemas.microsoft.com/office/excel/2006/main">
          <x14:cfRule type="dataBar" id="{C49A2348-3679-4FAB-954A-916B90FA3A4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BY31</xm:sqref>
        </x14:conditionalFormatting>
        <x14:conditionalFormatting xmlns:xm="http://schemas.microsoft.com/office/excel/2006/main">
          <x14:cfRule type="dataBar" id="{22137F9E-2ED7-4AEA-A61B-D1855CC13AF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BY32</xm:sqref>
        </x14:conditionalFormatting>
        <x14:conditionalFormatting xmlns:xm="http://schemas.microsoft.com/office/excel/2006/main">
          <x14:cfRule type="dataBar" id="{D0EE9AAD-2BF1-4503-9832-39426721C2F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BY33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G7"/>
  <sheetViews>
    <sheetView workbookViewId="0">
      <selection activeCell="J19" sqref="J19"/>
    </sheetView>
  </sheetViews>
  <sheetFormatPr defaultRowHeight="13.5"/>
  <cols>
    <col min="1" max="1" width="21.6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>
      <c r="A1" s="16">
        <v>1</v>
      </c>
      <c r="B1" s="16">
        <v>2</v>
      </c>
      <c r="C1" s="16">
        <v>3</v>
      </c>
      <c r="D1" s="16">
        <v>4</v>
      </c>
      <c r="E1" s="16">
        <v>5</v>
      </c>
      <c r="F1" s="16">
        <v>6</v>
      </c>
      <c r="G1" s="16">
        <v>7</v>
      </c>
    </row>
    <row r="2" spans="1:7">
      <c r="A2" s="17" t="s">
        <v>115</v>
      </c>
      <c r="B2" s="17" t="s">
        <v>115</v>
      </c>
      <c r="C2" s="16"/>
      <c r="D2" s="16"/>
      <c r="E2" s="16"/>
      <c r="F2" s="16"/>
      <c r="G2" s="16" t="s">
        <v>3</v>
      </c>
    </row>
    <row r="3" spans="1:7">
      <c r="A3" s="17" t="s">
        <v>112</v>
      </c>
      <c r="B3" s="17" t="s">
        <v>112</v>
      </c>
      <c r="C3" s="16"/>
      <c r="D3" s="16"/>
      <c r="E3" s="16"/>
      <c r="F3" s="16"/>
      <c r="G3" s="16" t="s">
        <v>3</v>
      </c>
    </row>
    <row r="4" spans="1:7">
      <c r="A4" s="17" t="s">
        <v>115</v>
      </c>
      <c r="B4" s="16"/>
      <c r="C4" s="16"/>
      <c r="D4" s="16"/>
      <c r="E4" s="16"/>
      <c r="F4" s="16"/>
      <c r="G4" s="16" t="s">
        <v>118</v>
      </c>
    </row>
    <row r="5" spans="1:7">
      <c r="A5" s="16" t="s">
        <v>116</v>
      </c>
      <c r="B5" s="16"/>
      <c r="C5" s="16"/>
      <c r="D5" s="16"/>
      <c r="E5" s="16"/>
      <c r="F5" s="16"/>
      <c r="G5" s="16" t="s">
        <v>4</v>
      </c>
    </row>
    <row r="6" spans="1:7">
      <c r="A6" s="17" t="s">
        <v>115</v>
      </c>
      <c r="B6" s="16"/>
      <c r="C6" s="16"/>
      <c r="D6" s="16"/>
      <c r="E6" s="16"/>
      <c r="F6" s="16"/>
      <c r="G6" s="16" t="s">
        <v>8</v>
      </c>
    </row>
    <row r="7" spans="1:7">
      <c r="A7" s="24" t="s">
        <v>117</v>
      </c>
      <c r="B7" s="24"/>
      <c r="C7" s="24"/>
      <c r="D7" s="24"/>
      <c r="E7" s="24"/>
      <c r="F7" s="24"/>
      <c r="G7" s="24" t="s">
        <v>32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N1001"/>
  <sheetViews>
    <sheetView topLeftCell="A67" workbookViewId="0">
      <selection activeCell="K14" sqref="K14"/>
    </sheetView>
  </sheetViews>
  <sheetFormatPr defaultRowHeight="13.5"/>
  <cols>
    <col min="1" max="1" width="7.375" style="15" bestFit="1" customWidth="1"/>
    <col min="2" max="2" width="8.5" style="15" bestFit="1" customWidth="1"/>
    <col min="3" max="4" width="11.5" style="15" customWidth="1"/>
    <col min="5" max="7" width="14.125" style="15" bestFit="1" customWidth="1"/>
    <col min="8" max="8" width="12.5" style="15" customWidth="1"/>
    <col min="9" max="10" width="9.75" style="15" bestFit="1" customWidth="1"/>
    <col min="11" max="11" width="13" style="15" bestFit="1" customWidth="1"/>
    <col min="12" max="12" width="9" style="15"/>
    <col min="13" max="13" width="13" style="15" bestFit="1" customWidth="1"/>
    <col min="14" max="16384" width="9" style="15"/>
  </cols>
  <sheetData>
    <row r="1" spans="1:14" s="50" customFormat="1">
      <c r="A1" s="50" t="s">
        <v>545</v>
      </c>
      <c r="B1" s="50" t="s">
        <v>546</v>
      </c>
      <c r="C1" s="50" t="s">
        <v>609</v>
      </c>
      <c r="D1" s="50" t="s">
        <v>610</v>
      </c>
      <c r="E1" s="50" t="s">
        <v>547</v>
      </c>
      <c r="F1" s="50" t="s">
        <v>548</v>
      </c>
      <c r="G1" s="50" t="s">
        <v>549</v>
      </c>
      <c r="H1" s="50" t="s">
        <v>611</v>
      </c>
      <c r="I1" s="50" t="s">
        <v>612</v>
      </c>
      <c r="J1" s="50" t="s">
        <v>613</v>
      </c>
    </row>
    <row r="2" spans="1:14">
      <c r="A2" s="42">
        <v>1</v>
      </c>
      <c r="B2" s="15">
        <v>1000</v>
      </c>
      <c r="C2" s="42">
        <f>E2/H2</f>
        <v>0.01</v>
      </c>
      <c r="D2" s="42">
        <f>C2</f>
        <v>0.01</v>
      </c>
      <c r="E2" s="42">
        <f t="shared" ref="E2:E33" si="0">B2/$N$2</f>
        <v>0.2</v>
      </c>
      <c r="F2" s="42">
        <f t="shared" ref="F2:F33" si="1">B2/$N$3</f>
        <v>0.1</v>
      </c>
      <c r="G2" s="42">
        <f t="shared" ref="G2:G33" si="2">B2/$N$4</f>
        <v>0.05</v>
      </c>
      <c r="H2" s="42">
        <v>20</v>
      </c>
      <c r="I2" s="42">
        <f>H2/2</f>
        <v>10</v>
      </c>
      <c r="J2" s="42">
        <f>H2/4</f>
        <v>5</v>
      </c>
      <c r="K2" s="15">
        <v>10</v>
      </c>
      <c r="M2" s="48" t="s">
        <v>542</v>
      </c>
      <c r="N2" s="49">
        <v>5000</v>
      </c>
    </row>
    <row r="3" spans="1:14">
      <c r="A3" s="42">
        <v>2</v>
      </c>
      <c r="B3" s="15">
        <v>2000</v>
      </c>
      <c r="C3" s="42">
        <f t="shared" ref="C3:C66" si="3">E3/H3</f>
        <v>0.02</v>
      </c>
      <c r="D3" s="42">
        <f>C3+D2</f>
        <v>0.03</v>
      </c>
      <c r="E3" s="42">
        <f t="shared" si="0"/>
        <v>0.4</v>
      </c>
      <c r="F3" s="42">
        <f t="shared" si="1"/>
        <v>0.2</v>
      </c>
      <c r="G3" s="42">
        <f t="shared" si="2"/>
        <v>0.1</v>
      </c>
      <c r="H3" s="42">
        <v>20</v>
      </c>
      <c r="I3" s="42">
        <f t="shared" ref="I3:I66" si="4">H3/2</f>
        <v>10</v>
      </c>
      <c r="J3" s="42">
        <f t="shared" ref="J3:J66" si="5">H3/4</f>
        <v>5</v>
      </c>
      <c r="K3" s="15">
        <v>94</v>
      </c>
      <c r="M3" s="48" t="s">
        <v>543</v>
      </c>
      <c r="N3" s="49">
        <v>10000</v>
      </c>
    </row>
    <row r="4" spans="1:14">
      <c r="A4" s="42">
        <v>3</v>
      </c>
      <c r="B4" s="15">
        <v>2900</v>
      </c>
      <c r="C4" s="42">
        <f t="shared" si="3"/>
        <v>2.8999999999999998E-2</v>
      </c>
      <c r="D4" s="42">
        <f t="shared" ref="D4:D67" si="6">C4+D3</f>
        <v>5.8999999999999997E-2</v>
      </c>
      <c r="E4" s="42">
        <f t="shared" si="0"/>
        <v>0.57999999999999996</v>
      </c>
      <c r="F4" s="42">
        <f t="shared" si="1"/>
        <v>0.28999999999999998</v>
      </c>
      <c r="G4" s="42">
        <f t="shared" si="2"/>
        <v>0.14499999999999999</v>
      </c>
      <c r="H4" s="42">
        <v>20</v>
      </c>
      <c r="I4" s="42">
        <f t="shared" si="4"/>
        <v>10</v>
      </c>
      <c r="J4" s="42">
        <f t="shared" si="5"/>
        <v>5</v>
      </c>
      <c r="K4" s="15">
        <v>231</v>
      </c>
      <c r="M4" s="48" t="s">
        <v>544</v>
      </c>
      <c r="N4" s="49">
        <v>20000</v>
      </c>
    </row>
    <row r="5" spans="1:14">
      <c r="A5" s="42">
        <v>4</v>
      </c>
      <c r="B5" s="15">
        <v>3900</v>
      </c>
      <c r="C5" s="42">
        <f t="shared" si="3"/>
        <v>3.9E-2</v>
      </c>
      <c r="D5" s="42">
        <f t="shared" si="6"/>
        <v>9.8000000000000004E-2</v>
      </c>
      <c r="E5" s="42">
        <f t="shared" si="0"/>
        <v>0.78</v>
      </c>
      <c r="F5" s="42">
        <f t="shared" si="1"/>
        <v>0.39</v>
      </c>
      <c r="G5" s="42">
        <f t="shared" si="2"/>
        <v>0.19500000000000001</v>
      </c>
      <c r="H5" s="42">
        <v>20</v>
      </c>
      <c r="I5" s="42">
        <f t="shared" si="4"/>
        <v>10</v>
      </c>
      <c r="J5" s="42">
        <f t="shared" si="5"/>
        <v>5</v>
      </c>
      <c r="K5" s="15">
        <v>424</v>
      </c>
    </row>
    <row r="6" spans="1:14">
      <c r="A6" s="42">
        <v>5</v>
      </c>
      <c r="B6" s="15">
        <v>4900</v>
      </c>
      <c r="C6" s="42">
        <f t="shared" si="3"/>
        <v>4.9000000000000002E-2</v>
      </c>
      <c r="D6" s="42">
        <f t="shared" si="6"/>
        <v>0.14700000000000002</v>
      </c>
      <c r="E6" s="42">
        <f t="shared" si="0"/>
        <v>0.98</v>
      </c>
      <c r="F6" s="42">
        <f t="shared" si="1"/>
        <v>0.49</v>
      </c>
      <c r="G6" s="42">
        <f t="shared" si="2"/>
        <v>0.245</v>
      </c>
      <c r="H6" s="42">
        <v>20</v>
      </c>
      <c r="I6" s="42">
        <f t="shared" si="4"/>
        <v>10</v>
      </c>
      <c r="J6" s="42">
        <f t="shared" si="5"/>
        <v>5</v>
      </c>
      <c r="K6" s="15">
        <v>671</v>
      </c>
    </row>
    <row r="7" spans="1:14">
      <c r="A7" s="42">
        <v>6</v>
      </c>
      <c r="B7" s="15">
        <v>5900</v>
      </c>
      <c r="C7" s="42">
        <f t="shared" si="3"/>
        <v>5.8999999999999997E-2</v>
      </c>
      <c r="D7" s="42">
        <f t="shared" si="6"/>
        <v>0.20600000000000002</v>
      </c>
      <c r="E7" s="42">
        <f t="shared" si="0"/>
        <v>1.18</v>
      </c>
      <c r="F7" s="42">
        <f t="shared" si="1"/>
        <v>0.59</v>
      </c>
      <c r="G7" s="42">
        <f t="shared" si="2"/>
        <v>0.29499999999999998</v>
      </c>
      <c r="H7" s="42">
        <v>20</v>
      </c>
      <c r="I7" s="42">
        <f t="shared" si="4"/>
        <v>10</v>
      </c>
      <c r="J7" s="42">
        <f t="shared" si="5"/>
        <v>5</v>
      </c>
      <c r="K7" s="15">
        <v>975</v>
      </c>
    </row>
    <row r="8" spans="1:14">
      <c r="A8" s="42">
        <v>7</v>
      </c>
      <c r="B8" s="15">
        <v>6900</v>
      </c>
      <c r="C8" s="42">
        <f t="shared" si="3"/>
        <v>6.8999999999999992E-2</v>
      </c>
      <c r="D8" s="42">
        <f t="shared" si="6"/>
        <v>0.27500000000000002</v>
      </c>
      <c r="E8" s="42">
        <f t="shared" si="0"/>
        <v>1.38</v>
      </c>
      <c r="F8" s="42">
        <f t="shared" si="1"/>
        <v>0.69</v>
      </c>
      <c r="G8" s="42">
        <f t="shared" si="2"/>
        <v>0.34499999999999997</v>
      </c>
      <c r="H8" s="42">
        <v>20</v>
      </c>
      <c r="I8" s="42">
        <f t="shared" si="4"/>
        <v>10</v>
      </c>
      <c r="J8" s="42">
        <f t="shared" si="5"/>
        <v>5</v>
      </c>
      <c r="K8" s="15">
        <v>1335</v>
      </c>
    </row>
    <row r="9" spans="1:14">
      <c r="A9" s="42">
        <v>8</v>
      </c>
      <c r="B9" s="15">
        <v>7900</v>
      </c>
      <c r="C9" s="42">
        <f t="shared" si="3"/>
        <v>7.9000000000000001E-2</v>
      </c>
      <c r="D9" s="42">
        <f t="shared" si="6"/>
        <v>0.35400000000000004</v>
      </c>
      <c r="E9" s="42">
        <f t="shared" si="0"/>
        <v>1.58</v>
      </c>
      <c r="F9" s="42">
        <f t="shared" si="1"/>
        <v>0.79</v>
      </c>
      <c r="G9" s="42">
        <f t="shared" si="2"/>
        <v>0.39500000000000002</v>
      </c>
      <c r="H9" s="42">
        <v>20</v>
      </c>
      <c r="I9" s="42">
        <f t="shared" si="4"/>
        <v>10</v>
      </c>
      <c r="J9" s="42">
        <f t="shared" si="5"/>
        <v>5</v>
      </c>
      <c r="K9" s="15">
        <v>1752</v>
      </c>
    </row>
    <row r="10" spans="1:14">
      <c r="A10" s="42">
        <v>9</v>
      </c>
      <c r="B10" s="15">
        <v>8900</v>
      </c>
      <c r="C10" s="42">
        <f t="shared" si="3"/>
        <v>8.8999999999999996E-2</v>
      </c>
      <c r="D10" s="42">
        <f t="shared" si="6"/>
        <v>0.44300000000000006</v>
      </c>
      <c r="E10" s="42">
        <f t="shared" si="0"/>
        <v>1.78</v>
      </c>
      <c r="F10" s="42">
        <f t="shared" si="1"/>
        <v>0.89</v>
      </c>
      <c r="G10" s="42">
        <f t="shared" si="2"/>
        <v>0.44500000000000001</v>
      </c>
      <c r="H10" s="42">
        <v>20</v>
      </c>
      <c r="I10" s="42">
        <f t="shared" si="4"/>
        <v>10</v>
      </c>
      <c r="J10" s="42">
        <f t="shared" si="5"/>
        <v>5</v>
      </c>
      <c r="K10" s="15">
        <v>2226</v>
      </c>
    </row>
    <row r="11" spans="1:14">
      <c r="A11" s="42">
        <v>10</v>
      </c>
      <c r="B11" s="15">
        <v>9900</v>
      </c>
      <c r="C11" s="42">
        <f t="shared" si="3"/>
        <v>9.9000000000000005E-2</v>
      </c>
      <c r="D11" s="42">
        <f t="shared" si="6"/>
        <v>0.54200000000000004</v>
      </c>
      <c r="E11" s="42">
        <f t="shared" si="0"/>
        <v>1.98</v>
      </c>
      <c r="F11" s="42">
        <f t="shared" si="1"/>
        <v>0.99</v>
      </c>
      <c r="G11" s="42">
        <f t="shared" si="2"/>
        <v>0.495</v>
      </c>
      <c r="H11" s="42">
        <v>20</v>
      </c>
      <c r="I11" s="42">
        <f t="shared" si="4"/>
        <v>10</v>
      </c>
      <c r="J11" s="42">
        <f t="shared" si="5"/>
        <v>5</v>
      </c>
      <c r="K11" s="15">
        <v>2757</v>
      </c>
    </row>
    <row r="12" spans="1:14">
      <c r="A12" s="42">
        <v>11</v>
      </c>
      <c r="B12" s="15">
        <v>11000</v>
      </c>
      <c r="C12" s="42">
        <f t="shared" si="3"/>
        <v>0.11000000000000001</v>
      </c>
      <c r="D12" s="42">
        <f t="shared" si="6"/>
        <v>0.65200000000000002</v>
      </c>
      <c r="E12" s="42">
        <f t="shared" si="0"/>
        <v>2.2000000000000002</v>
      </c>
      <c r="F12" s="42">
        <f t="shared" si="1"/>
        <v>1.1000000000000001</v>
      </c>
      <c r="G12" s="42">
        <f t="shared" si="2"/>
        <v>0.55000000000000004</v>
      </c>
      <c r="H12" s="42">
        <v>20</v>
      </c>
      <c r="I12" s="42">
        <f t="shared" si="4"/>
        <v>10</v>
      </c>
      <c r="J12" s="42">
        <f t="shared" si="5"/>
        <v>5</v>
      </c>
      <c r="K12" s="15">
        <v>3586</v>
      </c>
    </row>
    <row r="13" spans="1:14">
      <c r="A13" s="42">
        <v>12</v>
      </c>
      <c r="B13" s="15">
        <v>12000</v>
      </c>
      <c r="C13" s="42">
        <f t="shared" si="3"/>
        <v>0.12</v>
      </c>
      <c r="D13" s="42">
        <f t="shared" si="6"/>
        <v>0.77200000000000002</v>
      </c>
      <c r="E13" s="42">
        <f t="shared" si="0"/>
        <v>2.4</v>
      </c>
      <c r="F13" s="42">
        <f t="shared" si="1"/>
        <v>1.2</v>
      </c>
      <c r="G13" s="42">
        <f t="shared" si="2"/>
        <v>0.6</v>
      </c>
      <c r="H13" s="42">
        <v>20</v>
      </c>
      <c r="I13" s="42">
        <f t="shared" si="4"/>
        <v>10</v>
      </c>
      <c r="J13" s="42">
        <f t="shared" si="5"/>
        <v>5</v>
      </c>
      <c r="K13" s="15">
        <v>4513</v>
      </c>
    </row>
    <row r="14" spans="1:14">
      <c r="A14" s="42">
        <v>13</v>
      </c>
      <c r="B14" s="15">
        <v>13100</v>
      </c>
      <c r="C14" s="42">
        <f t="shared" si="3"/>
        <v>0.13100000000000001</v>
      </c>
      <c r="D14" s="42">
        <f t="shared" si="6"/>
        <v>0.90300000000000002</v>
      </c>
      <c r="E14" s="42">
        <f t="shared" si="0"/>
        <v>2.62</v>
      </c>
      <c r="F14" s="42">
        <f t="shared" si="1"/>
        <v>1.31</v>
      </c>
      <c r="G14" s="42">
        <f t="shared" si="2"/>
        <v>0.65500000000000003</v>
      </c>
      <c r="H14" s="42">
        <v>20</v>
      </c>
      <c r="I14" s="42">
        <f t="shared" si="4"/>
        <v>10</v>
      </c>
      <c r="J14" s="42">
        <f t="shared" si="5"/>
        <v>5</v>
      </c>
      <c r="K14" s="15">
        <v>5538</v>
      </c>
    </row>
    <row r="15" spans="1:14">
      <c r="A15" s="42">
        <v>14</v>
      </c>
      <c r="B15" s="15">
        <v>14100</v>
      </c>
      <c r="C15" s="42">
        <f t="shared" si="3"/>
        <v>0.14099999999999999</v>
      </c>
      <c r="D15" s="42">
        <f t="shared" si="6"/>
        <v>1.044</v>
      </c>
      <c r="E15" s="42">
        <f t="shared" si="0"/>
        <v>2.82</v>
      </c>
      <c r="F15" s="42">
        <f t="shared" si="1"/>
        <v>1.41</v>
      </c>
      <c r="G15" s="42">
        <f t="shared" si="2"/>
        <v>0.70499999999999996</v>
      </c>
      <c r="H15" s="42">
        <v>20</v>
      </c>
      <c r="I15" s="42">
        <f t="shared" si="4"/>
        <v>10</v>
      </c>
      <c r="J15" s="42">
        <f t="shared" si="5"/>
        <v>5</v>
      </c>
      <c r="K15" s="15">
        <v>6660</v>
      </c>
    </row>
    <row r="16" spans="1:14">
      <c r="A16" s="42">
        <v>15</v>
      </c>
      <c r="B16" s="15">
        <v>15200</v>
      </c>
      <c r="C16" s="42">
        <f t="shared" si="3"/>
        <v>0.152</v>
      </c>
      <c r="D16" s="42">
        <f t="shared" si="6"/>
        <v>1.196</v>
      </c>
      <c r="E16" s="42">
        <f t="shared" si="0"/>
        <v>3.04</v>
      </c>
      <c r="F16" s="42">
        <f t="shared" si="1"/>
        <v>1.52</v>
      </c>
      <c r="G16" s="42">
        <f t="shared" si="2"/>
        <v>0.76</v>
      </c>
      <c r="H16" s="42">
        <v>20</v>
      </c>
      <c r="I16" s="42">
        <f t="shared" si="4"/>
        <v>10</v>
      </c>
      <c r="J16" s="42">
        <f t="shared" si="5"/>
        <v>5</v>
      </c>
      <c r="K16" s="15">
        <v>7882</v>
      </c>
    </row>
    <row r="17" spans="1:11">
      <c r="A17" s="42">
        <v>16</v>
      </c>
      <c r="B17" s="15">
        <v>16300</v>
      </c>
      <c r="C17" s="42">
        <f t="shared" si="3"/>
        <v>0.16299999999999998</v>
      </c>
      <c r="D17" s="42">
        <f t="shared" si="6"/>
        <v>1.359</v>
      </c>
      <c r="E17" s="42">
        <f t="shared" si="0"/>
        <v>3.26</v>
      </c>
      <c r="F17" s="42">
        <f t="shared" si="1"/>
        <v>1.63</v>
      </c>
      <c r="G17" s="42">
        <f t="shared" si="2"/>
        <v>0.81499999999999995</v>
      </c>
      <c r="H17" s="42">
        <v>20</v>
      </c>
      <c r="I17" s="42">
        <f t="shared" si="4"/>
        <v>10</v>
      </c>
      <c r="J17" s="42">
        <f t="shared" si="5"/>
        <v>5</v>
      </c>
      <c r="K17" s="15">
        <v>9202</v>
      </c>
    </row>
    <row r="18" spans="1:11">
      <c r="A18" s="42">
        <v>17</v>
      </c>
      <c r="B18" s="15">
        <v>17400</v>
      </c>
      <c r="C18" s="42">
        <f t="shared" si="3"/>
        <v>0.17399999999999999</v>
      </c>
      <c r="D18" s="42">
        <f t="shared" si="6"/>
        <v>1.5329999999999999</v>
      </c>
      <c r="E18" s="42">
        <f t="shared" si="0"/>
        <v>3.48</v>
      </c>
      <c r="F18" s="42">
        <f t="shared" si="1"/>
        <v>1.74</v>
      </c>
      <c r="G18" s="42">
        <f t="shared" si="2"/>
        <v>0.87</v>
      </c>
      <c r="H18" s="42">
        <v>20</v>
      </c>
      <c r="I18" s="42">
        <f t="shared" si="4"/>
        <v>10</v>
      </c>
      <c r="J18" s="42">
        <f t="shared" si="5"/>
        <v>5</v>
      </c>
      <c r="K18" s="15">
        <v>10621</v>
      </c>
    </row>
    <row r="19" spans="1:11">
      <c r="A19" s="42">
        <v>18</v>
      </c>
      <c r="B19" s="15">
        <v>18400</v>
      </c>
      <c r="C19" s="42">
        <f t="shared" si="3"/>
        <v>0.184</v>
      </c>
      <c r="D19" s="42">
        <f t="shared" si="6"/>
        <v>1.7169999999999999</v>
      </c>
      <c r="E19" s="42">
        <f t="shared" si="0"/>
        <v>3.68</v>
      </c>
      <c r="F19" s="42">
        <f t="shared" si="1"/>
        <v>1.84</v>
      </c>
      <c r="G19" s="42">
        <f t="shared" si="2"/>
        <v>0.92</v>
      </c>
      <c r="H19" s="42">
        <v>20</v>
      </c>
      <c r="I19" s="42">
        <f t="shared" si="4"/>
        <v>10</v>
      </c>
      <c r="J19" s="42">
        <f t="shared" si="5"/>
        <v>5</v>
      </c>
      <c r="K19" s="15">
        <v>12139</v>
      </c>
    </row>
    <row r="20" spans="1:11">
      <c r="A20" s="42">
        <v>19</v>
      </c>
      <c r="B20" s="15">
        <v>19500</v>
      </c>
      <c r="C20" s="42">
        <f t="shared" si="3"/>
        <v>0.19500000000000001</v>
      </c>
      <c r="D20" s="42">
        <f t="shared" si="6"/>
        <v>1.9119999999999999</v>
      </c>
      <c r="E20" s="42">
        <f t="shared" si="0"/>
        <v>3.9</v>
      </c>
      <c r="F20" s="42">
        <f t="shared" si="1"/>
        <v>1.95</v>
      </c>
      <c r="G20" s="42">
        <f t="shared" si="2"/>
        <v>0.97499999999999998</v>
      </c>
      <c r="H20" s="42">
        <v>20</v>
      </c>
      <c r="I20" s="42">
        <f t="shared" si="4"/>
        <v>10</v>
      </c>
      <c r="J20" s="42">
        <f t="shared" si="5"/>
        <v>5</v>
      </c>
      <c r="K20" s="15">
        <v>13756</v>
      </c>
    </row>
    <row r="21" spans="1:11">
      <c r="A21" s="42">
        <v>20</v>
      </c>
      <c r="B21" s="15">
        <v>20600</v>
      </c>
      <c r="C21" s="42">
        <f t="shared" si="3"/>
        <v>0.20600000000000002</v>
      </c>
      <c r="D21" s="42">
        <f t="shared" si="6"/>
        <v>2.1179999999999999</v>
      </c>
      <c r="E21" s="42">
        <f t="shared" si="0"/>
        <v>4.12</v>
      </c>
      <c r="F21" s="42">
        <f t="shared" si="1"/>
        <v>2.06</v>
      </c>
      <c r="G21" s="42">
        <f t="shared" si="2"/>
        <v>1.03</v>
      </c>
      <c r="H21" s="42">
        <v>20</v>
      </c>
      <c r="I21" s="42">
        <f t="shared" si="4"/>
        <v>10</v>
      </c>
      <c r="J21" s="42">
        <f t="shared" si="5"/>
        <v>5</v>
      </c>
      <c r="K21" s="15">
        <v>15472</v>
      </c>
    </row>
    <row r="22" spans="1:11">
      <c r="A22" s="42">
        <v>21</v>
      </c>
      <c r="B22" s="15">
        <v>21700</v>
      </c>
      <c r="C22" s="42">
        <f t="shared" si="3"/>
        <v>0.217</v>
      </c>
      <c r="D22" s="42">
        <f t="shared" si="6"/>
        <v>2.335</v>
      </c>
      <c r="E22" s="42">
        <f t="shared" si="0"/>
        <v>4.34</v>
      </c>
      <c r="F22" s="42">
        <f t="shared" si="1"/>
        <v>2.17</v>
      </c>
      <c r="G22" s="42">
        <f t="shared" si="2"/>
        <v>1.085</v>
      </c>
      <c r="H22" s="42">
        <v>20</v>
      </c>
      <c r="I22" s="42">
        <f t="shared" si="4"/>
        <v>10</v>
      </c>
      <c r="J22" s="42">
        <f t="shared" si="5"/>
        <v>5</v>
      </c>
      <c r="K22" s="15">
        <v>17288</v>
      </c>
    </row>
    <row r="23" spans="1:11">
      <c r="A23" s="42">
        <v>22</v>
      </c>
      <c r="B23" s="15">
        <v>22800</v>
      </c>
      <c r="C23" s="42">
        <f t="shared" si="3"/>
        <v>0.22799999999999998</v>
      </c>
      <c r="D23" s="42">
        <f t="shared" si="6"/>
        <v>2.5629999999999997</v>
      </c>
      <c r="E23" s="42">
        <f t="shared" si="0"/>
        <v>4.5599999999999996</v>
      </c>
      <c r="F23" s="42">
        <f t="shared" si="1"/>
        <v>2.2799999999999998</v>
      </c>
      <c r="G23" s="42">
        <f t="shared" si="2"/>
        <v>1.1399999999999999</v>
      </c>
      <c r="H23" s="42">
        <v>20</v>
      </c>
      <c r="I23" s="42">
        <f t="shared" si="4"/>
        <v>10</v>
      </c>
      <c r="J23" s="42">
        <f t="shared" si="5"/>
        <v>5</v>
      </c>
      <c r="K23" s="15">
        <v>19203</v>
      </c>
    </row>
    <row r="24" spans="1:11">
      <c r="A24" s="42">
        <v>23</v>
      </c>
      <c r="B24" s="15">
        <v>23900</v>
      </c>
      <c r="C24" s="42">
        <f t="shared" si="3"/>
        <v>0.23900000000000002</v>
      </c>
      <c r="D24" s="42">
        <f t="shared" si="6"/>
        <v>2.8019999999999996</v>
      </c>
      <c r="E24" s="42">
        <f t="shared" si="0"/>
        <v>4.78</v>
      </c>
      <c r="F24" s="42">
        <f t="shared" si="1"/>
        <v>2.39</v>
      </c>
      <c r="G24" s="42">
        <f t="shared" si="2"/>
        <v>1.1950000000000001</v>
      </c>
      <c r="H24" s="42">
        <v>20</v>
      </c>
      <c r="I24" s="42">
        <f t="shared" si="4"/>
        <v>10</v>
      </c>
      <c r="J24" s="42">
        <f t="shared" si="5"/>
        <v>5</v>
      </c>
      <c r="K24" s="15">
        <v>21218</v>
      </c>
    </row>
    <row r="25" spans="1:11">
      <c r="A25" s="42">
        <v>24</v>
      </c>
      <c r="B25" s="15">
        <v>25000</v>
      </c>
      <c r="C25" s="42">
        <f t="shared" si="3"/>
        <v>0.25</v>
      </c>
      <c r="D25" s="42">
        <f t="shared" si="6"/>
        <v>3.0519999999999996</v>
      </c>
      <c r="E25" s="42">
        <f t="shared" si="0"/>
        <v>5</v>
      </c>
      <c r="F25" s="42">
        <f t="shared" si="1"/>
        <v>2.5</v>
      </c>
      <c r="G25" s="42">
        <f t="shared" si="2"/>
        <v>1.25</v>
      </c>
      <c r="H25" s="42">
        <v>20</v>
      </c>
      <c r="I25" s="42">
        <f t="shared" si="4"/>
        <v>10</v>
      </c>
      <c r="J25" s="42">
        <f t="shared" si="5"/>
        <v>5</v>
      </c>
      <c r="K25" s="15">
        <v>23333</v>
      </c>
    </row>
    <row r="26" spans="1:11">
      <c r="A26" s="42">
        <v>25</v>
      </c>
      <c r="B26" s="15">
        <v>26100</v>
      </c>
      <c r="C26" s="42">
        <f t="shared" si="3"/>
        <v>0.26100000000000001</v>
      </c>
      <c r="D26" s="42">
        <f t="shared" si="6"/>
        <v>3.3129999999999997</v>
      </c>
      <c r="E26" s="42">
        <f t="shared" si="0"/>
        <v>5.22</v>
      </c>
      <c r="F26" s="42">
        <f t="shared" si="1"/>
        <v>2.61</v>
      </c>
      <c r="G26" s="42">
        <f t="shared" si="2"/>
        <v>1.3049999999999999</v>
      </c>
      <c r="H26" s="42">
        <v>20</v>
      </c>
      <c r="I26" s="42">
        <f t="shared" si="4"/>
        <v>10</v>
      </c>
      <c r="J26" s="42">
        <f t="shared" si="5"/>
        <v>5</v>
      </c>
      <c r="K26" s="15">
        <v>25548</v>
      </c>
    </row>
    <row r="27" spans="1:11">
      <c r="A27" s="42">
        <v>26</v>
      </c>
      <c r="B27" s="15">
        <v>27200</v>
      </c>
      <c r="C27" s="42">
        <f t="shared" si="3"/>
        <v>0.27200000000000002</v>
      </c>
      <c r="D27" s="42">
        <f t="shared" si="6"/>
        <v>3.585</v>
      </c>
      <c r="E27" s="42">
        <f t="shared" si="0"/>
        <v>5.44</v>
      </c>
      <c r="F27" s="42">
        <f t="shared" si="1"/>
        <v>2.72</v>
      </c>
      <c r="G27" s="42">
        <f t="shared" si="2"/>
        <v>1.36</v>
      </c>
      <c r="H27" s="42">
        <v>20</v>
      </c>
      <c r="I27" s="42">
        <f t="shared" si="4"/>
        <v>10</v>
      </c>
      <c r="J27" s="42">
        <f t="shared" si="5"/>
        <v>5</v>
      </c>
      <c r="K27" s="15">
        <v>27998</v>
      </c>
    </row>
    <row r="28" spans="1:11">
      <c r="A28" s="42">
        <v>27</v>
      </c>
      <c r="B28" s="15">
        <v>28400</v>
      </c>
      <c r="C28" s="42">
        <f t="shared" si="3"/>
        <v>0.28399999999999997</v>
      </c>
      <c r="D28" s="42">
        <f t="shared" si="6"/>
        <v>3.8689999999999998</v>
      </c>
      <c r="E28" s="42">
        <f t="shared" si="0"/>
        <v>5.68</v>
      </c>
      <c r="F28" s="42">
        <f t="shared" si="1"/>
        <v>2.84</v>
      </c>
      <c r="G28" s="42">
        <f t="shared" si="2"/>
        <v>1.42</v>
      </c>
      <c r="H28" s="42">
        <v>20</v>
      </c>
      <c r="I28" s="42">
        <f t="shared" si="4"/>
        <v>10</v>
      </c>
      <c r="J28" s="42">
        <f t="shared" si="5"/>
        <v>5</v>
      </c>
      <c r="K28" s="15">
        <v>30558</v>
      </c>
    </row>
    <row r="29" spans="1:11">
      <c r="A29" s="42">
        <v>28</v>
      </c>
      <c r="B29" s="15">
        <v>29500</v>
      </c>
      <c r="C29" s="42">
        <f t="shared" si="3"/>
        <v>0.29500000000000004</v>
      </c>
      <c r="D29" s="42">
        <f t="shared" si="6"/>
        <v>4.1639999999999997</v>
      </c>
      <c r="E29" s="42">
        <f t="shared" si="0"/>
        <v>5.9</v>
      </c>
      <c r="F29" s="42">
        <f t="shared" si="1"/>
        <v>2.95</v>
      </c>
      <c r="G29" s="42">
        <f t="shared" si="2"/>
        <v>1.4750000000000001</v>
      </c>
      <c r="H29" s="42">
        <v>20</v>
      </c>
      <c r="I29" s="42">
        <f t="shared" si="4"/>
        <v>10</v>
      </c>
      <c r="J29" s="42">
        <f t="shared" si="5"/>
        <v>5</v>
      </c>
      <c r="K29" s="15">
        <v>33228</v>
      </c>
    </row>
    <row r="30" spans="1:11">
      <c r="A30" s="42">
        <v>29</v>
      </c>
      <c r="B30" s="15">
        <v>30600</v>
      </c>
      <c r="C30" s="42">
        <f t="shared" si="3"/>
        <v>0.30599999999999999</v>
      </c>
      <c r="D30" s="42">
        <f t="shared" si="6"/>
        <v>4.47</v>
      </c>
      <c r="E30" s="42">
        <f t="shared" si="0"/>
        <v>6.12</v>
      </c>
      <c r="F30" s="42">
        <f t="shared" si="1"/>
        <v>3.06</v>
      </c>
      <c r="G30" s="42">
        <f t="shared" si="2"/>
        <v>1.53</v>
      </c>
      <c r="H30" s="42">
        <v>20</v>
      </c>
      <c r="I30" s="42">
        <f t="shared" si="4"/>
        <v>10</v>
      </c>
      <c r="J30" s="42">
        <f t="shared" si="5"/>
        <v>5</v>
      </c>
      <c r="K30" s="15">
        <v>36009</v>
      </c>
    </row>
    <row r="31" spans="1:11">
      <c r="A31" s="42">
        <v>30</v>
      </c>
      <c r="B31" s="15">
        <v>31700</v>
      </c>
      <c r="C31" s="42">
        <f t="shared" si="3"/>
        <v>0.317</v>
      </c>
      <c r="D31" s="42">
        <f t="shared" si="6"/>
        <v>4.7869999999999999</v>
      </c>
      <c r="E31" s="42">
        <f t="shared" si="0"/>
        <v>6.34</v>
      </c>
      <c r="F31" s="42">
        <f t="shared" si="1"/>
        <v>3.17</v>
      </c>
      <c r="G31" s="42">
        <f t="shared" si="2"/>
        <v>1.585</v>
      </c>
      <c r="H31" s="42">
        <v>20</v>
      </c>
      <c r="I31" s="42">
        <f t="shared" si="4"/>
        <v>10</v>
      </c>
      <c r="J31" s="42">
        <f t="shared" si="5"/>
        <v>5</v>
      </c>
      <c r="K31" s="15">
        <v>38900</v>
      </c>
    </row>
    <row r="32" spans="1:11">
      <c r="A32" s="42">
        <v>31</v>
      </c>
      <c r="B32" s="15">
        <v>32900</v>
      </c>
      <c r="C32" s="42">
        <f t="shared" si="3"/>
        <v>0.32900000000000001</v>
      </c>
      <c r="D32" s="42">
        <f t="shared" si="6"/>
        <v>5.1159999999999997</v>
      </c>
      <c r="E32" s="42">
        <f t="shared" si="0"/>
        <v>6.58</v>
      </c>
      <c r="F32" s="42">
        <f t="shared" si="1"/>
        <v>3.29</v>
      </c>
      <c r="G32" s="42">
        <f t="shared" si="2"/>
        <v>1.645</v>
      </c>
      <c r="H32" s="42">
        <v>20</v>
      </c>
      <c r="I32" s="42">
        <f t="shared" si="4"/>
        <v>10</v>
      </c>
      <c r="J32" s="42">
        <f t="shared" si="5"/>
        <v>5</v>
      </c>
      <c r="K32" s="15">
        <v>41903</v>
      </c>
    </row>
    <row r="33" spans="1:11">
      <c r="A33" s="42">
        <v>32</v>
      </c>
      <c r="B33" s="15">
        <v>34000</v>
      </c>
      <c r="C33" s="42">
        <f t="shared" si="3"/>
        <v>0.33999999999999997</v>
      </c>
      <c r="D33" s="42">
        <f t="shared" si="6"/>
        <v>5.4559999999999995</v>
      </c>
      <c r="E33" s="42">
        <f t="shared" si="0"/>
        <v>6.8</v>
      </c>
      <c r="F33" s="42">
        <f t="shared" si="1"/>
        <v>3.4</v>
      </c>
      <c r="G33" s="42">
        <f t="shared" si="2"/>
        <v>1.7</v>
      </c>
      <c r="H33" s="42">
        <v>20</v>
      </c>
      <c r="I33" s="42">
        <f t="shared" si="4"/>
        <v>10</v>
      </c>
      <c r="J33" s="42">
        <f t="shared" si="5"/>
        <v>5</v>
      </c>
      <c r="K33" s="15">
        <v>45015</v>
      </c>
    </row>
    <row r="34" spans="1:11">
      <c r="A34" s="42">
        <v>33</v>
      </c>
      <c r="B34" s="15">
        <v>35100</v>
      </c>
      <c r="C34" s="42">
        <f t="shared" si="3"/>
        <v>0.35099999999999998</v>
      </c>
      <c r="D34" s="42">
        <f t="shared" si="6"/>
        <v>5.8069999999999995</v>
      </c>
      <c r="E34" s="42">
        <f t="shared" ref="E34:E65" si="7">B34/$N$2</f>
        <v>7.02</v>
      </c>
      <c r="F34" s="42">
        <f t="shared" ref="F34:F65" si="8">B34/$N$3</f>
        <v>3.51</v>
      </c>
      <c r="G34" s="42">
        <f t="shared" ref="G34:G65" si="9">B34/$N$4</f>
        <v>1.7549999999999999</v>
      </c>
      <c r="H34" s="42">
        <v>20</v>
      </c>
      <c r="I34" s="42">
        <f t="shared" si="4"/>
        <v>10</v>
      </c>
      <c r="J34" s="42">
        <f t="shared" si="5"/>
        <v>5</v>
      </c>
      <c r="K34" s="15">
        <v>48239</v>
      </c>
    </row>
    <row r="35" spans="1:11">
      <c r="A35" s="42">
        <v>34</v>
      </c>
      <c r="B35" s="15">
        <v>36300</v>
      </c>
      <c r="C35" s="42">
        <f t="shared" si="3"/>
        <v>0.36299999999999999</v>
      </c>
      <c r="D35" s="42">
        <f t="shared" si="6"/>
        <v>6.17</v>
      </c>
      <c r="E35" s="42">
        <f t="shared" si="7"/>
        <v>7.26</v>
      </c>
      <c r="F35" s="42">
        <f t="shared" si="8"/>
        <v>3.63</v>
      </c>
      <c r="G35" s="42">
        <f t="shared" si="9"/>
        <v>1.8149999999999999</v>
      </c>
      <c r="H35" s="42">
        <v>20</v>
      </c>
      <c r="I35" s="42">
        <f t="shared" si="4"/>
        <v>10</v>
      </c>
      <c r="J35" s="42">
        <f t="shared" si="5"/>
        <v>5</v>
      </c>
      <c r="K35" s="15">
        <v>51574</v>
      </c>
    </row>
    <row r="36" spans="1:11">
      <c r="A36" s="42">
        <v>35</v>
      </c>
      <c r="B36" s="15">
        <v>37400</v>
      </c>
      <c r="C36" s="42">
        <f t="shared" si="3"/>
        <v>0.374</v>
      </c>
      <c r="D36" s="42">
        <f t="shared" si="6"/>
        <v>6.5439999999999996</v>
      </c>
      <c r="E36" s="42">
        <f t="shared" si="7"/>
        <v>7.48</v>
      </c>
      <c r="F36" s="42">
        <f t="shared" si="8"/>
        <v>3.74</v>
      </c>
      <c r="G36" s="42">
        <f t="shared" si="9"/>
        <v>1.87</v>
      </c>
      <c r="H36" s="42">
        <v>20</v>
      </c>
      <c r="I36" s="42">
        <f t="shared" si="4"/>
        <v>10</v>
      </c>
      <c r="J36" s="42">
        <f t="shared" si="5"/>
        <v>5</v>
      </c>
      <c r="K36" s="15">
        <v>55019</v>
      </c>
    </row>
    <row r="37" spans="1:11">
      <c r="A37" s="42">
        <v>36</v>
      </c>
      <c r="B37" s="15">
        <v>38600</v>
      </c>
      <c r="C37" s="42">
        <f t="shared" si="3"/>
        <v>0.38600000000000001</v>
      </c>
      <c r="D37" s="42">
        <f t="shared" si="6"/>
        <v>6.93</v>
      </c>
      <c r="E37" s="42">
        <f t="shared" si="7"/>
        <v>7.72</v>
      </c>
      <c r="F37" s="42">
        <f t="shared" si="8"/>
        <v>3.86</v>
      </c>
      <c r="G37" s="42">
        <f t="shared" si="9"/>
        <v>1.93</v>
      </c>
      <c r="H37" s="42">
        <v>20</v>
      </c>
      <c r="I37" s="42">
        <f t="shared" si="4"/>
        <v>10</v>
      </c>
      <c r="J37" s="42">
        <f t="shared" si="5"/>
        <v>5</v>
      </c>
      <c r="K37" s="15">
        <v>58576</v>
      </c>
    </row>
    <row r="38" spans="1:11">
      <c r="A38" s="42">
        <v>37</v>
      </c>
      <c r="B38" s="15">
        <v>39700</v>
      </c>
      <c r="C38" s="42">
        <f t="shared" si="3"/>
        <v>0.39700000000000002</v>
      </c>
      <c r="D38" s="42">
        <f t="shared" si="6"/>
        <v>7.327</v>
      </c>
      <c r="E38" s="42">
        <f t="shared" si="7"/>
        <v>7.94</v>
      </c>
      <c r="F38" s="42">
        <f t="shared" si="8"/>
        <v>3.97</v>
      </c>
      <c r="G38" s="42">
        <f t="shared" si="9"/>
        <v>1.9850000000000001</v>
      </c>
      <c r="H38" s="42">
        <v>20</v>
      </c>
      <c r="I38" s="42">
        <f t="shared" si="4"/>
        <v>10</v>
      </c>
      <c r="J38" s="42">
        <f t="shared" si="5"/>
        <v>5</v>
      </c>
      <c r="K38" s="15">
        <v>62244</v>
      </c>
    </row>
    <row r="39" spans="1:11">
      <c r="A39" s="42">
        <v>38</v>
      </c>
      <c r="B39" s="15">
        <v>40900</v>
      </c>
      <c r="C39" s="42">
        <f t="shared" si="3"/>
        <v>0.40899999999999997</v>
      </c>
      <c r="D39" s="42">
        <f t="shared" si="6"/>
        <v>7.7359999999999998</v>
      </c>
      <c r="E39" s="42">
        <f t="shared" si="7"/>
        <v>8.18</v>
      </c>
      <c r="F39" s="42">
        <f t="shared" si="8"/>
        <v>4.09</v>
      </c>
      <c r="G39" s="42">
        <f t="shared" si="9"/>
        <v>2.0449999999999999</v>
      </c>
      <c r="H39" s="42">
        <v>20</v>
      </c>
      <c r="I39" s="42">
        <f t="shared" si="4"/>
        <v>10</v>
      </c>
      <c r="J39" s="42">
        <f t="shared" si="5"/>
        <v>5</v>
      </c>
      <c r="K39" s="15">
        <v>66023</v>
      </c>
    </row>
    <row r="40" spans="1:11">
      <c r="A40" s="42">
        <v>39</v>
      </c>
      <c r="B40" s="15">
        <v>42000</v>
      </c>
      <c r="C40" s="42">
        <f t="shared" si="3"/>
        <v>0.42000000000000004</v>
      </c>
      <c r="D40" s="42">
        <f t="shared" si="6"/>
        <v>8.1560000000000006</v>
      </c>
      <c r="E40" s="42">
        <f t="shared" si="7"/>
        <v>8.4</v>
      </c>
      <c r="F40" s="42">
        <f t="shared" si="8"/>
        <v>4.2</v>
      </c>
      <c r="G40" s="42">
        <f t="shared" si="9"/>
        <v>2.1</v>
      </c>
      <c r="H40" s="42">
        <v>20</v>
      </c>
      <c r="I40" s="42">
        <f t="shared" si="4"/>
        <v>10</v>
      </c>
      <c r="J40" s="42">
        <f t="shared" si="5"/>
        <v>5</v>
      </c>
      <c r="K40" s="15">
        <v>69914</v>
      </c>
    </row>
    <row r="41" spans="1:11">
      <c r="A41" s="42">
        <v>40</v>
      </c>
      <c r="B41" s="15">
        <v>43200</v>
      </c>
      <c r="C41" s="42">
        <f t="shared" si="3"/>
        <v>0.43200000000000005</v>
      </c>
      <c r="D41" s="42">
        <f t="shared" si="6"/>
        <v>8.588000000000001</v>
      </c>
      <c r="E41" s="42">
        <f t="shared" si="7"/>
        <v>8.64</v>
      </c>
      <c r="F41" s="42">
        <f t="shared" si="8"/>
        <v>4.32</v>
      </c>
      <c r="G41" s="42">
        <f t="shared" si="9"/>
        <v>2.16</v>
      </c>
      <c r="H41" s="42">
        <v>20</v>
      </c>
      <c r="I41" s="42">
        <f t="shared" si="4"/>
        <v>10</v>
      </c>
      <c r="J41" s="42">
        <f t="shared" si="5"/>
        <v>5</v>
      </c>
      <c r="K41" s="15">
        <v>73916</v>
      </c>
    </row>
    <row r="42" spans="1:11">
      <c r="A42" s="42">
        <v>41</v>
      </c>
      <c r="B42" s="15">
        <v>44300</v>
      </c>
      <c r="C42" s="42">
        <f t="shared" si="3"/>
        <v>0.44299999999999995</v>
      </c>
      <c r="D42" s="42">
        <f t="shared" si="6"/>
        <v>9.0310000000000006</v>
      </c>
      <c r="E42" s="42">
        <f t="shared" si="7"/>
        <v>8.86</v>
      </c>
      <c r="F42" s="42">
        <f t="shared" si="8"/>
        <v>4.43</v>
      </c>
      <c r="G42" s="42">
        <f t="shared" si="9"/>
        <v>2.2149999999999999</v>
      </c>
      <c r="H42" s="42">
        <v>20</v>
      </c>
      <c r="I42" s="42">
        <f t="shared" si="4"/>
        <v>10</v>
      </c>
      <c r="J42" s="42">
        <f t="shared" si="5"/>
        <v>5</v>
      </c>
      <c r="K42" s="15">
        <v>78029</v>
      </c>
    </row>
    <row r="43" spans="1:11">
      <c r="A43" s="42">
        <v>42</v>
      </c>
      <c r="B43" s="15">
        <v>45500</v>
      </c>
      <c r="C43" s="42">
        <f t="shared" si="3"/>
        <v>0.45499999999999996</v>
      </c>
      <c r="D43" s="42">
        <f t="shared" si="6"/>
        <v>9.4860000000000007</v>
      </c>
      <c r="E43" s="42">
        <f t="shared" si="7"/>
        <v>9.1</v>
      </c>
      <c r="F43" s="42">
        <f t="shared" si="8"/>
        <v>4.55</v>
      </c>
      <c r="G43" s="42">
        <f t="shared" si="9"/>
        <v>2.2749999999999999</v>
      </c>
      <c r="H43" s="42">
        <v>20</v>
      </c>
      <c r="I43" s="42">
        <f t="shared" si="4"/>
        <v>10</v>
      </c>
      <c r="J43" s="42">
        <f t="shared" si="5"/>
        <v>5</v>
      </c>
      <c r="K43" s="15">
        <v>82254</v>
      </c>
    </row>
    <row r="44" spans="1:11">
      <c r="A44" s="42">
        <v>43</v>
      </c>
      <c r="B44" s="15">
        <v>46700</v>
      </c>
      <c r="C44" s="42">
        <f t="shared" si="3"/>
        <v>0.46699999999999997</v>
      </c>
      <c r="D44" s="42">
        <f t="shared" si="6"/>
        <v>9.9530000000000012</v>
      </c>
      <c r="E44" s="42">
        <f t="shared" si="7"/>
        <v>9.34</v>
      </c>
      <c r="F44" s="42">
        <f t="shared" si="8"/>
        <v>4.67</v>
      </c>
      <c r="G44" s="42">
        <f t="shared" si="9"/>
        <v>2.335</v>
      </c>
      <c r="H44" s="42">
        <v>20</v>
      </c>
      <c r="I44" s="42">
        <f t="shared" si="4"/>
        <v>10</v>
      </c>
      <c r="J44" s="42">
        <f t="shared" si="5"/>
        <v>5</v>
      </c>
      <c r="K44" s="15">
        <v>86591</v>
      </c>
    </row>
    <row r="45" spans="1:11">
      <c r="A45" s="42">
        <v>44</v>
      </c>
      <c r="B45" s="15">
        <v>47800</v>
      </c>
      <c r="C45" s="42">
        <f t="shared" si="3"/>
        <v>0.47800000000000004</v>
      </c>
      <c r="D45" s="42">
        <f t="shared" si="6"/>
        <v>10.431000000000001</v>
      </c>
      <c r="E45" s="42">
        <f t="shared" si="7"/>
        <v>9.56</v>
      </c>
      <c r="F45" s="42">
        <f t="shared" si="8"/>
        <v>4.78</v>
      </c>
      <c r="G45" s="42">
        <f t="shared" si="9"/>
        <v>2.39</v>
      </c>
      <c r="H45" s="42">
        <v>20</v>
      </c>
      <c r="I45" s="42">
        <f t="shared" si="4"/>
        <v>10</v>
      </c>
      <c r="J45" s="42">
        <f t="shared" si="5"/>
        <v>5</v>
      </c>
      <c r="K45" s="15">
        <v>91040</v>
      </c>
    </row>
    <row r="46" spans="1:11">
      <c r="A46" s="42">
        <v>45</v>
      </c>
      <c r="B46" s="15">
        <v>49000</v>
      </c>
      <c r="C46" s="42">
        <f t="shared" si="3"/>
        <v>0.49000000000000005</v>
      </c>
      <c r="D46" s="42">
        <f t="shared" si="6"/>
        <v>10.921000000000001</v>
      </c>
      <c r="E46" s="42">
        <f t="shared" si="7"/>
        <v>9.8000000000000007</v>
      </c>
      <c r="F46" s="42">
        <f t="shared" si="8"/>
        <v>4.9000000000000004</v>
      </c>
      <c r="G46" s="42">
        <f t="shared" si="9"/>
        <v>2.4500000000000002</v>
      </c>
      <c r="H46" s="42">
        <v>20</v>
      </c>
      <c r="I46" s="42">
        <f t="shared" si="4"/>
        <v>10</v>
      </c>
      <c r="J46" s="42">
        <f t="shared" si="5"/>
        <v>5</v>
      </c>
      <c r="K46" s="15">
        <v>95600</v>
      </c>
    </row>
    <row r="47" spans="1:11">
      <c r="A47" s="42">
        <v>46</v>
      </c>
      <c r="B47" s="15">
        <v>50200</v>
      </c>
      <c r="C47" s="42">
        <f t="shared" si="3"/>
        <v>0.502</v>
      </c>
      <c r="D47" s="42">
        <f t="shared" si="6"/>
        <v>11.423000000000002</v>
      </c>
      <c r="E47" s="42">
        <f t="shared" si="7"/>
        <v>10.039999999999999</v>
      </c>
      <c r="F47" s="42">
        <f t="shared" si="8"/>
        <v>5.0199999999999996</v>
      </c>
      <c r="G47" s="42">
        <f t="shared" si="9"/>
        <v>2.5099999999999998</v>
      </c>
      <c r="H47" s="42">
        <v>20</v>
      </c>
      <c r="I47" s="42">
        <f t="shared" si="4"/>
        <v>10</v>
      </c>
      <c r="J47" s="42">
        <f t="shared" si="5"/>
        <v>5</v>
      </c>
      <c r="K47" s="15">
        <v>100273</v>
      </c>
    </row>
    <row r="48" spans="1:11">
      <c r="A48" s="42">
        <v>47</v>
      </c>
      <c r="B48" s="15">
        <v>51400</v>
      </c>
      <c r="C48" s="42">
        <f t="shared" si="3"/>
        <v>0.51400000000000001</v>
      </c>
      <c r="D48" s="42">
        <f t="shared" si="6"/>
        <v>11.937000000000001</v>
      </c>
      <c r="E48" s="42">
        <f t="shared" si="7"/>
        <v>10.28</v>
      </c>
      <c r="F48" s="42">
        <f t="shared" si="8"/>
        <v>5.14</v>
      </c>
      <c r="G48" s="42">
        <f t="shared" si="9"/>
        <v>2.57</v>
      </c>
      <c r="H48" s="42">
        <v>20</v>
      </c>
      <c r="I48" s="42">
        <f t="shared" si="4"/>
        <v>10</v>
      </c>
      <c r="J48" s="42">
        <f t="shared" si="5"/>
        <v>5</v>
      </c>
      <c r="K48" s="15">
        <v>105057</v>
      </c>
    </row>
    <row r="49" spans="1:11">
      <c r="A49" s="42">
        <v>48</v>
      </c>
      <c r="B49" s="15">
        <v>52500</v>
      </c>
      <c r="C49" s="42">
        <f t="shared" si="3"/>
        <v>0.52500000000000002</v>
      </c>
      <c r="D49" s="42">
        <f t="shared" si="6"/>
        <v>12.462000000000002</v>
      </c>
      <c r="E49" s="42">
        <f t="shared" si="7"/>
        <v>10.5</v>
      </c>
      <c r="F49" s="42">
        <f t="shared" si="8"/>
        <v>5.25</v>
      </c>
      <c r="G49" s="42">
        <f t="shared" si="9"/>
        <v>2.625</v>
      </c>
      <c r="H49" s="42">
        <v>20</v>
      </c>
      <c r="I49" s="42">
        <f t="shared" si="4"/>
        <v>10</v>
      </c>
      <c r="J49" s="42">
        <f t="shared" si="5"/>
        <v>5</v>
      </c>
      <c r="K49" s="15">
        <v>109954</v>
      </c>
    </row>
    <row r="50" spans="1:11">
      <c r="A50" s="42">
        <v>49</v>
      </c>
      <c r="B50" s="15">
        <v>53700</v>
      </c>
      <c r="C50" s="42">
        <f t="shared" si="3"/>
        <v>0.53700000000000003</v>
      </c>
      <c r="D50" s="42">
        <f t="shared" si="6"/>
        <v>12.999000000000002</v>
      </c>
      <c r="E50" s="42">
        <f t="shared" si="7"/>
        <v>10.74</v>
      </c>
      <c r="F50" s="42">
        <f t="shared" si="8"/>
        <v>5.37</v>
      </c>
      <c r="G50" s="42">
        <f t="shared" si="9"/>
        <v>2.6850000000000001</v>
      </c>
      <c r="H50" s="42">
        <v>20</v>
      </c>
      <c r="I50" s="42">
        <f t="shared" si="4"/>
        <v>10</v>
      </c>
      <c r="J50" s="42">
        <f t="shared" si="5"/>
        <v>5</v>
      </c>
      <c r="K50" s="15">
        <v>114962</v>
      </c>
    </row>
    <row r="51" spans="1:11">
      <c r="A51" s="42">
        <v>50</v>
      </c>
      <c r="B51" s="15">
        <v>54900</v>
      </c>
      <c r="C51" s="42">
        <f t="shared" si="3"/>
        <v>0.36599999999999999</v>
      </c>
      <c r="D51" s="42">
        <f t="shared" si="6"/>
        <v>13.365000000000002</v>
      </c>
      <c r="E51" s="42">
        <f t="shared" si="7"/>
        <v>10.98</v>
      </c>
      <c r="F51" s="42">
        <f t="shared" si="8"/>
        <v>5.49</v>
      </c>
      <c r="G51" s="42">
        <f t="shared" si="9"/>
        <v>2.7450000000000001</v>
      </c>
      <c r="H51" s="42">
        <v>30</v>
      </c>
      <c r="I51" s="42">
        <f t="shared" si="4"/>
        <v>15</v>
      </c>
      <c r="J51" s="42">
        <f t="shared" si="5"/>
        <v>7.5</v>
      </c>
      <c r="K51" s="15">
        <v>120083</v>
      </c>
    </row>
    <row r="52" spans="1:11">
      <c r="A52" s="42">
        <v>51</v>
      </c>
      <c r="B52" s="15">
        <v>56100</v>
      </c>
      <c r="C52" s="42">
        <f t="shared" si="3"/>
        <v>0.374</v>
      </c>
      <c r="D52" s="42">
        <f t="shared" si="6"/>
        <v>13.739000000000003</v>
      </c>
      <c r="E52" s="42">
        <f t="shared" si="7"/>
        <v>11.22</v>
      </c>
      <c r="F52" s="42">
        <f t="shared" si="8"/>
        <v>5.61</v>
      </c>
      <c r="G52" s="42">
        <f t="shared" si="9"/>
        <v>2.8050000000000002</v>
      </c>
      <c r="H52" s="42">
        <v>30</v>
      </c>
      <c r="I52" s="42">
        <f t="shared" si="4"/>
        <v>15</v>
      </c>
      <c r="J52" s="42">
        <f t="shared" si="5"/>
        <v>7.5</v>
      </c>
      <c r="K52" s="15">
        <v>125316</v>
      </c>
    </row>
    <row r="53" spans="1:11">
      <c r="A53" s="42">
        <v>52</v>
      </c>
      <c r="B53" s="15">
        <v>57300</v>
      </c>
      <c r="C53" s="42">
        <f t="shared" si="3"/>
        <v>0.38200000000000001</v>
      </c>
      <c r="D53" s="42">
        <f t="shared" si="6"/>
        <v>14.121000000000002</v>
      </c>
      <c r="E53" s="42">
        <f t="shared" si="7"/>
        <v>11.46</v>
      </c>
      <c r="F53" s="42">
        <f t="shared" si="8"/>
        <v>5.73</v>
      </c>
      <c r="G53" s="42">
        <f t="shared" si="9"/>
        <v>2.8650000000000002</v>
      </c>
      <c r="H53" s="42">
        <v>30</v>
      </c>
      <c r="I53" s="42">
        <f t="shared" si="4"/>
        <v>15</v>
      </c>
      <c r="J53" s="42">
        <f t="shared" si="5"/>
        <v>7.5</v>
      </c>
      <c r="K53" s="15">
        <v>130661</v>
      </c>
    </row>
    <row r="54" spans="1:11">
      <c r="A54" s="42">
        <v>53</v>
      </c>
      <c r="B54" s="15">
        <v>58500</v>
      </c>
      <c r="C54" s="42">
        <f t="shared" si="3"/>
        <v>0.38999999999999996</v>
      </c>
      <c r="D54" s="42">
        <f t="shared" si="6"/>
        <v>14.511000000000003</v>
      </c>
      <c r="E54" s="42">
        <f t="shared" si="7"/>
        <v>11.7</v>
      </c>
      <c r="F54" s="42">
        <f t="shared" si="8"/>
        <v>5.85</v>
      </c>
      <c r="G54" s="42">
        <f t="shared" si="9"/>
        <v>2.9249999999999998</v>
      </c>
      <c r="H54" s="42">
        <v>30</v>
      </c>
      <c r="I54" s="42">
        <f t="shared" si="4"/>
        <v>15</v>
      </c>
      <c r="J54" s="42">
        <f t="shared" si="5"/>
        <v>7.5</v>
      </c>
      <c r="K54" s="15">
        <v>136119</v>
      </c>
    </row>
    <row r="55" spans="1:11">
      <c r="A55" s="42">
        <v>54</v>
      </c>
      <c r="B55" s="15">
        <v>59600</v>
      </c>
      <c r="C55" s="42">
        <f t="shared" si="3"/>
        <v>0.39733333333333332</v>
      </c>
      <c r="D55" s="42">
        <f t="shared" si="6"/>
        <v>14.908333333333337</v>
      </c>
      <c r="E55" s="42">
        <f t="shared" si="7"/>
        <v>11.92</v>
      </c>
      <c r="F55" s="42">
        <f t="shared" si="8"/>
        <v>5.96</v>
      </c>
      <c r="G55" s="42">
        <f t="shared" si="9"/>
        <v>2.98</v>
      </c>
      <c r="H55" s="42">
        <v>30</v>
      </c>
      <c r="I55" s="42">
        <f t="shared" si="4"/>
        <v>15</v>
      </c>
      <c r="J55" s="42">
        <f t="shared" si="5"/>
        <v>7.5</v>
      </c>
      <c r="K55" s="15">
        <v>141689</v>
      </c>
    </row>
    <row r="56" spans="1:11">
      <c r="A56" s="42">
        <v>55</v>
      </c>
      <c r="B56" s="15">
        <v>60800</v>
      </c>
      <c r="C56" s="42">
        <f t="shared" si="3"/>
        <v>0.40533333333333332</v>
      </c>
      <c r="D56" s="42">
        <f t="shared" si="6"/>
        <v>15.31366666666667</v>
      </c>
      <c r="E56" s="42">
        <f t="shared" si="7"/>
        <v>12.16</v>
      </c>
      <c r="F56" s="42">
        <f t="shared" si="8"/>
        <v>6.08</v>
      </c>
      <c r="G56" s="42">
        <f t="shared" si="9"/>
        <v>3.04</v>
      </c>
      <c r="H56" s="42">
        <v>30</v>
      </c>
      <c r="I56" s="42">
        <f t="shared" si="4"/>
        <v>15</v>
      </c>
      <c r="J56" s="42">
        <f t="shared" si="5"/>
        <v>7.5</v>
      </c>
      <c r="K56" s="15">
        <v>147372</v>
      </c>
    </row>
    <row r="57" spans="1:11">
      <c r="A57" s="42">
        <v>56</v>
      </c>
      <c r="B57" s="15">
        <v>62000</v>
      </c>
      <c r="C57" s="42">
        <f t="shared" si="3"/>
        <v>0.41333333333333333</v>
      </c>
      <c r="D57" s="42">
        <f t="shared" si="6"/>
        <v>15.727000000000004</v>
      </c>
      <c r="E57" s="42">
        <f t="shared" si="7"/>
        <v>12.4</v>
      </c>
      <c r="F57" s="42">
        <f t="shared" si="8"/>
        <v>6.2</v>
      </c>
      <c r="G57" s="42">
        <f t="shared" si="9"/>
        <v>3.1</v>
      </c>
      <c r="H57" s="42">
        <v>30</v>
      </c>
      <c r="I57" s="42">
        <f t="shared" si="4"/>
        <v>15</v>
      </c>
      <c r="J57" s="42">
        <f t="shared" si="5"/>
        <v>7.5</v>
      </c>
      <c r="K57" s="15">
        <v>153167</v>
      </c>
    </row>
    <row r="58" spans="1:11">
      <c r="A58" s="42">
        <v>57</v>
      </c>
      <c r="B58" s="15">
        <v>63200</v>
      </c>
      <c r="C58" s="42">
        <f t="shared" si="3"/>
        <v>0.42133333333333334</v>
      </c>
      <c r="D58" s="42">
        <f t="shared" si="6"/>
        <v>16.148333333333337</v>
      </c>
      <c r="E58" s="42">
        <f t="shared" si="7"/>
        <v>12.64</v>
      </c>
      <c r="F58" s="42">
        <f t="shared" si="8"/>
        <v>6.32</v>
      </c>
      <c r="G58" s="42">
        <f t="shared" si="9"/>
        <v>3.16</v>
      </c>
      <c r="H58" s="42">
        <v>30</v>
      </c>
      <c r="I58" s="42">
        <f t="shared" si="4"/>
        <v>15</v>
      </c>
      <c r="J58" s="42">
        <f t="shared" si="5"/>
        <v>7.5</v>
      </c>
      <c r="K58" s="15">
        <v>159075</v>
      </c>
    </row>
    <row r="59" spans="1:11">
      <c r="A59" s="42">
        <v>58</v>
      </c>
      <c r="B59" s="15">
        <v>64400</v>
      </c>
      <c r="C59" s="42">
        <f t="shared" si="3"/>
        <v>0.42933333333333334</v>
      </c>
      <c r="D59" s="42">
        <f t="shared" si="6"/>
        <v>16.577666666666669</v>
      </c>
      <c r="E59" s="42">
        <f t="shared" si="7"/>
        <v>12.88</v>
      </c>
      <c r="F59" s="42">
        <f t="shared" si="8"/>
        <v>6.44</v>
      </c>
      <c r="G59" s="42">
        <f t="shared" si="9"/>
        <v>3.22</v>
      </c>
      <c r="H59" s="42">
        <v>30</v>
      </c>
      <c r="I59" s="42">
        <f t="shared" si="4"/>
        <v>15</v>
      </c>
      <c r="J59" s="42">
        <f t="shared" si="5"/>
        <v>7.5</v>
      </c>
      <c r="K59" s="15">
        <v>165096</v>
      </c>
    </row>
    <row r="60" spans="1:11">
      <c r="A60" s="42">
        <v>59</v>
      </c>
      <c r="B60" s="15">
        <v>65600</v>
      </c>
      <c r="C60" s="42">
        <f t="shared" si="3"/>
        <v>0.4373333333333333</v>
      </c>
      <c r="D60" s="42">
        <f t="shared" si="6"/>
        <v>17.015000000000004</v>
      </c>
      <c r="E60" s="42">
        <f t="shared" si="7"/>
        <v>13.12</v>
      </c>
      <c r="F60" s="42">
        <f t="shared" si="8"/>
        <v>6.56</v>
      </c>
      <c r="G60" s="42">
        <f t="shared" si="9"/>
        <v>3.28</v>
      </c>
      <c r="H60" s="42">
        <v>30</v>
      </c>
      <c r="I60" s="42">
        <f t="shared" si="4"/>
        <v>15</v>
      </c>
      <c r="J60" s="42">
        <f t="shared" si="5"/>
        <v>7.5</v>
      </c>
      <c r="K60" s="15">
        <v>171229</v>
      </c>
    </row>
    <row r="61" spans="1:11">
      <c r="A61" s="42">
        <v>60</v>
      </c>
      <c r="B61" s="15">
        <v>66800</v>
      </c>
      <c r="C61" s="42">
        <f t="shared" si="3"/>
        <v>0.4453333333333333</v>
      </c>
      <c r="D61" s="42">
        <f t="shared" si="6"/>
        <v>17.460333333333338</v>
      </c>
      <c r="E61" s="42">
        <f t="shared" si="7"/>
        <v>13.36</v>
      </c>
      <c r="F61" s="42">
        <f t="shared" si="8"/>
        <v>6.68</v>
      </c>
      <c r="G61" s="42">
        <f t="shared" si="9"/>
        <v>3.34</v>
      </c>
      <c r="H61" s="42">
        <v>30</v>
      </c>
      <c r="I61" s="42">
        <f t="shared" si="4"/>
        <v>15</v>
      </c>
      <c r="J61" s="42">
        <f t="shared" si="5"/>
        <v>7.5</v>
      </c>
      <c r="K61" s="15">
        <v>177476</v>
      </c>
    </row>
    <row r="62" spans="1:11">
      <c r="A62" s="42">
        <v>61</v>
      </c>
      <c r="B62" s="15">
        <v>68000</v>
      </c>
      <c r="C62" s="42">
        <f t="shared" si="3"/>
        <v>0.45333333333333331</v>
      </c>
      <c r="D62" s="42">
        <f t="shared" si="6"/>
        <v>17.913666666666671</v>
      </c>
      <c r="E62" s="42">
        <f t="shared" si="7"/>
        <v>13.6</v>
      </c>
      <c r="F62" s="42">
        <f t="shared" si="8"/>
        <v>6.8</v>
      </c>
      <c r="G62" s="42">
        <f t="shared" si="9"/>
        <v>3.4</v>
      </c>
      <c r="H62" s="42">
        <v>30</v>
      </c>
      <c r="I62" s="42">
        <f t="shared" si="4"/>
        <v>15</v>
      </c>
      <c r="J62" s="42">
        <f t="shared" si="5"/>
        <v>7.5</v>
      </c>
      <c r="K62" s="15">
        <v>183835</v>
      </c>
    </row>
    <row r="63" spans="1:11">
      <c r="A63" s="42">
        <v>62</v>
      </c>
      <c r="B63" s="15">
        <v>69200</v>
      </c>
      <c r="C63" s="42">
        <f t="shared" si="3"/>
        <v>0.46133333333333332</v>
      </c>
      <c r="D63" s="42">
        <f t="shared" si="6"/>
        <v>18.375000000000004</v>
      </c>
      <c r="E63" s="42">
        <f t="shared" si="7"/>
        <v>13.84</v>
      </c>
      <c r="F63" s="42">
        <f t="shared" si="8"/>
        <v>6.92</v>
      </c>
      <c r="G63" s="42">
        <f t="shared" si="9"/>
        <v>3.46</v>
      </c>
      <c r="H63" s="42">
        <v>30</v>
      </c>
      <c r="I63" s="42">
        <f t="shared" si="4"/>
        <v>15</v>
      </c>
      <c r="J63" s="42">
        <f t="shared" si="5"/>
        <v>7.5</v>
      </c>
      <c r="K63" s="15">
        <v>190307</v>
      </c>
    </row>
    <row r="64" spans="1:11">
      <c r="A64" s="42">
        <v>63</v>
      </c>
      <c r="B64" s="15">
        <v>70500</v>
      </c>
      <c r="C64" s="42">
        <f t="shared" si="3"/>
        <v>0.47</v>
      </c>
      <c r="D64" s="42">
        <f t="shared" si="6"/>
        <v>18.845000000000002</v>
      </c>
      <c r="E64" s="42">
        <f t="shared" si="7"/>
        <v>14.1</v>
      </c>
      <c r="F64" s="42">
        <f t="shared" si="8"/>
        <v>7.05</v>
      </c>
      <c r="G64" s="42">
        <f t="shared" si="9"/>
        <v>3.5249999999999999</v>
      </c>
      <c r="H64" s="42">
        <v>30</v>
      </c>
      <c r="I64" s="42">
        <f t="shared" si="4"/>
        <v>15</v>
      </c>
      <c r="J64" s="42">
        <f t="shared" si="5"/>
        <v>7.5</v>
      </c>
      <c r="K64" s="15">
        <v>196892</v>
      </c>
    </row>
    <row r="65" spans="1:11">
      <c r="A65" s="42">
        <v>64</v>
      </c>
      <c r="B65" s="15">
        <v>71700</v>
      </c>
      <c r="C65" s="42">
        <f t="shared" si="3"/>
        <v>0.47799999999999998</v>
      </c>
      <c r="D65" s="42">
        <f t="shared" si="6"/>
        <v>19.323000000000004</v>
      </c>
      <c r="E65" s="42">
        <f t="shared" si="7"/>
        <v>14.34</v>
      </c>
      <c r="F65" s="42">
        <f t="shared" si="8"/>
        <v>7.17</v>
      </c>
      <c r="G65" s="42">
        <f t="shared" si="9"/>
        <v>3.585</v>
      </c>
      <c r="H65" s="42">
        <v>30</v>
      </c>
      <c r="I65" s="42">
        <f t="shared" si="4"/>
        <v>15</v>
      </c>
      <c r="J65" s="42">
        <f t="shared" si="5"/>
        <v>7.5</v>
      </c>
      <c r="K65" s="15">
        <v>203590</v>
      </c>
    </row>
    <row r="66" spans="1:11">
      <c r="A66" s="42">
        <v>65</v>
      </c>
      <c r="B66" s="15">
        <v>72900</v>
      </c>
      <c r="C66" s="42">
        <f t="shared" si="3"/>
        <v>0.48599999999999999</v>
      </c>
      <c r="D66" s="42">
        <f t="shared" si="6"/>
        <v>19.809000000000005</v>
      </c>
      <c r="E66" s="42">
        <f t="shared" ref="E66:E101" si="10">B66/$N$2</f>
        <v>14.58</v>
      </c>
      <c r="F66" s="42">
        <f t="shared" ref="F66:F101" si="11">B66/$N$3</f>
        <v>7.29</v>
      </c>
      <c r="G66" s="42">
        <f t="shared" ref="G66:G101" si="12">B66/$N$4</f>
        <v>3.645</v>
      </c>
      <c r="H66" s="42">
        <v>30</v>
      </c>
      <c r="I66" s="42">
        <f t="shared" si="4"/>
        <v>15</v>
      </c>
      <c r="J66" s="42">
        <f t="shared" si="5"/>
        <v>7.5</v>
      </c>
      <c r="K66" s="15">
        <v>210401</v>
      </c>
    </row>
    <row r="67" spans="1:11">
      <c r="A67" s="42">
        <v>66</v>
      </c>
      <c r="B67" s="15">
        <v>74100</v>
      </c>
      <c r="C67" s="42">
        <f t="shared" ref="C67:C101" si="13">E67/H67</f>
        <v>0.49399999999999999</v>
      </c>
      <c r="D67" s="42">
        <f t="shared" si="6"/>
        <v>20.303000000000004</v>
      </c>
      <c r="E67" s="42">
        <f t="shared" si="10"/>
        <v>14.82</v>
      </c>
      <c r="F67" s="42">
        <f t="shared" si="11"/>
        <v>7.41</v>
      </c>
      <c r="G67" s="42">
        <f t="shared" si="12"/>
        <v>3.7050000000000001</v>
      </c>
      <c r="H67" s="42">
        <v>30</v>
      </c>
      <c r="I67" s="42">
        <f t="shared" ref="I67:I101" si="14">H67/2</f>
        <v>15</v>
      </c>
      <c r="J67" s="42">
        <f t="shared" ref="J67:J101" si="15">H67/4</f>
        <v>7.5</v>
      </c>
      <c r="K67" s="15">
        <v>217325</v>
      </c>
    </row>
    <row r="68" spans="1:11">
      <c r="A68" s="42">
        <v>67</v>
      </c>
      <c r="B68" s="15">
        <v>75300</v>
      </c>
      <c r="C68" s="42">
        <f t="shared" si="13"/>
        <v>0.502</v>
      </c>
      <c r="D68" s="42">
        <f t="shared" ref="D68:D101" si="16">C68+D67</f>
        <v>20.805000000000003</v>
      </c>
      <c r="E68" s="42">
        <f t="shared" si="10"/>
        <v>15.06</v>
      </c>
      <c r="F68" s="42">
        <f t="shared" si="11"/>
        <v>7.53</v>
      </c>
      <c r="G68" s="42">
        <f t="shared" si="12"/>
        <v>3.7650000000000001</v>
      </c>
      <c r="H68" s="42">
        <v>30</v>
      </c>
      <c r="I68" s="42">
        <f t="shared" si="14"/>
        <v>15</v>
      </c>
      <c r="J68" s="42">
        <f t="shared" si="15"/>
        <v>7.5</v>
      </c>
      <c r="K68" s="15">
        <v>224363</v>
      </c>
    </row>
    <row r="69" spans="1:11">
      <c r="A69" s="42">
        <v>68</v>
      </c>
      <c r="B69" s="15">
        <v>76500</v>
      </c>
      <c r="C69" s="42">
        <f t="shared" si="13"/>
        <v>0.51</v>
      </c>
      <c r="D69" s="42">
        <f t="shared" si="16"/>
        <v>21.315000000000005</v>
      </c>
      <c r="E69" s="42">
        <f t="shared" si="10"/>
        <v>15.3</v>
      </c>
      <c r="F69" s="42">
        <f t="shared" si="11"/>
        <v>7.65</v>
      </c>
      <c r="G69" s="42">
        <f t="shared" si="12"/>
        <v>3.8250000000000002</v>
      </c>
      <c r="H69" s="42">
        <v>30</v>
      </c>
      <c r="I69" s="42">
        <f t="shared" si="14"/>
        <v>15</v>
      </c>
      <c r="J69" s="42">
        <f t="shared" si="15"/>
        <v>7.5</v>
      </c>
      <c r="K69" s="15">
        <v>231513</v>
      </c>
    </row>
    <row r="70" spans="1:11">
      <c r="A70" s="42">
        <v>69</v>
      </c>
      <c r="B70" s="15">
        <v>77700</v>
      </c>
      <c r="C70" s="42">
        <f t="shared" si="13"/>
        <v>0.51800000000000002</v>
      </c>
      <c r="D70" s="42">
        <f t="shared" si="16"/>
        <v>21.833000000000006</v>
      </c>
      <c r="E70" s="42">
        <f t="shared" si="10"/>
        <v>15.54</v>
      </c>
      <c r="F70" s="42">
        <f t="shared" si="11"/>
        <v>7.77</v>
      </c>
      <c r="G70" s="42">
        <f t="shared" si="12"/>
        <v>3.8849999999999998</v>
      </c>
      <c r="H70" s="42">
        <v>30</v>
      </c>
      <c r="I70" s="42">
        <f t="shared" si="14"/>
        <v>15</v>
      </c>
      <c r="J70" s="42">
        <f t="shared" si="15"/>
        <v>7.5</v>
      </c>
      <c r="K70" s="15">
        <v>238777</v>
      </c>
    </row>
    <row r="71" spans="1:11">
      <c r="A71" s="42">
        <v>70</v>
      </c>
      <c r="B71" s="15">
        <v>79000</v>
      </c>
      <c r="C71" s="42">
        <f t="shared" si="13"/>
        <v>0.52666666666666673</v>
      </c>
      <c r="D71" s="42">
        <f t="shared" si="16"/>
        <v>22.359666666666673</v>
      </c>
      <c r="E71" s="42">
        <f t="shared" si="10"/>
        <v>15.8</v>
      </c>
      <c r="F71" s="42">
        <f t="shared" si="11"/>
        <v>7.9</v>
      </c>
      <c r="G71" s="42">
        <f t="shared" si="12"/>
        <v>3.95</v>
      </c>
      <c r="H71" s="42">
        <v>30</v>
      </c>
      <c r="I71" s="42">
        <f t="shared" si="14"/>
        <v>15</v>
      </c>
      <c r="J71" s="42">
        <f t="shared" si="15"/>
        <v>7.5</v>
      </c>
      <c r="K71" s="15">
        <v>246155</v>
      </c>
    </row>
    <row r="72" spans="1:11">
      <c r="A72" s="42">
        <v>71</v>
      </c>
      <c r="B72" s="15">
        <v>80200</v>
      </c>
      <c r="C72" s="42">
        <f t="shared" si="13"/>
        <v>0.53466666666666662</v>
      </c>
      <c r="D72" s="42">
        <f t="shared" si="16"/>
        <v>22.894333333333339</v>
      </c>
      <c r="E72" s="42">
        <f t="shared" si="10"/>
        <v>16.04</v>
      </c>
      <c r="F72" s="42">
        <f t="shared" si="11"/>
        <v>8.02</v>
      </c>
      <c r="G72" s="42">
        <f t="shared" si="12"/>
        <v>4.01</v>
      </c>
      <c r="H72" s="42">
        <v>30</v>
      </c>
      <c r="I72" s="42">
        <f t="shared" si="14"/>
        <v>15</v>
      </c>
      <c r="J72" s="42">
        <f t="shared" si="15"/>
        <v>7.5</v>
      </c>
      <c r="K72" s="15">
        <v>253646</v>
      </c>
    </row>
    <row r="73" spans="1:11">
      <c r="A73" s="42">
        <v>72</v>
      </c>
      <c r="B73" s="15">
        <v>81400</v>
      </c>
      <c r="C73" s="42">
        <f t="shared" si="13"/>
        <v>0.54266666666666674</v>
      </c>
      <c r="D73" s="42">
        <f t="shared" si="16"/>
        <v>23.437000000000005</v>
      </c>
      <c r="E73" s="42">
        <f t="shared" si="10"/>
        <v>16.28</v>
      </c>
      <c r="F73" s="42">
        <f t="shared" si="11"/>
        <v>8.14</v>
      </c>
      <c r="G73" s="42">
        <f t="shared" si="12"/>
        <v>4.07</v>
      </c>
      <c r="H73" s="42">
        <v>30</v>
      </c>
      <c r="I73" s="42">
        <f t="shared" si="14"/>
        <v>15</v>
      </c>
      <c r="J73" s="42">
        <f t="shared" si="15"/>
        <v>7.5</v>
      </c>
      <c r="K73" s="15">
        <v>261250</v>
      </c>
    </row>
    <row r="74" spans="1:11">
      <c r="A74" s="42">
        <v>73</v>
      </c>
      <c r="B74" s="15">
        <v>82600</v>
      </c>
      <c r="C74" s="42">
        <f t="shared" si="13"/>
        <v>0.55066666666666664</v>
      </c>
      <c r="D74" s="42">
        <f t="shared" si="16"/>
        <v>23.987666666666673</v>
      </c>
      <c r="E74" s="42">
        <f t="shared" si="10"/>
        <v>16.52</v>
      </c>
      <c r="F74" s="42">
        <f t="shared" si="11"/>
        <v>8.26</v>
      </c>
      <c r="G74" s="42">
        <f t="shared" si="12"/>
        <v>4.13</v>
      </c>
      <c r="H74" s="42">
        <v>30</v>
      </c>
      <c r="I74" s="42">
        <f t="shared" si="14"/>
        <v>15</v>
      </c>
      <c r="J74" s="42">
        <f t="shared" si="15"/>
        <v>7.5</v>
      </c>
      <c r="K74" s="15">
        <v>268968</v>
      </c>
    </row>
    <row r="75" spans="1:11">
      <c r="A75" s="42">
        <v>74</v>
      </c>
      <c r="B75" s="15">
        <v>83900</v>
      </c>
      <c r="C75" s="42">
        <f t="shared" si="13"/>
        <v>0.55933333333333335</v>
      </c>
      <c r="D75" s="42">
        <f t="shared" si="16"/>
        <v>24.547000000000008</v>
      </c>
      <c r="E75" s="42">
        <f t="shared" si="10"/>
        <v>16.78</v>
      </c>
      <c r="F75" s="42">
        <f t="shared" si="11"/>
        <v>8.39</v>
      </c>
      <c r="G75" s="42">
        <f t="shared" si="12"/>
        <v>4.1950000000000003</v>
      </c>
      <c r="H75" s="42">
        <v>30</v>
      </c>
      <c r="I75" s="42">
        <f t="shared" si="14"/>
        <v>15</v>
      </c>
      <c r="J75" s="42">
        <f t="shared" si="15"/>
        <v>7.5</v>
      </c>
      <c r="K75" s="15">
        <v>276799</v>
      </c>
    </row>
    <row r="76" spans="1:11">
      <c r="A76" s="42">
        <v>75</v>
      </c>
      <c r="B76" s="15">
        <v>85100</v>
      </c>
      <c r="C76" s="42">
        <f t="shared" si="13"/>
        <v>0.56733333333333336</v>
      </c>
      <c r="D76" s="42">
        <f t="shared" si="16"/>
        <v>25.114333333333342</v>
      </c>
      <c r="E76" s="42">
        <f t="shared" si="10"/>
        <v>17.02</v>
      </c>
      <c r="F76" s="42">
        <f t="shared" si="11"/>
        <v>8.51</v>
      </c>
      <c r="G76" s="42">
        <f t="shared" si="12"/>
        <v>4.2549999999999999</v>
      </c>
      <c r="H76" s="42">
        <v>30</v>
      </c>
      <c r="I76" s="42">
        <f t="shared" si="14"/>
        <v>15</v>
      </c>
      <c r="J76" s="42">
        <f t="shared" si="15"/>
        <v>7.5</v>
      </c>
      <c r="K76" s="15">
        <v>284744</v>
      </c>
    </row>
    <row r="77" spans="1:11">
      <c r="A77" s="42">
        <v>76</v>
      </c>
      <c r="B77" s="15">
        <v>86300</v>
      </c>
      <c r="C77" s="42">
        <f t="shared" si="13"/>
        <v>0.57533333333333336</v>
      </c>
      <c r="D77" s="42">
        <f t="shared" si="16"/>
        <v>25.689666666666675</v>
      </c>
      <c r="E77" s="42">
        <f t="shared" si="10"/>
        <v>17.260000000000002</v>
      </c>
      <c r="F77" s="42">
        <f t="shared" si="11"/>
        <v>8.6300000000000008</v>
      </c>
      <c r="G77" s="42">
        <f t="shared" si="12"/>
        <v>4.3150000000000004</v>
      </c>
      <c r="H77" s="42">
        <v>30</v>
      </c>
      <c r="I77" s="42">
        <f t="shared" si="14"/>
        <v>15</v>
      </c>
      <c r="J77" s="42">
        <f t="shared" si="15"/>
        <v>7.5</v>
      </c>
      <c r="K77" s="15">
        <v>292802</v>
      </c>
    </row>
    <row r="78" spans="1:11">
      <c r="A78" s="42">
        <v>77</v>
      </c>
      <c r="B78" s="15">
        <v>87500</v>
      </c>
      <c r="C78" s="42">
        <f t="shared" si="13"/>
        <v>0.58333333333333337</v>
      </c>
      <c r="D78" s="42">
        <f t="shared" si="16"/>
        <v>26.273000000000007</v>
      </c>
      <c r="E78" s="42">
        <f t="shared" si="10"/>
        <v>17.5</v>
      </c>
      <c r="F78" s="42">
        <f t="shared" si="11"/>
        <v>8.75</v>
      </c>
      <c r="G78" s="42">
        <f t="shared" si="12"/>
        <v>4.375</v>
      </c>
      <c r="H78" s="42">
        <v>30</v>
      </c>
      <c r="I78" s="42">
        <f t="shared" si="14"/>
        <v>15</v>
      </c>
      <c r="J78" s="42">
        <f t="shared" si="15"/>
        <v>7.5</v>
      </c>
      <c r="K78" s="15">
        <v>300975</v>
      </c>
    </row>
    <row r="79" spans="1:11">
      <c r="A79" s="42">
        <v>78</v>
      </c>
      <c r="B79" s="15">
        <v>88800</v>
      </c>
      <c r="C79" s="42">
        <f t="shared" si="13"/>
        <v>0.59200000000000008</v>
      </c>
      <c r="D79" s="42">
        <f t="shared" si="16"/>
        <v>26.865000000000006</v>
      </c>
      <c r="E79" s="42">
        <f t="shared" si="10"/>
        <v>17.760000000000002</v>
      </c>
      <c r="F79" s="42">
        <f t="shared" si="11"/>
        <v>8.8800000000000008</v>
      </c>
      <c r="G79" s="42">
        <f t="shared" si="12"/>
        <v>4.4400000000000004</v>
      </c>
      <c r="H79" s="42">
        <v>30</v>
      </c>
      <c r="I79" s="42">
        <f t="shared" si="14"/>
        <v>15</v>
      </c>
      <c r="J79" s="42">
        <f t="shared" si="15"/>
        <v>7.5</v>
      </c>
      <c r="K79" s="15">
        <v>309261</v>
      </c>
    </row>
    <row r="80" spans="1:11">
      <c r="A80" s="42">
        <v>79</v>
      </c>
      <c r="B80" s="15">
        <v>90000</v>
      </c>
      <c r="C80" s="42">
        <f t="shared" si="13"/>
        <v>0.6</v>
      </c>
      <c r="D80" s="42">
        <f t="shared" si="16"/>
        <v>27.465000000000007</v>
      </c>
      <c r="E80" s="42">
        <f t="shared" si="10"/>
        <v>18</v>
      </c>
      <c r="F80" s="42">
        <f t="shared" si="11"/>
        <v>9</v>
      </c>
      <c r="G80" s="42">
        <f t="shared" si="12"/>
        <v>4.5</v>
      </c>
      <c r="H80" s="42">
        <v>30</v>
      </c>
      <c r="I80" s="42">
        <f t="shared" si="14"/>
        <v>15</v>
      </c>
      <c r="J80" s="42">
        <f t="shared" si="15"/>
        <v>7.5</v>
      </c>
      <c r="K80" s="15">
        <v>317660</v>
      </c>
    </row>
    <row r="81" spans="1:11">
      <c r="A81" s="42">
        <v>80</v>
      </c>
      <c r="B81" s="15">
        <v>91300</v>
      </c>
      <c r="C81" s="42">
        <f t="shared" si="13"/>
        <v>0.60866666666666669</v>
      </c>
      <c r="D81" s="42">
        <f t="shared" si="16"/>
        <v>28.073666666666675</v>
      </c>
      <c r="E81" s="42">
        <f t="shared" si="10"/>
        <v>18.260000000000002</v>
      </c>
      <c r="F81" s="42">
        <f t="shared" si="11"/>
        <v>9.1300000000000008</v>
      </c>
      <c r="G81" s="42">
        <f t="shared" si="12"/>
        <v>4.5650000000000004</v>
      </c>
      <c r="H81" s="42">
        <v>30</v>
      </c>
      <c r="I81" s="42">
        <f t="shared" si="14"/>
        <v>15</v>
      </c>
      <c r="J81" s="42">
        <f t="shared" si="15"/>
        <v>7.5</v>
      </c>
      <c r="K81" s="15">
        <v>326174</v>
      </c>
    </row>
    <row r="82" spans="1:11">
      <c r="A82" s="42">
        <v>81</v>
      </c>
      <c r="B82" s="15">
        <v>92500</v>
      </c>
      <c r="C82" s="42">
        <f t="shared" si="13"/>
        <v>0.6166666666666667</v>
      </c>
      <c r="D82" s="42">
        <f t="shared" si="16"/>
        <v>28.690333333333342</v>
      </c>
      <c r="E82" s="42">
        <f t="shared" si="10"/>
        <v>18.5</v>
      </c>
      <c r="F82" s="42">
        <f t="shared" si="11"/>
        <v>9.25</v>
      </c>
      <c r="G82" s="42">
        <f t="shared" si="12"/>
        <v>4.625</v>
      </c>
      <c r="H82" s="42">
        <v>30</v>
      </c>
      <c r="I82" s="42">
        <f t="shared" si="14"/>
        <v>15</v>
      </c>
      <c r="J82" s="42">
        <f t="shared" si="15"/>
        <v>7.5</v>
      </c>
      <c r="K82" s="15">
        <v>334801</v>
      </c>
    </row>
    <row r="83" spans="1:11">
      <c r="A83" s="42">
        <v>82</v>
      </c>
      <c r="B83" s="15">
        <v>93700</v>
      </c>
      <c r="C83" s="42">
        <f t="shared" si="13"/>
        <v>0.62466666666666659</v>
      </c>
      <c r="D83" s="42">
        <f t="shared" si="16"/>
        <v>29.315000000000008</v>
      </c>
      <c r="E83" s="42">
        <f t="shared" si="10"/>
        <v>18.739999999999998</v>
      </c>
      <c r="F83" s="42">
        <f t="shared" si="11"/>
        <v>9.3699999999999992</v>
      </c>
      <c r="G83" s="42">
        <f t="shared" si="12"/>
        <v>4.6849999999999996</v>
      </c>
      <c r="H83" s="42">
        <v>30</v>
      </c>
      <c r="I83" s="42">
        <f t="shared" si="14"/>
        <v>15</v>
      </c>
      <c r="J83" s="42">
        <f t="shared" si="15"/>
        <v>7.5</v>
      </c>
      <c r="K83" s="15">
        <v>343543</v>
      </c>
    </row>
    <row r="84" spans="1:11">
      <c r="A84" s="42">
        <v>83</v>
      </c>
      <c r="B84" s="15">
        <v>95000</v>
      </c>
      <c r="C84" s="42">
        <f t="shared" si="13"/>
        <v>0.6333333333333333</v>
      </c>
      <c r="D84" s="42">
        <f t="shared" si="16"/>
        <v>29.948333333333341</v>
      </c>
      <c r="E84" s="42">
        <f t="shared" si="10"/>
        <v>19</v>
      </c>
      <c r="F84" s="42">
        <f t="shared" si="11"/>
        <v>9.5</v>
      </c>
      <c r="G84" s="42">
        <f t="shared" si="12"/>
        <v>4.75</v>
      </c>
      <c r="H84" s="42">
        <v>30</v>
      </c>
      <c r="I84" s="42">
        <f t="shared" si="14"/>
        <v>15</v>
      </c>
      <c r="J84" s="42">
        <f t="shared" si="15"/>
        <v>7.5</v>
      </c>
      <c r="K84" s="15">
        <v>352398</v>
      </c>
    </row>
    <row r="85" spans="1:11">
      <c r="A85" s="42">
        <v>84</v>
      </c>
      <c r="B85" s="15">
        <v>96200</v>
      </c>
      <c r="C85" s="42">
        <f t="shared" si="13"/>
        <v>0.64133333333333331</v>
      </c>
      <c r="D85" s="42">
        <f t="shared" si="16"/>
        <v>30.589666666666673</v>
      </c>
      <c r="E85" s="42">
        <f t="shared" si="10"/>
        <v>19.239999999999998</v>
      </c>
      <c r="F85" s="42">
        <f t="shared" si="11"/>
        <v>9.6199999999999992</v>
      </c>
      <c r="G85" s="42">
        <f t="shared" si="12"/>
        <v>4.8099999999999996</v>
      </c>
      <c r="H85" s="42">
        <v>30</v>
      </c>
      <c r="I85" s="42">
        <f t="shared" si="14"/>
        <v>15</v>
      </c>
      <c r="J85" s="42">
        <f t="shared" si="15"/>
        <v>7.5</v>
      </c>
      <c r="K85" s="15">
        <v>361368</v>
      </c>
    </row>
    <row r="86" spans="1:11">
      <c r="A86" s="42">
        <v>85</v>
      </c>
      <c r="B86" s="15">
        <v>97500</v>
      </c>
      <c r="C86" s="42">
        <f t="shared" si="13"/>
        <v>0.65</v>
      </c>
      <c r="D86" s="42">
        <f t="shared" si="16"/>
        <v>31.239666666666672</v>
      </c>
      <c r="E86" s="42">
        <f t="shared" si="10"/>
        <v>19.5</v>
      </c>
      <c r="F86" s="42">
        <f t="shared" si="11"/>
        <v>9.75</v>
      </c>
      <c r="G86" s="42">
        <f t="shared" si="12"/>
        <v>4.875</v>
      </c>
      <c r="H86" s="42">
        <v>30</v>
      </c>
      <c r="I86" s="42">
        <f t="shared" si="14"/>
        <v>15</v>
      </c>
      <c r="J86" s="42">
        <f t="shared" si="15"/>
        <v>7.5</v>
      </c>
      <c r="K86" s="15">
        <v>370451</v>
      </c>
    </row>
    <row r="87" spans="1:11">
      <c r="A87" s="42">
        <v>86</v>
      </c>
      <c r="B87" s="15">
        <v>98700</v>
      </c>
      <c r="C87" s="42">
        <f t="shared" si="13"/>
        <v>0.65799999999999992</v>
      </c>
      <c r="D87" s="42">
        <f t="shared" si="16"/>
        <v>31.897666666666673</v>
      </c>
      <c r="E87" s="42">
        <f t="shared" si="10"/>
        <v>19.739999999999998</v>
      </c>
      <c r="F87" s="42">
        <f t="shared" si="11"/>
        <v>9.8699999999999992</v>
      </c>
      <c r="G87" s="42">
        <f t="shared" si="12"/>
        <v>4.9349999999999996</v>
      </c>
      <c r="H87" s="42">
        <v>30</v>
      </c>
      <c r="I87" s="42">
        <f t="shared" si="14"/>
        <v>15</v>
      </c>
      <c r="J87" s="42">
        <f t="shared" si="15"/>
        <v>7.5</v>
      </c>
      <c r="K87" s="15">
        <v>379649</v>
      </c>
    </row>
    <row r="88" spans="1:11">
      <c r="A88" s="42">
        <v>87</v>
      </c>
      <c r="B88" s="15">
        <v>100000</v>
      </c>
      <c r="C88" s="42">
        <f t="shared" si="13"/>
        <v>0.66666666666666663</v>
      </c>
      <c r="D88" s="42">
        <f t="shared" si="16"/>
        <v>32.564333333333337</v>
      </c>
      <c r="E88" s="42">
        <f t="shared" si="10"/>
        <v>20</v>
      </c>
      <c r="F88" s="42">
        <f t="shared" si="11"/>
        <v>10</v>
      </c>
      <c r="G88" s="42">
        <f t="shared" si="12"/>
        <v>5</v>
      </c>
      <c r="H88" s="42">
        <v>30</v>
      </c>
      <c r="I88" s="42">
        <f t="shared" si="14"/>
        <v>15</v>
      </c>
      <c r="J88" s="42">
        <f t="shared" si="15"/>
        <v>7.5</v>
      </c>
      <c r="K88" s="15">
        <v>388960</v>
      </c>
    </row>
    <row r="89" spans="1:11">
      <c r="A89" s="42">
        <v>88</v>
      </c>
      <c r="B89" s="15">
        <v>101200</v>
      </c>
      <c r="C89" s="42">
        <f t="shared" si="13"/>
        <v>0.67466666666666664</v>
      </c>
      <c r="D89" s="42">
        <f t="shared" si="16"/>
        <v>33.239000000000004</v>
      </c>
      <c r="E89" s="42">
        <f t="shared" si="10"/>
        <v>20.239999999999998</v>
      </c>
      <c r="F89" s="42">
        <f t="shared" si="11"/>
        <v>10.119999999999999</v>
      </c>
      <c r="G89" s="42">
        <f t="shared" si="12"/>
        <v>5.0599999999999996</v>
      </c>
      <c r="H89" s="42">
        <v>30</v>
      </c>
      <c r="I89" s="42">
        <f t="shared" si="14"/>
        <v>15</v>
      </c>
      <c r="J89" s="42">
        <f t="shared" si="15"/>
        <v>7.5</v>
      </c>
      <c r="K89" s="15">
        <v>398386</v>
      </c>
    </row>
    <row r="90" spans="1:11">
      <c r="A90" s="42">
        <v>89</v>
      </c>
      <c r="B90" s="15">
        <v>102400</v>
      </c>
      <c r="C90" s="42">
        <f t="shared" si="13"/>
        <v>0.68266666666666664</v>
      </c>
      <c r="D90" s="42">
        <f t="shared" si="16"/>
        <v>33.921666666666674</v>
      </c>
      <c r="E90" s="42">
        <f t="shared" si="10"/>
        <v>20.48</v>
      </c>
      <c r="F90" s="42">
        <f t="shared" si="11"/>
        <v>10.24</v>
      </c>
      <c r="G90" s="42">
        <f t="shared" si="12"/>
        <v>5.12</v>
      </c>
      <c r="H90" s="42">
        <v>30</v>
      </c>
      <c r="I90" s="42">
        <f t="shared" si="14"/>
        <v>15</v>
      </c>
      <c r="J90" s="42">
        <f t="shared" si="15"/>
        <v>7.5</v>
      </c>
      <c r="K90" s="15">
        <v>407926</v>
      </c>
    </row>
    <row r="91" spans="1:11">
      <c r="A91" s="42">
        <v>90</v>
      </c>
      <c r="B91" s="15">
        <v>103700</v>
      </c>
      <c r="C91" s="42">
        <f t="shared" si="13"/>
        <v>0.69133333333333324</v>
      </c>
      <c r="D91" s="42">
        <f t="shared" si="16"/>
        <v>34.613000000000007</v>
      </c>
      <c r="E91" s="42">
        <f t="shared" si="10"/>
        <v>20.74</v>
      </c>
      <c r="F91" s="42">
        <f t="shared" si="11"/>
        <v>10.37</v>
      </c>
      <c r="G91" s="42">
        <f t="shared" si="12"/>
        <v>5.1849999999999996</v>
      </c>
      <c r="H91" s="42">
        <v>30</v>
      </c>
      <c r="I91" s="42">
        <f t="shared" si="14"/>
        <v>15</v>
      </c>
      <c r="J91" s="42">
        <f t="shared" si="15"/>
        <v>7.5</v>
      </c>
      <c r="K91" s="15">
        <v>417580</v>
      </c>
    </row>
    <row r="92" spans="1:11">
      <c r="A92" s="42">
        <v>91</v>
      </c>
      <c r="B92" s="15">
        <v>105000</v>
      </c>
      <c r="C92" s="42">
        <f t="shared" si="13"/>
        <v>0.7</v>
      </c>
      <c r="D92" s="42">
        <f t="shared" si="16"/>
        <v>35.313000000000009</v>
      </c>
      <c r="E92" s="42">
        <f t="shared" si="10"/>
        <v>21</v>
      </c>
      <c r="F92" s="42">
        <f t="shared" si="11"/>
        <v>10.5</v>
      </c>
      <c r="G92" s="42">
        <f t="shared" si="12"/>
        <v>5.25</v>
      </c>
      <c r="H92" s="42">
        <v>30</v>
      </c>
      <c r="I92" s="42">
        <f t="shared" si="14"/>
        <v>15</v>
      </c>
      <c r="J92" s="42">
        <f t="shared" si="15"/>
        <v>7.5</v>
      </c>
      <c r="K92" s="15">
        <v>427349</v>
      </c>
    </row>
    <row r="93" spans="1:11">
      <c r="A93" s="42">
        <v>92</v>
      </c>
      <c r="B93" s="15">
        <v>106200</v>
      </c>
      <c r="C93" s="42">
        <f t="shared" si="13"/>
        <v>0.70799999999999996</v>
      </c>
      <c r="D93" s="42">
        <f t="shared" si="16"/>
        <v>36.021000000000008</v>
      </c>
      <c r="E93" s="42">
        <f t="shared" si="10"/>
        <v>21.24</v>
      </c>
      <c r="F93" s="42">
        <f t="shared" si="11"/>
        <v>10.62</v>
      </c>
      <c r="G93" s="42">
        <f t="shared" si="12"/>
        <v>5.31</v>
      </c>
      <c r="H93" s="42">
        <v>30</v>
      </c>
      <c r="I93" s="42">
        <f t="shared" si="14"/>
        <v>15</v>
      </c>
      <c r="J93" s="42">
        <f t="shared" si="15"/>
        <v>7.5</v>
      </c>
      <c r="K93" s="15">
        <v>437232</v>
      </c>
    </row>
    <row r="94" spans="1:11">
      <c r="A94" s="42">
        <v>93</v>
      </c>
      <c r="B94" s="15">
        <v>107500</v>
      </c>
      <c r="C94" s="42">
        <f t="shared" si="13"/>
        <v>0.71666666666666667</v>
      </c>
      <c r="D94" s="42">
        <f t="shared" si="16"/>
        <v>36.737666666666676</v>
      </c>
      <c r="E94" s="42">
        <f t="shared" si="10"/>
        <v>21.5</v>
      </c>
      <c r="F94" s="42">
        <f t="shared" si="11"/>
        <v>10.75</v>
      </c>
      <c r="G94" s="42">
        <f t="shared" si="12"/>
        <v>5.375</v>
      </c>
      <c r="H94" s="42">
        <v>30</v>
      </c>
      <c r="I94" s="42">
        <f t="shared" si="14"/>
        <v>15</v>
      </c>
      <c r="J94" s="42">
        <f t="shared" si="15"/>
        <v>7.5</v>
      </c>
      <c r="K94" s="15">
        <v>447229</v>
      </c>
    </row>
    <row r="95" spans="1:11">
      <c r="A95" s="42">
        <v>94</v>
      </c>
      <c r="B95" s="15">
        <v>108700</v>
      </c>
      <c r="C95" s="42">
        <f t="shared" si="13"/>
        <v>0.72466666666666657</v>
      </c>
      <c r="D95" s="42">
        <f t="shared" si="16"/>
        <v>37.462333333333341</v>
      </c>
      <c r="E95" s="42">
        <f t="shared" si="10"/>
        <v>21.74</v>
      </c>
      <c r="F95" s="42">
        <f t="shared" si="11"/>
        <v>10.87</v>
      </c>
      <c r="G95" s="42">
        <f t="shared" si="12"/>
        <v>5.4349999999999996</v>
      </c>
      <c r="H95" s="42">
        <v>30</v>
      </c>
      <c r="I95" s="42">
        <f t="shared" si="14"/>
        <v>15</v>
      </c>
      <c r="J95" s="42">
        <f t="shared" si="15"/>
        <v>7.5</v>
      </c>
      <c r="K95" s="15">
        <v>457341</v>
      </c>
    </row>
    <row r="96" spans="1:11">
      <c r="A96" s="42">
        <v>95</v>
      </c>
      <c r="B96" s="15">
        <v>110000</v>
      </c>
      <c r="C96" s="42">
        <f t="shared" si="13"/>
        <v>0.73333333333333328</v>
      </c>
      <c r="D96" s="42">
        <f t="shared" si="16"/>
        <v>38.195666666666675</v>
      </c>
      <c r="E96" s="42">
        <f t="shared" si="10"/>
        <v>22</v>
      </c>
      <c r="F96" s="42">
        <f t="shared" si="11"/>
        <v>11</v>
      </c>
      <c r="G96" s="42">
        <f t="shared" si="12"/>
        <v>5.5</v>
      </c>
      <c r="H96" s="42">
        <v>30</v>
      </c>
      <c r="I96" s="42">
        <f t="shared" si="14"/>
        <v>15</v>
      </c>
      <c r="J96" s="42">
        <f t="shared" si="15"/>
        <v>7.5</v>
      </c>
      <c r="K96" s="15">
        <v>467567</v>
      </c>
    </row>
    <row r="97" spans="1:11">
      <c r="A97" s="42">
        <v>96</v>
      </c>
      <c r="B97" s="15">
        <v>111200</v>
      </c>
      <c r="C97" s="42">
        <f t="shared" si="13"/>
        <v>0.74133333333333329</v>
      </c>
      <c r="D97" s="42">
        <f t="shared" si="16"/>
        <v>38.937000000000005</v>
      </c>
      <c r="E97" s="42">
        <f t="shared" si="10"/>
        <v>22.24</v>
      </c>
      <c r="F97" s="42">
        <f t="shared" si="11"/>
        <v>11.12</v>
      </c>
      <c r="G97" s="42">
        <f t="shared" si="12"/>
        <v>5.56</v>
      </c>
      <c r="H97" s="42">
        <v>30</v>
      </c>
      <c r="I97" s="42">
        <f t="shared" si="14"/>
        <v>15</v>
      </c>
      <c r="J97" s="42">
        <f t="shared" si="15"/>
        <v>7.5</v>
      </c>
      <c r="K97" s="15">
        <v>477908</v>
      </c>
    </row>
    <row r="98" spans="1:11">
      <c r="A98" s="42">
        <v>97</v>
      </c>
      <c r="B98" s="15">
        <v>112500</v>
      </c>
      <c r="C98" s="42">
        <f t="shared" si="13"/>
        <v>0.75</v>
      </c>
      <c r="D98" s="42">
        <f t="shared" si="16"/>
        <v>39.687000000000005</v>
      </c>
      <c r="E98" s="42">
        <f t="shared" si="10"/>
        <v>22.5</v>
      </c>
      <c r="F98" s="42">
        <f t="shared" si="11"/>
        <v>11.25</v>
      </c>
      <c r="G98" s="42">
        <f t="shared" si="12"/>
        <v>5.625</v>
      </c>
      <c r="H98" s="42">
        <v>30</v>
      </c>
      <c r="I98" s="42">
        <f t="shared" si="14"/>
        <v>15</v>
      </c>
      <c r="J98" s="42">
        <f t="shared" si="15"/>
        <v>7.5</v>
      </c>
      <c r="K98" s="15">
        <v>488363</v>
      </c>
    </row>
    <row r="99" spans="1:11">
      <c r="A99" s="42">
        <v>98</v>
      </c>
      <c r="B99" s="15">
        <v>113800</v>
      </c>
      <c r="C99" s="42">
        <f t="shared" si="13"/>
        <v>0.75866666666666671</v>
      </c>
      <c r="D99" s="42">
        <f t="shared" si="16"/>
        <v>40.445666666666675</v>
      </c>
      <c r="E99" s="42">
        <f t="shared" si="10"/>
        <v>22.76</v>
      </c>
      <c r="F99" s="42">
        <f t="shared" si="11"/>
        <v>11.38</v>
      </c>
      <c r="G99" s="42">
        <f t="shared" si="12"/>
        <v>5.69</v>
      </c>
      <c r="H99" s="42">
        <v>30</v>
      </c>
      <c r="I99" s="42">
        <f t="shared" si="14"/>
        <v>15</v>
      </c>
      <c r="J99" s="42">
        <f t="shared" si="15"/>
        <v>7.5</v>
      </c>
      <c r="K99" s="15">
        <v>498933</v>
      </c>
    </row>
    <row r="100" spans="1:11">
      <c r="A100" s="42">
        <v>99</v>
      </c>
      <c r="B100" s="15">
        <v>115000</v>
      </c>
      <c r="C100" s="42">
        <f t="shared" si="13"/>
        <v>0.76666666666666672</v>
      </c>
      <c r="D100" s="42">
        <f t="shared" si="16"/>
        <v>41.212333333333341</v>
      </c>
      <c r="E100" s="42">
        <f t="shared" si="10"/>
        <v>23</v>
      </c>
      <c r="F100" s="42">
        <f t="shared" si="11"/>
        <v>11.5</v>
      </c>
      <c r="G100" s="42">
        <f t="shared" si="12"/>
        <v>5.75</v>
      </c>
      <c r="H100" s="42">
        <v>30</v>
      </c>
      <c r="I100" s="42">
        <f t="shared" si="14"/>
        <v>15</v>
      </c>
      <c r="J100" s="42">
        <f t="shared" si="15"/>
        <v>7.5</v>
      </c>
      <c r="K100" s="15">
        <v>509617</v>
      </c>
    </row>
    <row r="101" spans="1:11">
      <c r="A101" s="42">
        <v>100</v>
      </c>
      <c r="B101" s="15">
        <v>116300</v>
      </c>
      <c r="C101" s="42">
        <f t="shared" si="13"/>
        <v>0.77533333333333343</v>
      </c>
      <c r="D101" s="42">
        <f t="shared" si="16"/>
        <v>41.987666666666676</v>
      </c>
      <c r="E101" s="42">
        <f t="shared" si="10"/>
        <v>23.26</v>
      </c>
      <c r="F101" s="42">
        <f t="shared" si="11"/>
        <v>11.63</v>
      </c>
      <c r="G101" s="42">
        <f t="shared" si="12"/>
        <v>5.8150000000000004</v>
      </c>
      <c r="H101" s="42">
        <v>30</v>
      </c>
      <c r="I101" s="42">
        <f t="shared" si="14"/>
        <v>15</v>
      </c>
      <c r="J101" s="42">
        <f t="shared" si="15"/>
        <v>7.5</v>
      </c>
      <c r="K101" s="15">
        <v>520416</v>
      </c>
    </row>
    <row r="102" spans="1:11">
      <c r="A102" s="42">
        <v>101</v>
      </c>
      <c r="B102" s="15">
        <v>117600</v>
      </c>
      <c r="C102" s="42">
        <f t="shared" ref="C102:C165" si="17">E102/H102</f>
        <v>1.1759999999999999</v>
      </c>
      <c r="D102" s="42">
        <f t="shared" ref="D102:D165" si="18">C102+D101</f>
        <v>43.163666666666678</v>
      </c>
      <c r="E102" s="42">
        <f t="shared" ref="E102:E165" si="19">B102/$N$2</f>
        <v>23.52</v>
      </c>
      <c r="F102" s="42">
        <f t="shared" ref="F102:F165" si="20">B102/$N$3</f>
        <v>11.76</v>
      </c>
      <c r="G102" s="42">
        <f t="shared" ref="G102:G165" si="21">B102/$N$4</f>
        <v>5.88</v>
      </c>
      <c r="H102" s="42">
        <v>20</v>
      </c>
      <c r="I102" s="42">
        <f t="shared" ref="I102:I165" si="22">H102/2</f>
        <v>10</v>
      </c>
      <c r="J102" s="42">
        <f t="shared" ref="J102:J165" si="23">H102/4</f>
        <v>5</v>
      </c>
      <c r="K102" s="15">
        <v>531840</v>
      </c>
    </row>
    <row r="103" spans="1:11">
      <c r="A103" s="42">
        <v>102</v>
      </c>
      <c r="B103" s="15">
        <v>118800</v>
      </c>
      <c r="C103" s="42">
        <f t="shared" si="17"/>
        <v>1.1880000000000002</v>
      </c>
      <c r="D103" s="42">
        <f t="shared" si="18"/>
        <v>44.351666666666681</v>
      </c>
      <c r="E103" s="42">
        <f t="shared" si="19"/>
        <v>23.76</v>
      </c>
      <c r="F103" s="42">
        <f t="shared" si="20"/>
        <v>11.88</v>
      </c>
      <c r="G103" s="42">
        <f t="shared" si="21"/>
        <v>5.94</v>
      </c>
      <c r="H103" s="42">
        <v>20</v>
      </c>
      <c r="I103" s="42">
        <f t="shared" si="22"/>
        <v>10</v>
      </c>
      <c r="J103" s="42">
        <f t="shared" si="23"/>
        <v>5</v>
      </c>
      <c r="K103" s="15">
        <v>543501</v>
      </c>
    </row>
    <row r="104" spans="1:11">
      <c r="A104" s="42">
        <v>103</v>
      </c>
      <c r="B104" s="15">
        <v>120100</v>
      </c>
      <c r="C104" s="42">
        <f t="shared" si="17"/>
        <v>1.2010000000000001</v>
      </c>
      <c r="D104" s="42">
        <f t="shared" si="18"/>
        <v>45.552666666666681</v>
      </c>
      <c r="E104" s="42">
        <f t="shared" si="19"/>
        <v>24.02</v>
      </c>
      <c r="F104" s="42">
        <f t="shared" si="20"/>
        <v>12.01</v>
      </c>
      <c r="G104" s="42">
        <f t="shared" si="21"/>
        <v>6.0049999999999999</v>
      </c>
      <c r="H104" s="42">
        <v>20</v>
      </c>
      <c r="I104" s="42">
        <f t="shared" si="22"/>
        <v>10</v>
      </c>
      <c r="J104" s="42">
        <f t="shared" si="23"/>
        <v>5</v>
      </c>
      <c r="K104" s="15">
        <v>555341</v>
      </c>
    </row>
    <row r="105" spans="1:11">
      <c r="A105" s="42">
        <v>104</v>
      </c>
      <c r="B105" s="15">
        <v>121400</v>
      </c>
      <c r="C105" s="42">
        <f t="shared" si="17"/>
        <v>1.214</v>
      </c>
      <c r="D105" s="42">
        <f t="shared" si="18"/>
        <v>46.76666666666668</v>
      </c>
      <c r="E105" s="42">
        <f t="shared" si="19"/>
        <v>24.28</v>
      </c>
      <c r="F105" s="42">
        <f t="shared" si="20"/>
        <v>12.14</v>
      </c>
      <c r="G105" s="42">
        <f t="shared" si="21"/>
        <v>6.07</v>
      </c>
      <c r="H105" s="42">
        <v>20</v>
      </c>
      <c r="I105" s="42">
        <f t="shared" si="22"/>
        <v>10</v>
      </c>
      <c r="J105" s="42">
        <f t="shared" si="23"/>
        <v>5</v>
      </c>
      <c r="K105" s="15">
        <v>567345</v>
      </c>
    </row>
    <row r="106" spans="1:11">
      <c r="A106" s="42">
        <v>105</v>
      </c>
      <c r="B106" s="15">
        <v>122600</v>
      </c>
      <c r="C106" s="42">
        <f t="shared" si="17"/>
        <v>1.226</v>
      </c>
      <c r="D106" s="42">
        <f t="shared" si="18"/>
        <v>47.992666666666679</v>
      </c>
      <c r="E106" s="42">
        <f t="shared" si="19"/>
        <v>24.52</v>
      </c>
      <c r="F106" s="42">
        <f t="shared" si="20"/>
        <v>12.26</v>
      </c>
      <c r="G106" s="42">
        <f t="shared" si="21"/>
        <v>6.13</v>
      </c>
      <c r="H106" s="42">
        <v>20</v>
      </c>
      <c r="I106" s="42">
        <f t="shared" si="22"/>
        <v>10</v>
      </c>
      <c r="J106" s="42">
        <f t="shared" si="23"/>
        <v>5</v>
      </c>
      <c r="K106" s="15">
        <v>579506</v>
      </c>
    </row>
    <row r="107" spans="1:11">
      <c r="A107" s="42">
        <v>106</v>
      </c>
      <c r="B107" s="15">
        <v>123900</v>
      </c>
      <c r="C107" s="42">
        <f t="shared" si="17"/>
        <v>1.2390000000000001</v>
      </c>
      <c r="D107" s="42">
        <f t="shared" si="18"/>
        <v>49.231666666666676</v>
      </c>
      <c r="E107" s="42">
        <f t="shared" si="19"/>
        <v>24.78</v>
      </c>
      <c r="F107" s="42">
        <f t="shared" si="20"/>
        <v>12.39</v>
      </c>
      <c r="G107" s="42">
        <f t="shared" si="21"/>
        <v>6.1950000000000003</v>
      </c>
      <c r="H107" s="42">
        <v>20</v>
      </c>
      <c r="I107" s="42">
        <f t="shared" si="22"/>
        <v>10</v>
      </c>
      <c r="J107" s="42">
        <f t="shared" si="23"/>
        <v>5</v>
      </c>
      <c r="K107" s="15">
        <v>591820</v>
      </c>
    </row>
    <row r="108" spans="1:11">
      <c r="A108" s="42">
        <v>107</v>
      </c>
      <c r="B108" s="15">
        <v>125200</v>
      </c>
      <c r="C108" s="42">
        <f t="shared" si="17"/>
        <v>1.252</v>
      </c>
      <c r="D108" s="42">
        <f t="shared" si="18"/>
        <v>50.483666666666679</v>
      </c>
      <c r="E108" s="42">
        <f t="shared" si="19"/>
        <v>25.04</v>
      </c>
      <c r="F108" s="42">
        <f t="shared" si="20"/>
        <v>12.52</v>
      </c>
      <c r="G108" s="42">
        <f t="shared" si="21"/>
        <v>6.26</v>
      </c>
      <c r="H108" s="42">
        <v>20</v>
      </c>
      <c r="I108" s="42">
        <f t="shared" si="22"/>
        <v>10</v>
      </c>
      <c r="J108" s="42">
        <f t="shared" si="23"/>
        <v>5</v>
      </c>
      <c r="K108" s="15">
        <v>604284</v>
      </c>
    </row>
    <row r="109" spans="1:11">
      <c r="A109" s="42">
        <v>108</v>
      </c>
      <c r="B109" s="15">
        <v>126500</v>
      </c>
      <c r="C109" s="42">
        <f t="shared" si="17"/>
        <v>1.2650000000000001</v>
      </c>
      <c r="D109" s="42">
        <f t="shared" si="18"/>
        <v>51.748666666666679</v>
      </c>
      <c r="E109" s="42">
        <f t="shared" si="19"/>
        <v>25.3</v>
      </c>
      <c r="F109" s="42">
        <f t="shared" si="20"/>
        <v>12.65</v>
      </c>
      <c r="G109" s="42">
        <f t="shared" si="21"/>
        <v>6.3250000000000002</v>
      </c>
      <c r="H109" s="42">
        <v>20</v>
      </c>
      <c r="I109" s="42">
        <f t="shared" si="22"/>
        <v>10</v>
      </c>
      <c r="J109" s="42">
        <f t="shared" si="23"/>
        <v>5</v>
      </c>
      <c r="K109" s="15">
        <v>616896</v>
      </c>
    </row>
    <row r="110" spans="1:11">
      <c r="A110" s="42">
        <v>109</v>
      </c>
      <c r="B110" s="15">
        <v>127700</v>
      </c>
      <c r="C110" s="42">
        <f t="shared" si="17"/>
        <v>1.2769999999999999</v>
      </c>
      <c r="D110" s="42">
        <f t="shared" si="18"/>
        <v>53.02566666666668</v>
      </c>
      <c r="E110" s="42">
        <f t="shared" si="19"/>
        <v>25.54</v>
      </c>
      <c r="F110" s="42">
        <f t="shared" si="20"/>
        <v>12.77</v>
      </c>
      <c r="G110" s="42">
        <f t="shared" si="21"/>
        <v>6.3849999999999998</v>
      </c>
      <c r="H110" s="42">
        <v>20</v>
      </c>
      <c r="I110" s="42">
        <f t="shared" si="22"/>
        <v>10</v>
      </c>
      <c r="J110" s="42">
        <f t="shared" si="23"/>
        <v>5</v>
      </c>
      <c r="K110" s="15">
        <v>629655</v>
      </c>
    </row>
    <row r="111" spans="1:11">
      <c r="A111" s="42">
        <v>110</v>
      </c>
      <c r="B111" s="15">
        <v>129000</v>
      </c>
      <c r="C111" s="42">
        <f t="shared" si="17"/>
        <v>1.29</v>
      </c>
      <c r="D111" s="42">
        <f t="shared" si="18"/>
        <v>54.315666666666679</v>
      </c>
      <c r="E111" s="42">
        <f t="shared" si="19"/>
        <v>25.8</v>
      </c>
      <c r="F111" s="42">
        <f t="shared" si="20"/>
        <v>12.9</v>
      </c>
      <c r="G111" s="42">
        <f t="shared" si="21"/>
        <v>6.45</v>
      </c>
      <c r="H111" s="42">
        <v>20</v>
      </c>
      <c r="I111" s="42">
        <f t="shared" si="22"/>
        <v>10</v>
      </c>
      <c r="J111" s="42">
        <f t="shared" si="23"/>
        <v>5</v>
      </c>
      <c r="K111" s="15">
        <v>642560</v>
      </c>
    </row>
    <row r="112" spans="1:11">
      <c r="A112" s="42">
        <v>111</v>
      </c>
      <c r="B112" s="15">
        <v>130300</v>
      </c>
      <c r="C112" s="42">
        <f t="shared" si="17"/>
        <v>1.3029999999999999</v>
      </c>
      <c r="D112" s="42">
        <f t="shared" si="18"/>
        <v>55.618666666666677</v>
      </c>
      <c r="E112" s="42">
        <f t="shared" si="19"/>
        <v>26.06</v>
      </c>
      <c r="F112" s="42">
        <f t="shared" si="20"/>
        <v>13.03</v>
      </c>
      <c r="G112" s="42">
        <f t="shared" si="21"/>
        <v>6.5149999999999997</v>
      </c>
      <c r="H112" s="42">
        <v>20</v>
      </c>
      <c r="I112" s="42">
        <f t="shared" si="22"/>
        <v>10</v>
      </c>
      <c r="J112" s="42">
        <f t="shared" si="23"/>
        <v>5</v>
      </c>
      <c r="K112" s="15">
        <v>655609</v>
      </c>
    </row>
    <row r="113" spans="1:11">
      <c r="A113" s="42">
        <v>112</v>
      </c>
      <c r="B113" s="15">
        <v>131600</v>
      </c>
      <c r="C113" s="42">
        <f t="shared" si="17"/>
        <v>1.3160000000000001</v>
      </c>
      <c r="D113" s="42">
        <f t="shared" si="18"/>
        <v>56.934666666666679</v>
      </c>
      <c r="E113" s="42">
        <f t="shared" si="19"/>
        <v>26.32</v>
      </c>
      <c r="F113" s="42">
        <f t="shared" si="20"/>
        <v>13.16</v>
      </c>
      <c r="G113" s="42">
        <f t="shared" si="21"/>
        <v>6.58</v>
      </c>
      <c r="H113" s="42">
        <v>20</v>
      </c>
      <c r="I113" s="42">
        <f t="shared" si="22"/>
        <v>10</v>
      </c>
      <c r="J113" s="42">
        <f t="shared" si="23"/>
        <v>5</v>
      </c>
      <c r="K113" s="15">
        <v>668803</v>
      </c>
    </row>
    <row r="114" spans="1:11">
      <c r="A114" s="42">
        <v>113</v>
      </c>
      <c r="B114" s="15">
        <v>132900</v>
      </c>
      <c r="C114" s="42">
        <f t="shared" si="17"/>
        <v>1.329</v>
      </c>
      <c r="D114" s="42">
        <f t="shared" si="18"/>
        <v>58.26366666666668</v>
      </c>
      <c r="E114" s="42">
        <f t="shared" si="19"/>
        <v>26.58</v>
      </c>
      <c r="F114" s="42">
        <f t="shared" si="20"/>
        <v>13.29</v>
      </c>
      <c r="G114" s="42">
        <f t="shared" si="21"/>
        <v>6.6449999999999996</v>
      </c>
      <c r="H114" s="42">
        <v>20</v>
      </c>
      <c r="I114" s="42">
        <f t="shared" si="22"/>
        <v>10</v>
      </c>
      <c r="J114" s="42">
        <f t="shared" si="23"/>
        <v>5</v>
      </c>
      <c r="K114" s="15">
        <v>682140</v>
      </c>
    </row>
    <row r="115" spans="1:11">
      <c r="A115" s="42">
        <v>114</v>
      </c>
      <c r="B115" s="15">
        <v>134100</v>
      </c>
      <c r="C115" s="42">
        <f t="shared" si="17"/>
        <v>1.341</v>
      </c>
      <c r="D115" s="42">
        <f t="shared" si="18"/>
        <v>59.604666666666681</v>
      </c>
      <c r="E115" s="42">
        <f t="shared" si="19"/>
        <v>26.82</v>
      </c>
      <c r="F115" s="42">
        <f t="shared" si="20"/>
        <v>13.41</v>
      </c>
      <c r="G115" s="42">
        <f t="shared" si="21"/>
        <v>6.7050000000000001</v>
      </c>
      <c r="H115" s="42">
        <v>20</v>
      </c>
      <c r="I115" s="42">
        <f t="shared" si="22"/>
        <v>10</v>
      </c>
      <c r="J115" s="42">
        <f t="shared" si="23"/>
        <v>5</v>
      </c>
      <c r="K115" s="15">
        <v>695620</v>
      </c>
    </row>
    <row r="116" spans="1:11">
      <c r="A116" s="42">
        <v>115</v>
      </c>
      <c r="B116" s="15">
        <v>135400</v>
      </c>
      <c r="C116" s="42">
        <f t="shared" si="17"/>
        <v>1.3539999999999999</v>
      </c>
      <c r="D116" s="42">
        <f t="shared" si="18"/>
        <v>60.95866666666668</v>
      </c>
      <c r="E116" s="42">
        <f t="shared" si="19"/>
        <v>27.08</v>
      </c>
      <c r="F116" s="42">
        <f t="shared" si="20"/>
        <v>13.54</v>
      </c>
      <c r="G116" s="42">
        <f t="shared" si="21"/>
        <v>6.77</v>
      </c>
      <c r="H116" s="42">
        <v>20</v>
      </c>
      <c r="I116" s="42">
        <f t="shared" si="22"/>
        <v>10</v>
      </c>
      <c r="J116" s="42">
        <f t="shared" si="23"/>
        <v>5</v>
      </c>
      <c r="K116" s="15">
        <v>709244</v>
      </c>
    </row>
    <row r="117" spans="1:11">
      <c r="A117" s="42">
        <v>116</v>
      </c>
      <c r="B117" s="15">
        <v>136700</v>
      </c>
      <c r="C117" s="42">
        <f t="shared" si="17"/>
        <v>1.367</v>
      </c>
      <c r="D117" s="42">
        <f t="shared" si="18"/>
        <v>62.325666666666677</v>
      </c>
      <c r="E117" s="42">
        <f t="shared" si="19"/>
        <v>27.34</v>
      </c>
      <c r="F117" s="42">
        <f t="shared" si="20"/>
        <v>13.67</v>
      </c>
      <c r="G117" s="42">
        <f t="shared" si="21"/>
        <v>6.835</v>
      </c>
      <c r="H117" s="42">
        <v>20</v>
      </c>
      <c r="I117" s="42">
        <f t="shared" si="22"/>
        <v>10</v>
      </c>
      <c r="J117" s="42">
        <f t="shared" si="23"/>
        <v>5</v>
      </c>
      <c r="K117" s="15">
        <v>723009</v>
      </c>
    </row>
    <row r="118" spans="1:11">
      <c r="A118" s="42">
        <v>117</v>
      </c>
      <c r="B118" s="15">
        <v>138000</v>
      </c>
      <c r="C118" s="42">
        <f t="shared" si="17"/>
        <v>1.3800000000000001</v>
      </c>
      <c r="D118" s="42">
        <f t="shared" si="18"/>
        <v>63.70566666666668</v>
      </c>
      <c r="E118" s="42">
        <f t="shared" si="19"/>
        <v>27.6</v>
      </c>
      <c r="F118" s="42">
        <f t="shared" si="20"/>
        <v>13.8</v>
      </c>
      <c r="G118" s="42">
        <f t="shared" si="21"/>
        <v>6.9</v>
      </c>
      <c r="H118" s="42">
        <v>20</v>
      </c>
      <c r="I118" s="42">
        <f t="shared" si="22"/>
        <v>10</v>
      </c>
      <c r="J118" s="42">
        <f t="shared" si="23"/>
        <v>5</v>
      </c>
      <c r="K118" s="15">
        <v>736917</v>
      </c>
    </row>
    <row r="119" spans="1:11">
      <c r="A119" s="42">
        <v>118</v>
      </c>
      <c r="B119" s="15">
        <v>139300</v>
      </c>
      <c r="C119" s="42">
        <f t="shared" si="17"/>
        <v>1.393</v>
      </c>
      <c r="D119" s="42">
        <f t="shared" si="18"/>
        <v>65.098666666666674</v>
      </c>
      <c r="E119" s="42">
        <f t="shared" si="19"/>
        <v>27.86</v>
      </c>
      <c r="F119" s="42">
        <f t="shared" si="20"/>
        <v>13.93</v>
      </c>
      <c r="G119" s="42">
        <f t="shared" si="21"/>
        <v>6.9649999999999999</v>
      </c>
      <c r="H119" s="42">
        <v>20</v>
      </c>
      <c r="I119" s="42">
        <f t="shared" si="22"/>
        <v>10</v>
      </c>
      <c r="J119" s="42">
        <f t="shared" si="23"/>
        <v>5</v>
      </c>
      <c r="K119" s="15">
        <v>750967</v>
      </c>
    </row>
    <row r="120" spans="1:11">
      <c r="A120" s="42">
        <v>119</v>
      </c>
      <c r="B120" s="15">
        <v>140600</v>
      </c>
      <c r="C120" s="42">
        <f t="shared" si="17"/>
        <v>1.4060000000000001</v>
      </c>
      <c r="D120" s="42">
        <f t="shared" si="18"/>
        <v>66.504666666666679</v>
      </c>
      <c r="E120" s="42">
        <f t="shared" si="19"/>
        <v>28.12</v>
      </c>
      <c r="F120" s="42">
        <f t="shared" si="20"/>
        <v>14.06</v>
      </c>
      <c r="G120" s="42">
        <f t="shared" si="21"/>
        <v>7.03</v>
      </c>
      <c r="H120" s="42">
        <v>20</v>
      </c>
      <c r="I120" s="42">
        <f t="shared" si="22"/>
        <v>10</v>
      </c>
      <c r="J120" s="42">
        <f t="shared" si="23"/>
        <v>5</v>
      </c>
      <c r="K120" s="15">
        <v>765159</v>
      </c>
    </row>
    <row r="121" spans="1:11">
      <c r="A121" s="42">
        <v>120</v>
      </c>
      <c r="B121" s="15">
        <v>141900</v>
      </c>
      <c r="C121" s="42">
        <f t="shared" si="17"/>
        <v>1.419</v>
      </c>
      <c r="D121" s="42">
        <f t="shared" si="18"/>
        <v>67.923666666666676</v>
      </c>
      <c r="E121" s="42">
        <f t="shared" si="19"/>
        <v>28.38</v>
      </c>
      <c r="F121" s="42">
        <f t="shared" si="20"/>
        <v>14.19</v>
      </c>
      <c r="G121" s="42">
        <f t="shared" si="21"/>
        <v>7.0949999999999998</v>
      </c>
      <c r="H121" s="42">
        <v>20</v>
      </c>
      <c r="I121" s="42">
        <f t="shared" si="22"/>
        <v>10</v>
      </c>
      <c r="J121" s="42">
        <f t="shared" si="23"/>
        <v>5</v>
      </c>
      <c r="K121" s="15">
        <v>779492</v>
      </c>
    </row>
    <row r="122" spans="1:11">
      <c r="A122" s="42">
        <v>121</v>
      </c>
      <c r="B122" s="15">
        <v>143100</v>
      </c>
      <c r="C122" s="42">
        <f t="shared" si="17"/>
        <v>1.431</v>
      </c>
      <c r="D122" s="42">
        <f t="shared" si="18"/>
        <v>69.354666666666674</v>
      </c>
      <c r="E122" s="42">
        <f t="shared" si="19"/>
        <v>28.62</v>
      </c>
      <c r="F122" s="42">
        <f t="shared" si="20"/>
        <v>14.31</v>
      </c>
      <c r="G122" s="42">
        <f t="shared" si="21"/>
        <v>7.1550000000000002</v>
      </c>
      <c r="H122" s="42">
        <v>20</v>
      </c>
      <c r="I122" s="42">
        <f t="shared" si="22"/>
        <v>10</v>
      </c>
      <c r="J122" s="42">
        <f t="shared" si="23"/>
        <v>5</v>
      </c>
      <c r="K122" s="15">
        <v>793967</v>
      </c>
    </row>
    <row r="123" spans="1:11">
      <c r="A123" s="42">
        <v>122</v>
      </c>
      <c r="B123" s="15">
        <v>144400</v>
      </c>
      <c r="C123" s="42">
        <f t="shared" si="17"/>
        <v>1.444</v>
      </c>
      <c r="D123" s="42">
        <f t="shared" si="18"/>
        <v>70.798666666666676</v>
      </c>
      <c r="E123" s="42">
        <f t="shared" si="19"/>
        <v>28.88</v>
      </c>
      <c r="F123" s="42">
        <f t="shared" si="20"/>
        <v>14.44</v>
      </c>
      <c r="G123" s="42">
        <f t="shared" si="21"/>
        <v>7.22</v>
      </c>
      <c r="H123" s="42">
        <v>20</v>
      </c>
      <c r="I123" s="42">
        <f t="shared" si="22"/>
        <v>10</v>
      </c>
      <c r="J123" s="42">
        <f t="shared" si="23"/>
        <v>5</v>
      </c>
      <c r="K123" s="15">
        <v>808584</v>
      </c>
    </row>
    <row r="124" spans="1:11">
      <c r="A124" s="42">
        <v>123</v>
      </c>
      <c r="B124" s="15">
        <v>145700</v>
      </c>
      <c r="C124" s="42">
        <f t="shared" si="17"/>
        <v>1.4570000000000001</v>
      </c>
      <c r="D124" s="42">
        <f t="shared" si="18"/>
        <v>72.25566666666667</v>
      </c>
      <c r="E124" s="42">
        <f t="shared" si="19"/>
        <v>29.14</v>
      </c>
      <c r="F124" s="42">
        <f t="shared" si="20"/>
        <v>14.57</v>
      </c>
      <c r="G124" s="42">
        <f t="shared" si="21"/>
        <v>7.2850000000000001</v>
      </c>
      <c r="H124" s="42">
        <v>20</v>
      </c>
      <c r="I124" s="42">
        <f t="shared" si="22"/>
        <v>10</v>
      </c>
      <c r="J124" s="42">
        <f t="shared" si="23"/>
        <v>5</v>
      </c>
      <c r="K124" s="15">
        <v>823341</v>
      </c>
    </row>
    <row r="125" spans="1:11">
      <c r="A125" s="42">
        <v>124</v>
      </c>
      <c r="B125" s="15">
        <v>147000</v>
      </c>
      <c r="C125" s="42">
        <f t="shared" si="17"/>
        <v>1.47</v>
      </c>
      <c r="D125" s="42">
        <f t="shared" si="18"/>
        <v>73.725666666666669</v>
      </c>
      <c r="E125" s="42">
        <f t="shared" si="19"/>
        <v>29.4</v>
      </c>
      <c r="F125" s="42">
        <f t="shared" si="20"/>
        <v>14.7</v>
      </c>
      <c r="G125" s="42">
        <f t="shared" si="21"/>
        <v>7.35</v>
      </c>
      <c r="H125" s="42">
        <v>20</v>
      </c>
      <c r="I125" s="42">
        <f t="shared" si="22"/>
        <v>10</v>
      </c>
      <c r="J125" s="42">
        <f t="shared" si="23"/>
        <v>5</v>
      </c>
      <c r="K125" s="15">
        <v>838241</v>
      </c>
    </row>
    <row r="126" spans="1:11">
      <c r="A126" s="42">
        <v>125</v>
      </c>
      <c r="B126" s="15">
        <v>148300</v>
      </c>
      <c r="C126" s="42">
        <f t="shared" si="17"/>
        <v>1.4830000000000001</v>
      </c>
      <c r="D126" s="42">
        <f t="shared" si="18"/>
        <v>75.208666666666673</v>
      </c>
      <c r="E126" s="42">
        <f t="shared" si="19"/>
        <v>29.66</v>
      </c>
      <c r="F126" s="42">
        <f t="shared" si="20"/>
        <v>14.83</v>
      </c>
      <c r="G126" s="42">
        <f t="shared" si="21"/>
        <v>7.415</v>
      </c>
      <c r="H126" s="42">
        <v>20</v>
      </c>
      <c r="I126" s="42">
        <f t="shared" si="22"/>
        <v>10</v>
      </c>
      <c r="J126" s="42">
        <f t="shared" si="23"/>
        <v>5</v>
      </c>
      <c r="K126" s="15">
        <v>853281</v>
      </c>
    </row>
    <row r="127" spans="1:11">
      <c r="A127" s="42">
        <v>126</v>
      </c>
      <c r="B127" s="15">
        <v>149600</v>
      </c>
      <c r="C127" s="42">
        <f t="shared" si="17"/>
        <v>1.496</v>
      </c>
      <c r="D127" s="42">
        <f t="shared" si="18"/>
        <v>76.704666666666668</v>
      </c>
      <c r="E127" s="42">
        <f t="shared" si="19"/>
        <v>29.92</v>
      </c>
      <c r="F127" s="42">
        <f t="shared" si="20"/>
        <v>14.96</v>
      </c>
      <c r="G127" s="42">
        <f t="shared" si="21"/>
        <v>7.48</v>
      </c>
      <c r="H127" s="42">
        <v>20</v>
      </c>
      <c r="I127" s="42">
        <f t="shared" si="22"/>
        <v>10</v>
      </c>
      <c r="J127" s="42">
        <f t="shared" si="23"/>
        <v>5</v>
      </c>
      <c r="K127" s="15">
        <v>868463</v>
      </c>
    </row>
    <row r="128" spans="1:11">
      <c r="A128" s="42">
        <v>127</v>
      </c>
      <c r="B128" s="15">
        <v>150900</v>
      </c>
      <c r="C128" s="42">
        <f t="shared" si="17"/>
        <v>1.5089999999999999</v>
      </c>
      <c r="D128" s="42">
        <f t="shared" si="18"/>
        <v>78.213666666666668</v>
      </c>
      <c r="E128" s="42">
        <f t="shared" si="19"/>
        <v>30.18</v>
      </c>
      <c r="F128" s="42">
        <f t="shared" si="20"/>
        <v>15.09</v>
      </c>
      <c r="G128" s="42">
        <f t="shared" si="21"/>
        <v>7.5449999999999999</v>
      </c>
      <c r="H128" s="42">
        <v>20</v>
      </c>
      <c r="I128" s="42">
        <f t="shared" si="22"/>
        <v>10</v>
      </c>
      <c r="J128" s="42">
        <f t="shared" si="23"/>
        <v>5</v>
      </c>
      <c r="K128" s="15">
        <v>883785</v>
      </c>
    </row>
    <row r="129" spans="1:11">
      <c r="A129" s="42">
        <v>128</v>
      </c>
      <c r="B129" s="15">
        <v>152200</v>
      </c>
      <c r="C129" s="42">
        <f t="shared" si="17"/>
        <v>1.522</v>
      </c>
      <c r="D129" s="42">
        <f t="shared" si="18"/>
        <v>79.735666666666674</v>
      </c>
      <c r="E129" s="42">
        <f t="shared" si="19"/>
        <v>30.44</v>
      </c>
      <c r="F129" s="42">
        <f t="shared" si="20"/>
        <v>15.22</v>
      </c>
      <c r="G129" s="42">
        <f t="shared" si="21"/>
        <v>7.61</v>
      </c>
      <c r="H129" s="42">
        <v>20</v>
      </c>
      <c r="I129" s="42">
        <f t="shared" si="22"/>
        <v>10</v>
      </c>
      <c r="J129" s="42">
        <f t="shared" si="23"/>
        <v>5</v>
      </c>
      <c r="K129" s="15">
        <v>899249</v>
      </c>
    </row>
    <row r="130" spans="1:11">
      <c r="A130" s="42">
        <v>129</v>
      </c>
      <c r="B130" s="15">
        <v>153500</v>
      </c>
      <c r="C130" s="42">
        <f t="shared" si="17"/>
        <v>1.5349999999999999</v>
      </c>
      <c r="D130" s="42">
        <f t="shared" si="18"/>
        <v>81.270666666666671</v>
      </c>
      <c r="E130" s="42">
        <f t="shared" si="19"/>
        <v>30.7</v>
      </c>
      <c r="F130" s="42">
        <f t="shared" si="20"/>
        <v>15.35</v>
      </c>
      <c r="G130" s="42">
        <f t="shared" si="21"/>
        <v>7.6749999999999998</v>
      </c>
      <c r="H130" s="42">
        <v>20</v>
      </c>
      <c r="I130" s="42">
        <f t="shared" si="22"/>
        <v>10</v>
      </c>
      <c r="J130" s="42">
        <f t="shared" si="23"/>
        <v>5</v>
      </c>
      <c r="K130" s="15">
        <v>914854</v>
      </c>
    </row>
    <row r="131" spans="1:11">
      <c r="A131" s="42">
        <v>130</v>
      </c>
      <c r="B131" s="15">
        <v>154800</v>
      </c>
      <c r="C131" s="42">
        <f t="shared" si="17"/>
        <v>1.548</v>
      </c>
      <c r="D131" s="42">
        <f t="shared" si="18"/>
        <v>82.818666666666672</v>
      </c>
      <c r="E131" s="42">
        <f t="shared" si="19"/>
        <v>30.96</v>
      </c>
      <c r="F131" s="42">
        <f t="shared" si="20"/>
        <v>15.48</v>
      </c>
      <c r="G131" s="42">
        <f t="shared" si="21"/>
        <v>7.74</v>
      </c>
      <c r="H131" s="42">
        <v>20</v>
      </c>
      <c r="I131" s="42">
        <f t="shared" si="22"/>
        <v>10</v>
      </c>
      <c r="J131" s="42">
        <f t="shared" si="23"/>
        <v>5</v>
      </c>
      <c r="K131" s="15">
        <v>930600</v>
      </c>
    </row>
    <row r="132" spans="1:11">
      <c r="A132" s="42">
        <v>131</v>
      </c>
      <c r="B132" s="15">
        <v>156100</v>
      </c>
      <c r="C132" s="42">
        <f t="shared" si="17"/>
        <v>1.5609999999999999</v>
      </c>
      <c r="D132" s="42">
        <f t="shared" si="18"/>
        <v>84.379666666666679</v>
      </c>
      <c r="E132" s="42">
        <f t="shared" si="19"/>
        <v>31.22</v>
      </c>
      <c r="F132" s="42">
        <f t="shared" si="20"/>
        <v>15.61</v>
      </c>
      <c r="G132" s="42">
        <f t="shared" si="21"/>
        <v>7.8049999999999997</v>
      </c>
      <c r="H132" s="42">
        <v>20</v>
      </c>
      <c r="I132" s="42">
        <f t="shared" si="22"/>
        <v>10</v>
      </c>
      <c r="J132" s="42">
        <f t="shared" si="23"/>
        <v>5</v>
      </c>
      <c r="K132" s="15">
        <v>946488</v>
      </c>
    </row>
    <row r="133" spans="1:11">
      <c r="A133" s="42">
        <v>132</v>
      </c>
      <c r="B133" s="15">
        <v>157400</v>
      </c>
      <c r="C133" s="42">
        <f t="shared" si="17"/>
        <v>1.5740000000000001</v>
      </c>
      <c r="D133" s="42">
        <f t="shared" si="18"/>
        <v>85.953666666666678</v>
      </c>
      <c r="E133" s="42">
        <f t="shared" si="19"/>
        <v>31.48</v>
      </c>
      <c r="F133" s="42">
        <f t="shared" si="20"/>
        <v>15.74</v>
      </c>
      <c r="G133" s="42">
        <f t="shared" si="21"/>
        <v>7.87</v>
      </c>
      <c r="H133" s="42">
        <v>20</v>
      </c>
      <c r="I133" s="42">
        <f t="shared" si="22"/>
        <v>10</v>
      </c>
      <c r="J133" s="42">
        <f t="shared" si="23"/>
        <v>5</v>
      </c>
      <c r="K133" s="15">
        <v>962516</v>
      </c>
    </row>
    <row r="134" spans="1:11">
      <c r="A134" s="42">
        <v>133</v>
      </c>
      <c r="B134" s="15">
        <v>158700</v>
      </c>
      <c r="C134" s="42">
        <f t="shared" si="17"/>
        <v>1.587</v>
      </c>
      <c r="D134" s="42">
        <f t="shared" si="18"/>
        <v>87.540666666666681</v>
      </c>
      <c r="E134" s="42">
        <f t="shared" si="19"/>
        <v>31.74</v>
      </c>
      <c r="F134" s="42">
        <f t="shared" si="20"/>
        <v>15.87</v>
      </c>
      <c r="G134" s="42">
        <f t="shared" si="21"/>
        <v>7.9349999999999996</v>
      </c>
      <c r="H134" s="42">
        <v>20</v>
      </c>
      <c r="I134" s="42">
        <f t="shared" si="22"/>
        <v>10</v>
      </c>
      <c r="J134" s="42">
        <f t="shared" si="23"/>
        <v>5</v>
      </c>
      <c r="K134" s="15">
        <v>978685</v>
      </c>
    </row>
    <row r="135" spans="1:11">
      <c r="A135" s="42">
        <v>134</v>
      </c>
      <c r="B135" s="15">
        <v>160000</v>
      </c>
      <c r="C135" s="42">
        <f t="shared" si="17"/>
        <v>1.6</v>
      </c>
      <c r="D135" s="42">
        <f t="shared" si="18"/>
        <v>89.140666666666675</v>
      </c>
      <c r="E135" s="42">
        <f t="shared" si="19"/>
        <v>32</v>
      </c>
      <c r="F135" s="42">
        <f t="shared" si="20"/>
        <v>16</v>
      </c>
      <c r="G135" s="42">
        <f t="shared" si="21"/>
        <v>8</v>
      </c>
      <c r="H135" s="42">
        <v>20</v>
      </c>
      <c r="I135" s="42">
        <f t="shared" si="22"/>
        <v>10</v>
      </c>
      <c r="J135" s="42">
        <f t="shared" si="23"/>
        <v>5</v>
      </c>
      <c r="K135" s="15">
        <v>994996</v>
      </c>
    </row>
    <row r="136" spans="1:11">
      <c r="A136" s="42">
        <v>135</v>
      </c>
      <c r="B136" s="15">
        <v>161300</v>
      </c>
      <c r="C136" s="42">
        <f t="shared" si="17"/>
        <v>1.613</v>
      </c>
      <c r="D136" s="42">
        <f t="shared" si="18"/>
        <v>90.753666666666675</v>
      </c>
      <c r="E136" s="42">
        <f t="shared" si="19"/>
        <v>32.26</v>
      </c>
      <c r="F136" s="42">
        <f t="shared" si="20"/>
        <v>16.13</v>
      </c>
      <c r="G136" s="42">
        <f t="shared" si="21"/>
        <v>8.0649999999999995</v>
      </c>
      <c r="H136" s="42">
        <v>20</v>
      </c>
      <c r="I136" s="42">
        <f t="shared" si="22"/>
        <v>10</v>
      </c>
      <c r="J136" s="42">
        <f t="shared" si="23"/>
        <v>5</v>
      </c>
      <c r="K136" s="15">
        <v>1011448</v>
      </c>
    </row>
    <row r="137" spans="1:11">
      <c r="A137" s="42">
        <v>136</v>
      </c>
      <c r="B137" s="15">
        <v>162600</v>
      </c>
      <c r="C137" s="42">
        <f t="shared" si="17"/>
        <v>1.6260000000000001</v>
      </c>
      <c r="D137" s="42">
        <f t="shared" si="18"/>
        <v>92.379666666666679</v>
      </c>
      <c r="E137" s="42">
        <f t="shared" si="19"/>
        <v>32.520000000000003</v>
      </c>
      <c r="F137" s="42">
        <f t="shared" si="20"/>
        <v>16.260000000000002</v>
      </c>
      <c r="G137" s="42">
        <f t="shared" si="21"/>
        <v>8.1300000000000008</v>
      </c>
      <c r="H137" s="42">
        <v>20</v>
      </c>
      <c r="I137" s="42">
        <f t="shared" si="22"/>
        <v>10</v>
      </c>
      <c r="J137" s="42">
        <f t="shared" si="23"/>
        <v>5</v>
      </c>
      <c r="K137" s="15">
        <v>1028040</v>
      </c>
    </row>
    <row r="138" spans="1:11">
      <c r="A138" s="42">
        <v>137</v>
      </c>
      <c r="B138" s="15">
        <v>163900</v>
      </c>
      <c r="C138" s="42">
        <f t="shared" si="17"/>
        <v>1.639</v>
      </c>
      <c r="D138" s="42">
        <f t="shared" si="18"/>
        <v>94.018666666666675</v>
      </c>
      <c r="E138" s="42">
        <f t="shared" si="19"/>
        <v>32.78</v>
      </c>
      <c r="F138" s="42">
        <f t="shared" si="20"/>
        <v>16.39</v>
      </c>
      <c r="G138" s="42">
        <f t="shared" si="21"/>
        <v>8.1950000000000003</v>
      </c>
      <c r="H138" s="42">
        <v>20</v>
      </c>
      <c r="I138" s="42">
        <f t="shared" si="22"/>
        <v>10</v>
      </c>
      <c r="J138" s="42">
        <f t="shared" si="23"/>
        <v>5</v>
      </c>
      <c r="K138" s="15">
        <v>1044774</v>
      </c>
    </row>
    <row r="139" spans="1:11">
      <c r="A139" s="42">
        <v>138</v>
      </c>
      <c r="B139" s="15">
        <v>165300</v>
      </c>
      <c r="C139" s="42">
        <f t="shared" si="17"/>
        <v>1.653</v>
      </c>
      <c r="D139" s="42">
        <f t="shared" si="18"/>
        <v>95.671666666666681</v>
      </c>
      <c r="E139" s="42">
        <f t="shared" si="19"/>
        <v>33.06</v>
      </c>
      <c r="F139" s="42">
        <f t="shared" si="20"/>
        <v>16.53</v>
      </c>
      <c r="G139" s="42">
        <f t="shared" si="21"/>
        <v>8.2650000000000006</v>
      </c>
      <c r="H139" s="42">
        <v>20</v>
      </c>
      <c r="I139" s="42">
        <f t="shared" si="22"/>
        <v>10</v>
      </c>
      <c r="J139" s="42">
        <f t="shared" si="23"/>
        <v>5</v>
      </c>
      <c r="K139" s="15">
        <v>1061649</v>
      </c>
    </row>
    <row r="140" spans="1:11">
      <c r="A140" s="42">
        <v>139</v>
      </c>
      <c r="B140" s="15">
        <v>166600</v>
      </c>
      <c r="C140" s="42">
        <f t="shared" si="17"/>
        <v>1.6659999999999999</v>
      </c>
      <c r="D140" s="42">
        <f t="shared" si="18"/>
        <v>97.337666666666678</v>
      </c>
      <c r="E140" s="42">
        <f t="shared" si="19"/>
        <v>33.32</v>
      </c>
      <c r="F140" s="42">
        <f t="shared" si="20"/>
        <v>16.66</v>
      </c>
      <c r="G140" s="42">
        <f t="shared" si="21"/>
        <v>8.33</v>
      </c>
      <c r="H140" s="42">
        <v>20</v>
      </c>
      <c r="I140" s="42">
        <f t="shared" si="22"/>
        <v>10</v>
      </c>
      <c r="J140" s="42">
        <f t="shared" si="23"/>
        <v>5</v>
      </c>
      <c r="K140" s="15">
        <v>1078666</v>
      </c>
    </row>
    <row r="141" spans="1:11">
      <c r="A141" s="42">
        <v>140</v>
      </c>
      <c r="B141" s="15">
        <v>167900</v>
      </c>
      <c r="C141" s="42">
        <f t="shared" si="17"/>
        <v>1.6789999999999998</v>
      </c>
      <c r="D141" s="42">
        <f t="shared" si="18"/>
        <v>99.01666666666668</v>
      </c>
      <c r="E141" s="42">
        <f t="shared" si="19"/>
        <v>33.58</v>
      </c>
      <c r="F141" s="42">
        <f t="shared" si="20"/>
        <v>16.79</v>
      </c>
      <c r="G141" s="42">
        <f t="shared" si="21"/>
        <v>8.3949999999999996</v>
      </c>
      <c r="H141" s="42">
        <v>20</v>
      </c>
      <c r="I141" s="42">
        <f t="shared" si="22"/>
        <v>10</v>
      </c>
      <c r="J141" s="42">
        <f t="shared" si="23"/>
        <v>5</v>
      </c>
      <c r="K141" s="15">
        <v>1095823</v>
      </c>
    </row>
    <row r="142" spans="1:11">
      <c r="A142" s="42">
        <v>141</v>
      </c>
      <c r="B142" s="15">
        <v>169200</v>
      </c>
      <c r="C142" s="42">
        <f t="shared" si="17"/>
        <v>1.6920000000000002</v>
      </c>
      <c r="D142" s="42">
        <f t="shared" si="18"/>
        <v>100.70866666666669</v>
      </c>
      <c r="E142" s="42">
        <f t="shared" si="19"/>
        <v>33.840000000000003</v>
      </c>
      <c r="F142" s="42">
        <f t="shared" si="20"/>
        <v>16.920000000000002</v>
      </c>
      <c r="G142" s="42">
        <f t="shared" si="21"/>
        <v>8.4600000000000009</v>
      </c>
      <c r="H142" s="42">
        <v>20</v>
      </c>
      <c r="I142" s="42">
        <f t="shared" si="22"/>
        <v>10</v>
      </c>
      <c r="J142" s="42">
        <f t="shared" si="23"/>
        <v>5</v>
      </c>
      <c r="K142" s="15">
        <v>1113122</v>
      </c>
    </row>
    <row r="143" spans="1:11">
      <c r="A143" s="42">
        <v>142</v>
      </c>
      <c r="B143" s="15">
        <v>170500</v>
      </c>
      <c r="C143" s="42">
        <f t="shared" si="17"/>
        <v>1.7050000000000001</v>
      </c>
      <c r="D143" s="42">
        <f t="shared" si="18"/>
        <v>102.41366666666669</v>
      </c>
      <c r="E143" s="42">
        <f t="shared" si="19"/>
        <v>34.1</v>
      </c>
      <c r="F143" s="42">
        <f t="shared" si="20"/>
        <v>17.05</v>
      </c>
      <c r="G143" s="42">
        <f t="shared" si="21"/>
        <v>8.5250000000000004</v>
      </c>
      <c r="H143" s="42">
        <v>20</v>
      </c>
      <c r="I143" s="42">
        <f t="shared" si="22"/>
        <v>10</v>
      </c>
      <c r="J143" s="42">
        <f t="shared" si="23"/>
        <v>5</v>
      </c>
      <c r="K143" s="15">
        <v>1130562</v>
      </c>
    </row>
    <row r="144" spans="1:11">
      <c r="A144" s="42">
        <v>143</v>
      </c>
      <c r="B144" s="15">
        <v>171800</v>
      </c>
      <c r="C144" s="42">
        <f t="shared" si="17"/>
        <v>1.718</v>
      </c>
      <c r="D144" s="42">
        <f t="shared" si="18"/>
        <v>104.13166666666669</v>
      </c>
      <c r="E144" s="42">
        <f t="shared" si="19"/>
        <v>34.36</v>
      </c>
      <c r="F144" s="42">
        <f t="shared" si="20"/>
        <v>17.18</v>
      </c>
      <c r="G144" s="42">
        <f t="shared" si="21"/>
        <v>8.59</v>
      </c>
      <c r="H144" s="42">
        <v>20</v>
      </c>
      <c r="I144" s="42">
        <f t="shared" si="22"/>
        <v>10</v>
      </c>
      <c r="J144" s="42">
        <f t="shared" si="23"/>
        <v>5</v>
      </c>
      <c r="K144" s="15">
        <v>1148143</v>
      </c>
    </row>
    <row r="145" spans="1:11">
      <c r="A145" s="42">
        <v>144</v>
      </c>
      <c r="B145" s="15">
        <v>173100</v>
      </c>
      <c r="C145" s="42">
        <f t="shared" si="17"/>
        <v>1.7309999999999999</v>
      </c>
      <c r="D145" s="42">
        <f t="shared" si="18"/>
        <v>105.86266666666668</v>
      </c>
      <c r="E145" s="42">
        <f t="shared" si="19"/>
        <v>34.619999999999997</v>
      </c>
      <c r="F145" s="42">
        <f t="shared" si="20"/>
        <v>17.309999999999999</v>
      </c>
      <c r="G145" s="42">
        <f t="shared" si="21"/>
        <v>8.6549999999999994</v>
      </c>
      <c r="H145" s="42">
        <v>20</v>
      </c>
      <c r="I145" s="42">
        <f t="shared" si="22"/>
        <v>10</v>
      </c>
      <c r="J145" s="42">
        <f t="shared" si="23"/>
        <v>5</v>
      </c>
      <c r="K145" s="15">
        <v>1165866</v>
      </c>
    </row>
    <row r="146" spans="1:11">
      <c r="A146" s="42">
        <v>145</v>
      </c>
      <c r="B146" s="15">
        <v>174400</v>
      </c>
      <c r="C146" s="42">
        <f t="shared" si="17"/>
        <v>1.7440000000000002</v>
      </c>
      <c r="D146" s="42">
        <f t="shared" si="18"/>
        <v>107.60666666666668</v>
      </c>
      <c r="E146" s="42">
        <f t="shared" si="19"/>
        <v>34.880000000000003</v>
      </c>
      <c r="F146" s="42">
        <f t="shared" si="20"/>
        <v>17.440000000000001</v>
      </c>
      <c r="G146" s="42">
        <f t="shared" si="21"/>
        <v>8.7200000000000006</v>
      </c>
      <c r="H146" s="42">
        <v>20</v>
      </c>
      <c r="I146" s="42">
        <f t="shared" si="22"/>
        <v>10</v>
      </c>
      <c r="J146" s="42">
        <f t="shared" si="23"/>
        <v>5</v>
      </c>
      <c r="K146" s="15">
        <v>1183730</v>
      </c>
    </row>
    <row r="147" spans="1:11">
      <c r="A147" s="42">
        <v>146</v>
      </c>
      <c r="B147" s="15">
        <v>175800</v>
      </c>
      <c r="C147" s="42">
        <f t="shared" si="17"/>
        <v>1.7579999999999998</v>
      </c>
      <c r="D147" s="42">
        <f t="shared" si="18"/>
        <v>109.36466666666668</v>
      </c>
      <c r="E147" s="42">
        <f t="shared" si="19"/>
        <v>35.159999999999997</v>
      </c>
      <c r="F147" s="42">
        <f t="shared" si="20"/>
        <v>17.579999999999998</v>
      </c>
      <c r="G147" s="42">
        <f t="shared" si="21"/>
        <v>8.7899999999999991</v>
      </c>
      <c r="H147" s="42">
        <v>20</v>
      </c>
      <c r="I147" s="42">
        <f t="shared" si="22"/>
        <v>10</v>
      </c>
      <c r="J147" s="42">
        <f t="shared" si="23"/>
        <v>5</v>
      </c>
      <c r="K147" s="15">
        <v>1201735</v>
      </c>
    </row>
    <row r="148" spans="1:11">
      <c r="A148" s="42">
        <v>147</v>
      </c>
      <c r="B148" s="15">
        <v>177100</v>
      </c>
      <c r="C148" s="42">
        <f t="shared" si="17"/>
        <v>1.7710000000000001</v>
      </c>
      <c r="D148" s="42">
        <f t="shared" si="18"/>
        <v>111.13566666666668</v>
      </c>
      <c r="E148" s="42">
        <f t="shared" si="19"/>
        <v>35.42</v>
      </c>
      <c r="F148" s="42">
        <f t="shared" si="20"/>
        <v>17.71</v>
      </c>
      <c r="G148" s="42">
        <f t="shared" si="21"/>
        <v>8.8550000000000004</v>
      </c>
      <c r="H148" s="42">
        <v>20</v>
      </c>
      <c r="I148" s="42">
        <f t="shared" si="22"/>
        <v>10</v>
      </c>
      <c r="J148" s="42">
        <f t="shared" si="23"/>
        <v>5</v>
      </c>
      <c r="K148" s="15">
        <v>1219882</v>
      </c>
    </row>
    <row r="149" spans="1:11">
      <c r="A149" s="42">
        <v>148</v>
      </c>
      <c r="B149" s="15">
        <v>178400</v>
      </c>
      <c r="C149" s="42">
        <f t="shared" si="17"/>
        <v>1.784</v>
      </c>
      <c r="D149" s="42">
        <f t="shared" si="18"/>
        <v>112.91966666666669</v>
      </c>
      <c r="E149" s="42">
        <f t="shared" si="19"/>
        <v>35.68</v>
      </c>
      <c r="F149" s="42">
        <f t="shared" si="20"/>
        <v>17.84</v>
      </c>
      <c r="G149" s="42">
        <f t="shared" si="21"/>
        <v>8.92</v>
      </c>
      <c r="H149" s="42">
        <v>20</v>
      </c>
      <c r="I149" s="42">
        <f t="shared" si="22"/>
        <v>10</v>
      </c>
      <c r="J149" s="42">
        <f t="shared" si="23"/>
        <v>5</v>
      </c>
      <c r="K149" s="15">
        <v>1238171</v>
      </c>
    </row>
    <row r="150" spans="1:11">
      <c r="A150" s="42">
        <v>149</v>
      </c>
      <c r="B150" s="15">
        <v>179700</v>
      </c>
      <c r="C150" s="42">
        <f t="shared" si="17"/>
        <v>1.7969999999999999</v>
      </c>
      <c r="D150" s="42">
        <f t="shared" si="18"/>
        <v>114.71666666666668</v>
      </c>
      <c r="E150" s="42">
        <f t="shared" si="19"/>
        <v>35.94</v>
      </c>
      <c r="F150" s="42">
        <f t="shared" si="20"/>
        <v>17.97</v>
      </c>
      <c r="G150" s="42">
        <f t="shared" si="21"/>
        <v>8.9849999999999994</v>
      </c>
      <c r="H150" s="42">
        <v>20</v>
      </c>
      <c r="I150" s="42">
        <f t="shared" si="22"/>
        <v>10</v>
      </c>
      <c r="J150" s="42">
        <f t="shared" si="23"/>
        <v>5</v>
      </c>
      <c r="K150" s="15">
        <v>1256600</v>
      </c>
    </row>
    <row r="151" spans="1:11">
      <c r="A151" s="42">
        <v>150</v>
      </c>
      <c r="B151" s="15">
        <v>181000</v>
      </c>
      <c r="C151" s="42">
        <f t="shared" si="17"/>
        <v>1.81</v>
      </c>
      <c r="D151" s="42">
        <f t="shared" si="18"/>
        <v>116.52666666666669</v>
      </c>
      <c r="E151" s="42">
        <f t="shared" si="19"/>
        <v>36.200000000000003</v>
      </c>
      <c r="F151" s="42">
        <f t="shared" si="20"/>
        <v>18.100000000000001</v>
      </c>
      <c r="G151" s="42">
        <f t="shared" si="21"/>
        <v>9.0500000000000007</v>
      </c>
      <c r="H151" s="42">
        <v>20</v>
      </c>
      <c r="I151" s="42">
        <f t="shared" si="22"/>
        <v>10</v>
      </c>
      <c r="J151" s="42">
        <f t="shared" si="23"/>
        <v>5</v>
      </c>
      <c r="K151" s="15">
        <v>1275172</v>
      </c>
    </row>
    <row r="152" spans="1:11">
      <c r="A152" s="42">
        <v>151</v>
      </c>
      <c r="B152" s="15">
        <v>182400</v>
      </c>
      <c r="C152" s="42">
        <f t="shared" si="17"/>
        <v>1.8239999999999998</v>
      </c>
      <c r="D152" s="42">
        <f t="shared" si="18"/>
        <v>118.35066666666668</v>
      </c>
      <c r="E152" s="42">
        <f t="shared" si="19"/>
        <v>36.479999999999997</v>
      </c>
      <c r="F152" s="42">
        <f t="shared" si="20"/>
        <v>18.239999999999998</v>
      </c>
      <c r="G152" s="42">
        <f t="shared" si="21"/>
        <v>9.1199999999999992</v>
      </c>
      <c r="H152" s="42">
        <v>20</v>
      </c>
      <c r="I152" s="42">
        <f t="shared" si="22"/>
        <v>10</v>
      </c>
      <c r="J152" s="42">
        <f t="shared" si="23"/>
        <v>5</v>
      </c>
      <c r="K152" s="15">
        <v>1293885</v>
      </c>
    </row>
    <row r="153" spans="1:11">
      <c r="A153" s="42">
        <v>152</v>
      </c>
      <c r="B153" s="15">
        <v>183700</v>
      </c>
      <c r="C153" s="42">
        <f t="shared" si="17"/>
        <v>1.8370000000000002</v>
      </c>
      <c r="D153" s="42">
        <f t="shared" si="18"/>
        <v>120.18766666666669</v>
      </c>
      <c r="E153" s="42">
        <f t="shared" si="19"/>
        <v>36.74</v>
      </c>
      <c r="F153" s="42">
        <f t="shared" si="20"/>
        <v>18.37</v>
      </c>
      <c r="G153" s="42">
        <f t="shared" si="21"/>
        <v>9.1850000000000005</v>
      </c>
      <c r="H153" s="42">
        <v>20</v>
      </c>
      <c r="I153" s="42">
        <f t="shared" si="22"/>
        <v>10</v>
      </c>
      <c r="J153" s="42">
        <f t="shared" si="23"/>
        <v>5</v>
      </c>
      <c r="K153" s="15">
        <v>1312739</v>
      </c>
    </row>
    <row r="154" spans="1:11">
      <c r="A154" s="42">
        <v>153</v>
      </c>
      <c r="B154" s="15">
        <v>185000</v>
      </c>
      <c r="C154" s="42">
        <f t="shared" si="17"/>
        <v>1.85</v>
      </c>
      <c r="D154" s="42">
        <f t="shared" si="18"/>
        <v>122.03766666666668</v>
      </c>
      <c r="E154" s="42">
        <f t="shared" si="19"/>
        <v>37</v>
      </c>
      <c r="F154" s="42">
        <f t="shared" si="20"/>
        <v>18.5</v>
      </c>
      <c r="G154" s="42">
        <f t="shared" si="21"/>
        <v>9.25</v>
      </c>
      <c r="H154" s="42">
        <v>20</v>
      </c>
      <c r="I154" s="42">
        <f t="shared" si="22"/>
        <v>10</v>
      </c>
      <c r="J154" s="42">
        <f t="shared" si="23"/>
        <v>5</v>
      </c>
      <c r="K154" s="15">
        <v>1331736</v>
      </c>
    </row>
    <row r="155" spans="1:11">
      <c r="A155" s="42">
        <v>154</v>
      </c>
      <c r="B155" s="15">
        <v>186300</v>
      </c>
      <c r="C155" s="42">
        <f t="shared" si="17"/>
        <v>1.863</v>
      </c>
      <c r="D155" s="42">
        <f t="shared" si="18"/>
        <v>123.90066666666668</v>
      </c>
      <c r="E155" s="42">
        <f t="shared" si="19"/>
        <v>37.26</v>
      </c>
      <c r="F155" s="42">
        <f t="shared" si="20"/>
        <v>18.63</v>
      </c>
      <c r="G155" s="42">
        <f t="shared" si="21"/>
        <v>9.3149999999999995</v>
      </c>
      <c r="H155" s="42">
        <v>20</v>
      </c>
      <c r="I155" s="42">
        <f t="shared" si="22"/>
        <v>10</v>
      </c>
      <c r="J155" s="42">
        <f t="shared" si="23"/>
        <v>5</v>
      </c>
      <c r="K155" s="15">
        <v>1350874</v>
      </c>
    </row>
    <row r="156" spans="1:11">
      <c r="A156" s="42">
        <v>155</v>
      </c>
      <c r="B156" s="15">
        <v>187700</v>
      </c>
      <c r="C156" s="42">
        <f t="shared" si="17"/>
        <v>1.877</v>
      </c>
      <c r="D156" s="42">
        <f t="shared" si="18"/>
        <v>125.77766666666668</v>
      </c>
      <c r="E156" s="42">
        <f t="shared" si="19"/>
        <v>37.54</v>
      </c>
      <c r="F156" s="42">
        <f t="shared" si="20"/>
        <v>18.77</v>
      </c>
      <c r="G156" s="42">
        <f t="shared" si="21"/>
        <v>9.3849999999999998</v>
      </c>
      <c r="H156" s="42">
        <v>20</v>
      </c>
      <c r="I156" s="42">
        <f t="shared" si="22"/>
        <v>10</v>
      </c>
      <c r="J156" s="42">
        <f t="shared" si="23"/>
        <v>5</v>
      </c>
      <c r="K156" s="15">
        <v>1370153</v>
      </c>
    </row>
    <row r="157" spans="1:11">
      <c r="A157" s="42">
        <v>156</v>
      </c>
      <c r="B157" s="15">
        <v>189000</v>
      </c>
      <c r="C157" s="42">
        <f t="shared" si="17"/>
        <v>1.89</v>
      </c>
      <c r="D157" s="42">
        <f t="shared" si="18"/>
        <v>127.66766666666668</v>
      </c>
      <c r="E157" s="42">
        <f t="shared" si="19"/>
        <v>37.799999999999997</v>
      </c>
      <c r="F157" s="42">
        <f t="shared" si="20"/>
        <v>18.899999999999999</v>
      </c>
      <c r="G157" s="42">
        <f t="shared" si="21"/>
        <v>9.4499999999999993</v>
      </c>
      <c r="H157" s="42">
        <v>20</v>
      </c>
      <c r="I157" s="42">
        <f t="shared" si="22"/>
        <v>10</v>
      </c>
      <c r="J157" s="42">
        <f t="shared" si="23"/>
        <v>5</v>
      </c>
      <c r="K157" s="15">
        <v>1389575</v>
      </c>
    </row>
    <row r="158" spans="1:11">
      <c r="A158" s="42">
        <v>157</v>
      </c>
      <c r="B158" s="15">
        <v>190300</v>
      </c>
      <c r="C158" s="42">
        <f t="shared" si="17"/>
        <v>1.903</v>
      </c>
      <c r="D158" s="42">
        <f t="shared" si="18"/>
        <v>129.57066666666668</v>
      </c>
      <c r="E158" s="42">
        <f t="shared" si="19"/>
        <v>38.06</v>
      </c>
      <c r="F158" s="42">
        <f t="shared" si="20"/>
        <v>19.03</v>
      </c>
      <c r="G158" s="42">
        <f t="shared" si="21"/>
        <v>9.5150000000000006</v>
      </c>
      <c r="H158" s="42">
        <v>20</v>
      </c>
      <c r="I158" s="42">
        <f t="shared" si="22"/>
        <v>10</v>
      </c>
      <c r="J158" s="42">
        <f t="shared" si="23"/>
        <v>5</v>
      </c>
      <c r="K158" s="15">
        <v>1409138</v>
      </c>
    </row>
    <row r="159" spans="1:11">
      <c r="A159" s="42">
        <v>158</v>
      </c>
      <c r="B159" s="15">
        <v>191600</v>
      </c>
      <c r="C159" s="42">
        <f t="shared" si="17"/>
        <v>1.9159999999999999</v>
      </c>
      <c r="D159" s="42">
        <f t="shared" si="18"/>
        <v>131.48666666666668</v>
      </c>
      <c r="E159" s="42">
        <f t="shared" si="19"/>
        <v>38.32</v>
      </c>
      <c r="F159" s="42">
        <f t="shared" si="20"/>
        <v>19.16</v>
      </c>
      <c r="G159" s="42">
        <f t="shared" si="21"/>
        <v>9.58</v>
      </c>
      <c r="H159" s="42">
        <v>20</v>
      </c>
      <c r="I159" s="42">
        <f t="shared" si="22"/>
        <v>10</v>
      </c>
      <c r="J159" s="42">
        <f t="shared" si="23"/>
        <v>5</v>
      </c>
      <c r="K159" s="15">
        <v>1428843</v>
      </c>
    </row>
    <row r="160" spans="1:11">
      <c r="A160" s="42">
        <v>159</v>
      </c>
      <c r="B160" s="15">
        <v>193000</v>
      </c>
      <c r="C160" s="42">
        <f t="shared" si="17"/>
        <v>1.9300000000000002</v>
      </c>
      <c r="D160" s="42">
        <f t="shared" si="18"/>
        <v>133.41666666666669</v>
      </c>
      <c r="E160" s="42">
        <f t="shared" si="19"/>
        <v>38.6</v>
      </c>
      <c r="F160" s="42">
        <f t="shared" si="20"/>
        <v>19.3</v>
      </c>
      <c r="G160" s="42">
        <f t="shared" si="21"/>
        <v>9.65</v>
      </c>
      <c r="H160" s="42">
        <v>20</v>
      </c>
      <c r="I160" s="42">
        <f t="shared" si="22"/>
        <v>10</v>
      </c>
      <c r="J160" s="42">
        <f t="shared" si="23"/>
        <v>5</v>
      </c>
      <c r="K160" s="15">
        <v>1448691</v>
      </c>
    </row>
    <row r="161" spans="1:11">
      <c r="A161" s="42">
        <v>160</v>
      </c>
      <c r="B161" s="15">
        <v>194300</v>
      </c>
      <c r="C161" s="42">
        <f t="shared" si="17"/>
        <v>1.9430000000000001</v>
      </c>
      <c r="D161" s="42">
        <f t="shared" si="18"/>
        <v>135.3596666666667</v>
      </c>
      <c r="E161" s="42">
        <f t="shared" si="19"/>
        <v>38.86</v>
      </c>
      <c r="F161" s="42">
        <f t="shared" si="20"/>
        <v>19.43</v>
      </c>
      <c r="G161" s="42">
        <f t="shared" si="21"/>
        <v>9.7149999999999999</v>
      </c>
      <c r="H161" s="42">
        <v>20</v>
      </c>
      <c r="I161" s="42">
        <f t="shared" si="22"/>
        <v>10</v>
      </c>
      <c r="J161" s="42">
        <f t="shared" si="23"/>
        <v>5</v>
      </c>
      <c r="K161" s="15">
        <v>1468680</v>
      </c>
    </row>
    <row r="162" spans="1:11">
      <c r="A162" s="42">
        <v>161</v>
      </c>
      <c r="B162" s="15">
        <v>195600</v>
      </c>
      <c r="C162" s="42">
        <f t="shared" si="17"/>
        <v>1.956</v>
      </c>
      <c r="D162" s="42">
        <f t="shared" si="18"/>
        <v>137.31566666666669</v>
      </c>
      <c r="E162" s="42">
        <f t="shared" si="19"/>
        <v>39.119999999999997</v>
      </c>
      <c r="F162" s="42">
        <f t="shared" si="20"/>
        <v>19.559999999999999</v>
      </c>
      <c r="G162" s="42">
        <f t="shared" si="21"/>
        <v>9.7799999999999994</v>
      </c>
      <c r="H162" s="42">
        <v>20</v>
      </c>
      <c r="I162" s="42">
        <f t="shared" si="22"/>
        <v>10</v>
      </c>
      <c r="J162" s="42">
        <f t="shared" si="23"/>
        <v>5</v>
      </c>
      <c r="K162" s="15">
        <v>1488811</v>
      </c>
    </row>
    <row r="163" spans="1:11">
      <c r="A163" s="42">
        <v>162</v>
      </c>
      <c r="B163" s="15">
        <v>197000</v>
      </c>
      <c r="C163" s="42">
        <f t="shared" si="17"/>
        <v>1.97</v>
      </c>
      <c r="D163" s="42">
        <f t="shared" si="18"/>
        <v>139.28566666666669</v>
      </c>
      <c r="E163" s="42">
        <f t="shared" si="19"/>
        <v>39.4</v>
      </c>
      <c r="F163" s="42">
        <f t="shared" si="20"/>
        <v>19.7</v>
      </c>
      <c r="G163" s="42">
        <f t="shared" si="21"/>
        <v>9.85</v>
      </c>
      <c r="H163" s="42">
        <v>20</v>
      </c>
      <c r="I163" s="42">
        <f t="shared" si="22"/>
        <v>10</v>
      </c>
      <c r="J163" s="42">
        <f t="shared" si="23"/>
        <v>5</v>
      </c>
      <c r="K163" s="15">
        <v>1509084</v>
      </c>
    </row>
    <row r="164" spans="1:11">
      <c r="A164" s="42">
        <v>163</v>
      </c>
      <c r="B164" s="15">
        <v>198300</v>
      </c>
      <c r="C164" s="42">
        <f t="shared" si="17"/>
        <v>1.9829999999999999</v>
      </c>
      <c r="D164" s="42">
        <f t="shared" si="18"/>
        <v>141.26866666666669</v>
      </c>
      <c r="E164" s="42">
        <f t="shared" si="19"/>
        <v>39.659999999999997</v>
      </c>
      <c r="F164" s="42">
        <f t="shared" si="20"/>
        <v>19.829999999999998</v>
      </c>
      <c r="G164" s="42">
        <f t="shared" si="21"/>
        <v>9.9149999999999991</v>
      </c>
      <c r="H164" s="42">
        <v>20</v>
      </c>
      <c r="I164" s="42">
        <f t="shared" si="22"/>
        <v>10</v>
      </c>
      <c r="J164" s="42">
        <f t="shared" si="23"/>
        <v>5</v>
      </c>
      <c r="K164" s="15">
        <v>1529499</v>
      </c>
    </row>
    <row r="165" spans="1:11">
      <c r="A165" s="42">
        <v>164</v>
      </c>
      <c r="B165" s="15">
        <v>199600</v>
      </c>
      <c r="C165" s="42">
        <f t="shared" si="17"/>
        <v>1.996</v>
      </c>
      <c r="D165" s="42">
        <f t="shared" si="18"/>
        <v>143.2646666666667</v>
      </c>
      <c r="E165" s="42">
        <f t="shared" si="19"/>
        <v>39.92</v>
      </c>
      <c r="F165" s="42">
        <f t="shared" si="20"/>
        <v>19.96</v>
      </c>
      <c r="G165" s="42">
        <f t="shared" si="21"/>
        <v>9.98</v>
      </c>
      <c r="H165" s="42">
        <v>20</v>
      </c>
      <c r="I165" s="42">
        <f t="shared" si="22"/>
        <v>10</v>
      </c>
      <c r="J165" s="42">
        <f t="shared" si="23"/>
        <v>5</v>
      </c>
      <c r="K165" s="15">
        <v>1550057</v>
      </c>
    </row>
    <row r="166" spans="1:11">
      <c r="A166" s="42">
        <v>165</v>
      </c>
      <c r="B166" s="15">
        <v>201000</v>
      </c>
      <c r="C166" s="42">
        <f t="shared" ref="C166:C229" si="24">E166/H166</f>
        <v>2.0100000000000002</v>
      </c>
      <c r="D166" s="42">
        <f t="shared" ref="D166:D229" si="25">C166+D165</f>
        <v>145.27466666666669</v>
      </c>
      <c r="E166" s="42">
        <f t="shared" ref="E166:E229" si="26">B166/$N$2</f>
        <v>40.200000000000003</v>
      </c>
      <c r="F166" s="42">
        <f t="shared" ref="F166:F229" si="27">B166/$N$3</f>
        <v>20.100000000000001</v>
      </c>
      <c r="G166" s="42">
        <f t="shared" ref="G166:G229" si="28">B166/$N$4</f>
        <v>10.050000000000001</v>
      </c>
      <c r="H166" s="42">
        <v>20</v>
      </c>
      <c r="I166" s="42">
        <f t="shared" ref="I166:I229" si="29">H166/2</f>
        <v>10</v>
      </c>
      <c r="J166" s="42">
        <f t="shared" ref="J166:J229" si="30">H166/4</f>
        <v>5</v>
      </c>
      <c r="K166" s="15">
        <v>1570757</v>
      </c>
    </row>
    <row r="167" spans="1:11">
      <c r="A167" s="42">
        <v>166</v>
      </c>
      <c r="B167" s="15">
        <v>202300</v>
      </c>
      <c r="C167" s="42">
        <f t="shared" si="24"/>
        <v>2.0230000000000001</v>
      </c>
      <c r="D167" s="42">
        <f t="shared" si="25"/>
        <v>147.29766666666669</v>
      </c>
      <c r="E167" s="42">
        <f t="shared" si="26"/>
        <v>40.46</v>
      </c>
      <c r="F167" s="42">
        <f t="shared" si="27"/>
        <v>20.23</v>
      </c>
      <c r="G167" s="42">
        <f t="shared" si="28"/>
        <v>10.115</v>
      </c>
      <c r="H167" s="42">
        <v>20</v>
      </c>
      <c r="I167" s="42">
        <f t="shared" si="29"/>
        <v>10</v>
      </c>
      <c r="J167" s="42">
        <f t="shared" si="30"/>
        <v>5</v>
      </c>
      <c r="K167" s="15">
        <v>1591598</v>
      </c>
    </row>
    <row r="168" spans="1:11">
      <c r="A168" s="42">
        <v>167</v>
      </c>
      <c r="B168" s="15">
        <v>203600</v>
      </c>
      <c r="C168" s="42">
        <f t="shared" si="24"/>
        <v>2.036</v>
      </c>
      <c r="D168" s="42">
        <f t="shared" si="25"/>
        <v>149.33366666666669</v>
      </c>
      <c r="E168" s="42">
        <f t="shared" si="26"/>
        <v>40.72</v>
      </c>
      <c r="F168" s="42">
        <f t="shared" si="27"/>
        <v>20.36</v>
      </c>
      <c r="G168" s="42">
        <f t="shared" si="28"/>
        <v>10.18</v>
      </c>
      <c r="H168" s="42">
        <v>20</v>
      </c>
      <c r="I168" s="42">
        <f t="shared" si="29"/>
        <v>10</v>
      </c>
      <c r="J168" s="42">
        <f t="shared" si="30"/>
        <v>5</v>
      </c>
      <c r="K168" s="15">
        <v>1612583</v>
      </c>
    </row>
    <row r="169" spans="1:11">
      <c r="A169" s="42">
        <v>168</v>
      </c>
      <c r="B169" s="15">
        <v>205000</v>
      </c>
      <c r="C169" s="42">
        <f t="shared" si="24"/>
        <v>2.0499999999999998</v>
      </c>
      <c r="D169" s="42">
        <f t="shared" si="25"/>
        <v>151.3836666666667</v>
      </c>
      <c r="E169" s="42">
        <f t="shared" si="26"/>
        <v>41</v>
      </c>
      <c r="F169" s="42">
        <f t="shared" si="27"/>
        <v>20.5</v>
      </c>
      <c r="G169" s="42">
        <f t="shared" si="28"/>
        <v>10.25</v>
      </c>
      <c r="H169" s="42">
        <v>20</v>
      </c>
      <c r="I169" s="42">
        <f t="shared" si="29"/>
        <v>10</v>
      </c>
      <c r="J169" s="42">
        <f t="shared" si="30"/>
        <v>5</v>
      </c>
      <c r="K169" s="15">
        <v>1633709</v>
      </c>
    </row>
    <row r="170" spans="1:11">
      <c r="A170" s="42">
        <v>169</v>
      </c>
      <c r="B170" s="15">
        <v>206300</v>
      </c>
      <c r="C170" s="42">
        <f t="shared" si="24"/>
        <v>2.0629999999999997</v>
      </c>
      <c r="D170" s="42">
        <f t="shared" si="25"/>
        <v>153.44666666666669</v>
      </c>
      <c r="E170" s="42">
        <f t="shared" si="26"/>
        <v>41.26</v>
      </c>
      <c r="F170" s="42">
        <f t="shared" si="27"/>
        <v>20.63</v>
      </c>
      <c r="G170" s="42">
        <f t="shared" si="28"/>
        <v>10.315</v>
      </c>
      <c r="H170" s="42">
        <v>20</v>
      </c>
      <c r="I170" s="42">
        <f t="shared" si="29"/>
        <v>10</v>
      </c>
      <c r="J170" s="42">
        <f t="shared" si="30"/>
        <v>5</v>
      </c>
      <c r="K170" s="15">
        <v>1654978</v>
      </c>
    </row>
    <row r="171" spans="1:11">
      <c r="A171" s="42">
        <v>170</v>
      </c>
      <c r="B171" s="15">
        <v>207700</v>
      </c>
      <c r="C171" s="42">
        <f t="shared" si="24"/>
        <v>2.077</v>
      </c>
      <c r="D171" s="42">
        <f t="shared" si="25"/>
        <v>155.52366666666668</v>
      </c>
      <c r="E171" s="42">
        <f t="shared" si="26"/>
        <v>41.54</v>
      </c>
      <c r="F171" s="42">
        <f t="shared" si="27"/>
        <v>20.77</v>
      </c>
      <c r="G171" s="42">
        <f t="shared" si="28"/>
        <v>10.385</v>
      </c>
      <c r="H171" s="42">
        <v>20</v>
      </c>
      <c r="I171" s="42">
        <f t="shared" si="29"/>
        <v>10</v>
      </c>
      <c r="J171" s="42">
        <f t="shared" si="30"/>
        <v>5</v>
      </c>
      <c r="K171" s="15">
        <v>1676389</v>
      </c>
    </row>
    <row r="172" spans="1:11">
      <c r="A172" s="42">
        <v>171</v>
      </c>
      <c r="B172" s="15">
        <v>209000</v>
      </c>
      <c r="C172" s="42">
        <f t="shared" si="24"/>
        <v>2.09</v>
      </c>
      <c r="D172" s="42">
        <f t="shared" si="25"/>
        <v>157.61366666666669</v>
      </c>
      <c r="E172" s="42">
        <f t="shared" si="26"/>
        <v>41.8</v>
      </c>
      <c r="F172" s="42">
        <f t="shared" si="27"/>
        <v>20.9</v>
      </c>
      <c r="G172" s="42">
        <f t="shared" si="28"/>
        <v>10.45</v>
      </c>
      <c r="H172" s="42">
        <v>20</v>
      </c>
      <c r="I172" s="42">
        <f t="shared" si="29"/>
        <v>10</v>
      </c>
      <c r="J172" s="42">
        <f t="shared" si="30"/>
        <v>5</v>
      </c>
      <c r="K172" s="15">
        <v>1697943</v>
      </c>
    </row>
    <row r="173" spans="1:11">
      <c r="A173" s="42">
        <v>172</v>
      </c>
      <c r="B173" s="15">
        <v>210300</v>
      </c>
      <c r="C173" s="42">
        <f t="shared" si="24"/>
        <v>2.1030000000000002</v>
      </c>
      <c r="D173" s="42">
        <f t="shared" si="25"/>
        <v>159.7166666666667</v>
      </c>
      <c r="E173" s="42">
        <f t="shared" si="26"/>
        <v>42.06</v>
      </c>
      <c r="F173" s="42">
        <f t="shared" si="27"/>
        <v>21.03</v>
      </c>
      <c r="G173" s="42">
        <f t="shared" si="28"/>
        <v>10.515000000000001</v>
      </c>
      <c r="H173" s="42">
        <v>20</v>
      </c>
      <c r="I173" s="42">
        <f t="shared" si="29"/>
        <v>10</v>
      </c>
      <c r="J173" s="42">
        <f t="shared" si="30"/>
        <v>5</v>
      </c>
      <c r="K173" s="15">
        <v>1719639</v>
      </c>
    </row>
    <row r="174" spans="1:11">
      <c r="A174" s="42">
        <v>173</v>
      </c>
      <c r="B174" s="15">
        <v>211700</v>
      </c>
      <c r="C174" s="42">
        <f t="shared" si="24"/>
        <v>2.117</v>
      </c>
      <c r="D174" s="42">
        <f t="shared" si="25"/>
        <v>161.83366666666669</v>
      </c>
      <c r="E174" s="42">
        <f t="shared" si="26"/>
        <v>42.34</v>
      </c>
      <c r="F174" s="42">
        <f t="shared" si="27"/>
        <v>21.17</v>
      </c>
      <c r="G174" s="42">
        <f t="shared" si="28"/>
        <v>10.585000000000001</v>
      </c>
      <c r="H174" s="42">
        <v>20</v>
      </c>
      <c r="I174" s="42">
        <f t="shared" si="29"/>
        <v>10</v>
      </c>
      <c r="J174" s="42">
        <f t="shared" si="30"/>
        <v>5</v>
      </c>
      <c r="K174" s="15">
        <v>1741478</v>
      </c>
    </row>
    <row r="175" spans="1:11">
      <c r="A175" s="42">
        <v>174</v>
      </c>
      <c r="B175" s="15">
        <v>213000</v>
      </c>
      <c r="C175" s="42">
        <f t="shared" si="24"/>
        <v>2.13</v>
      </c>
      <c r="D175" s="42">
        <f t="shared" si="25"/>
        <v>163.96366666666668</v>
      </c>
      <c r="E175" s="42">
        <f t="shared" si="26"/>
        <v>42.6</v>
      </c>
      <c r="F175" s="42">
        <f t="shared" si="27"/>
        <v>21.3</v>
      </c>
      <c r="G175" s="42">
        <f t="shared" si="28"/>
        <v>10.65</v>
      </c>
      <c r="H175" s="42">
        <v>20</v>
      </c>
      <c r="I175" s="42">
        <f t="shared" si="29"/>
        <v>10</v>
      </c>
      <c r="J175" s="42">
        <f t="shared" si="30"/>
        <v>5</v>
      </c>
      <c r="K175" s="15">
        <v>1763459</v>
      </c>
    </row>
    <row r="176" spans="1:11">
      <c r="A176" s="42">
        <v>175</v>
      </c>
      <c r="B176" s="15">
        <v>214400</v>
      </c>
      <c r="C176" s="42">
        <f t="shared" si="24"/>
        <v>2.1440000000000001</v>
      </c>
      <c r="D176" s="42">
        <f t="shared" si="25"/>
        <v>166.10766666666669</v>
      </c>
      <c r="E176" s="42">
        <f t="shared" si="26"/>
        <v>42.88</v>
      </c>
      <c r="F176" s="42">
        <f t="shared" si="27"/>
        <v>21.44</v>
      </c>
      <c r="G176" s="42">
        <f t="shared" si="28"/>
        <v>10.72</v>
      </c>
      <c r="H176" s="42">
        <v>20</v>
      </c>
      <c r="I176" s="42">
        <f t="shared" si="29"/>
        <v>10</v>
      </c>
      <c r="J176" s="42">
        <f t="shared" si="30"/>
        <v>5</v>
      </c>
      <c r="K176" s="15">
        <v>1785583</v>
      </c>
    </row>
    <row r="177" spans="1:11">
      <c r="A177" s="42">
        <v>176</v>
      </c>
      <c r="B177" s="15">
        <v>215700</v>
      </c>
      <c r="C177" s="42">
        <f t="shared" si="24"/>
        <v>2.157</v>
      </c>
      <c r="D177" s="42">
        <f t="shared" si="25"/>
        <v>168.2646666666667</v>
      </c>
      <c r="E177" s="42">
        <f t="shared" si="26"/>
        <v>43.14</v>
      </c>
      <c r="F177" s="42">
        <f t="shared" si="27"/>
        <v>21.57</v>
      </c>
      <c r="G177" s="42">
        <f t="shared" si="28"/>
        <v>10.785</v>
      </c>
      <c r="H177" s="42">
        <v>20</v>
      </c>
      <c r="I177" s="42">
        <f t="shared" si="29"/>
        <v>10</v>
      </c>
      <c r="J177" s="42">
        <f t="shared" si="30"/>
        <v>5</v>
      </c>
      <c r="K177" s="15">
        <v>1807850</v>
      </c>
    </row>
    <row r="178" spans="1:11">
      <c r="A178" s="42">
        <v>177</v>
      </c>
      <c r="B178" s="15">
        <v>217100</v>
      </c>
      <c r="C178" s="42">
        <f t="shared" si="24"/>
        <v>2.1710000000000003</v>
      </c>
      <c r="D178" s="42">
        <f t="shared" si="25"/>
        <v>170.43566666666669</v>
      </c>
      <c r="E178" s="42">
        <f t="shared" si="26"/>
        <v>43.42</v>
      </c>
      <c r="F178" s="42">
        <f t="shared" si="27"/>
        <v>21.71</v>
      </c>
      <c r="G178" s="42">
        <f t="shared" si="28"/>
        <v>10.855</v>
      </c>
      <c r="H178" s="42">
        <v>20</v>
      </c>
      <c r="I178" s="42">
        <f t="shared" si="29"/>
        <v>10</v>
      </c>
      <c r="J178" s="42">
        <f t="shared" si="30"/>
        <v>5</v>
      </c>
      <c r="K178" s="15">
        <v>1830259</v>
      </c>
    </row>
    <row r="179" spans="1:11">
      <c r="A179" s="42">
        <v>178</v>
      </c>
      <c r="B179" s="15">
        <v>218400</v>
      </c>
      <c r="C179" s="42">
        <f t="shared" si="24"/>
        <v>2.1840000000000002</v>
      </c>
      <c r="D179" s="42">
        <f t="shared" si="25"/>
        <v>172.61966666666669</v>
      </c>
      <c r="E179" s="42">
        <f t="shared" si="26"/>
        <v>43.68</v>
      </c>
      <c r="F179" s="42">
        <f t="shared" si="27"/>
        <v>21.84</v>
      </c>
      <c r="G179" s="42">
        <f t="shared" si="28"/>
        <v>10.92</v>
      </c>
      <c r="H179" s="42">
        <v>20</v>
      </c>
      <c r="I179" s="42">
        <f t="shared" si="29"/>
        <v>10</v>
      </c>
      <c r="J179" s="42">
        <f t="shared" si="30"/>
        <v>5</v>
      </c>
      <c r="K179" s="15">
        <v>1852811</v>
      </c>
    </row>
    <row r="180" spans="1:11">
      <c r="A180" s="42">
        <v>179</v>
      </c>
      <c r="B180" s="15">
        <v>219800</v>
      </c>
      <c r="C180" s="42">
        <f t="shared" si="24"/>
        <v>2.198</v>
      </c>
      <c r="D180" s="42">
        <f t="shared" si="25"/>
        <v>174.8176666666667</v>
      </c>
      <c r="E180" s="42">
        <f t="shared" si="26"/>
        <v>43.96</v>
      </c>
      <c r="F180" s="42">
        <f t="shared" si="27"/>
        <v>21.98</v>
      </c>
      <c r="G180" s="42">
        <f t="shared" si="28"/>
        <v>10.99</v>
      </c>
      <c r="H180" s="42">
        <v>20</v>
      </c>
      <c r="I180" s="42">
        <f t="shared" si="29"/>
        <v>10</v>
      </c>
      <c r="J180" s="42">
        <f t="shared" si="30"/>
        <v>5</v>
      </c>
      <c r="K180" s="15">
        <v>1875506</v>
      </c>
    </row>
    <row r="181" spans="1:11">
      <c r="A181" s="42">
        <v>180</v>
      </c>
      <c r="B181" s="15">
        <v>221100</v>
      </c>
      <c r="C181" s="42">
        <f t="shared" si="24"/>
        <v>2.2109999999999999</v>
      </c>
      <c r="D181" s="42">
        <f t="shared" si="25"/>
        <v>177.02866666666671</v>
      </c>
      <c r="E181" s="42">
        <f t="shared" si="26"/>
        <v>44.22</v>
      </c>
      <c r="F181" s="42">
        <f t="shared" si="27"/>
        <v>22.11</v>
      </c>
      <c r="G181" s="42">
        <f t="shared" si="28"/>
        <v>11.055</v>
      </c>
      <c r="H181" s="42">
        <v>20</v>
      </c>
      <c r="I181" s="42">
        <f t="shared" si="29"/>
        <v>10</v>
      </c>
      <c r="J181" s="42">
        <f t="shared" si="30"/>
        <v>5</v>
      </c>
      <c r="K181" s="15">
        <v>1898344</v>
      </c>
    </row>
    <row r="182" spans="1:11">
      <c r="A182" s="42">
        <v>181</v>
      </c>
      <c r="B182" s="15">
        <v>222400</v>
      </c>
      <c r="C182" s="42">
        <f t="shared" si="24"/>
        <v>2.2239999999999998</v>
      </c>
      <c r="D182" s="42">
        <f t="shared" si="25"/>
        <v>179.2526666666667</v>
      </c>
      <c r="E182" s="42">
        <f t="shared" si="26"/>
        <v>44.48</v>
      </c>
      <c r="F182" s="42">
        <f t="shared" si="27"/>
        <v>22.24</v>
      </c>
      <c r="G182" s="42">
        <f t="shared" si="28"/>
        <v>11.12</v>
      </c>
      <c r="H182" s="42">
        <v>20</v>
      </c>
      <c r="I182" s="42">
        <f t="shared" si="29"/>
        <v>10</v>
      </c>
      <c r="J182" s="42">
        <f t="shared" si="30"/>
        <v>5</v>
      </c>
      <c r="K182" s="15">
        <v>1921325</v>
      </c>
    </row>
    <row r="183" spans="1:11">
      <c r="A183" s="42">
        <v>182</v>
      </c>
      <c r="B183" s="15">
        <v>223800</v>
      </c>
      <c r="C183" s="42">
        <f t="shared" si="24"/>
        <v>2.238</v>
      </c>
      <c r="D183" s="42">
        <f t="shared" si="25"/>
        <v>181.4906666666667</v>
      </c>
      <c r="E183" s="42">
        <f t="shared" si="26"/>
        <v>44.76</v>
      </c>
      <c r="F183" s="42">
        <f t="shared" si="27"/>
        <v>22.38</v>
      </c>
      <c r="G183" s="42">
        <f t="shared" si="28"/>
        <v>11.19</v>
      </c>
      <c r="H183" s="42">
        <v>20</v>
      </c>
      <c r="I183" s="42">
        <f t="shared" si="29"/>
        <v>10</v>
      </c>
      <c r="J183" s="42">
        <f t="shared" si="30"/>
        <v>5</v>
      </c>
      <c r="K183" s="15">
        <v>1944448</v>
      </c>
    </row>
    <row r="184" spans="1:11">
      <c r="A184" s="42">
        <v>183</v>
      </c>
      <c r="B184" s="15">
        <v>225100</v>
      </c>
      <c r="C184" s="42">
        <f t="shared" si="24"/>
        <v>2.2510000000000003</v>
      </c>
      <c r="D184" s="42">
        <f t="shared" si="25"/>
        <v>183.7416666666667</v>
      </c>
      <c r="E184" s="42">
        <f t="shared" si="26"/>
        <v>45.02</v>
      </c>
      <c r="F184" s="42">
        <f t="shared" si="27"/>
        <v>22.51</v>
      </c>
      <c r="G184" s="42">
        <f t="shared" si="28"/>
        <v>11.255000000000001</v>
      </c>
      <c r="H184" s="42">
        <v>20</v>
      </c>
      <c r="I184" s="42">
        <f t="shared" si="29"/>
        <v>10</v>
      </c>
      <c r="J184" s="42">
        <f t="shared" si="30"/>
        <v>5</v>
      </c>
      <c r="K184" s="15">
        <v>1967715</v>
      </c>
    </row>
    <row r="185" spans="1:11">
      <c r="A185" s="42">
        <v>184</v>
      </c>
      <c r="B185" s="15">
        <v>226500</v>
      </c>
      <c r="C185" s="42">
        <f t="shared" si="24"/>
        <v>2.2649999999999997</v>
      </c>
      <c r="D185" s="42">
        <f t="shared" si="25"/>
        <v>186.00666666666669</v>
      </c>
      <c r="E185" s="42">
        <f t="shared" si="26"/>
        <v>45.3</v>
      </c>
      <c r="F185" s="42">
        <f t="shared" si="27"/>
        <v>22.65</v>
      </c>
      <c r="G185" s="42">
        <f t="shared" si="28"/>
        <v>11.324999999999999</v>
      </c>
      <c r="H185" s="42">
        <v>20</v>
      </c>
      <c r="I185" s="42">
        <f t="shared" si="29"/>
        <v>10</v>
      </c>
      <c r="J185" s="42">
        <f t="shared" si="30"/>
        <v>5</v>
      </c>
      <c r="K185" s="15">
        <v>1991125</v>
      </c>
    </row>
    <row r="186" spans="1:11">
      <c r="A186" s="42">
        <v>185</v>
      </c>
      <c r="B186" s="15">
        <v>227900</v>
      </c>
      <c r="C186" s="42">
        <f t="shared" si="24"/>
        <v>2.2789999999999999</v>
      </c>
      <c r="D186" s="42">
        <f t="shared" si="25"/>
        <v>188.28566666666669</v>
      </c>
      <c r="E186" s="42">
        <f t="shared" si="26"/>
        <v>45.58</v>
      </c>
      <c r="F186" s="42">
        <f t="shared" si="27"/>
        <v>22.79</v>
      </c>
      <c r="G186" s="42">
        <f t="shared" si="28"/>
        <v>11.395</v>
      </c>
      <c r="H186" s="42">
        <v>20</v>
      </c>
      <c r="I186" s="42">
        <f t="shared" si="29"/>
        <v>10</v>
      </c>
      <c r="J186" s="42">
        <f t="shared" si="30"/>
        <v>5</v>
      </c>
      <c r="K186" s="15">
        <v>2014678</v>
      </c>
    </row>
    <row r="187" spans="1:11">
      <c r="A187" s="42">
        <v>186</v>
      </c>
      <c r="B187" s="15">
        <v>229200</v>
      </c>
      <c r="C187" s="42">
        <f t="shared" si="24"/>
        <v>2.2920000000000003</v>
      </c>
      <c r="D187" s="42">
        <f t="shared" si="25"/>
        <v>190.57766666666669</v>
      </c>
      <c r="E187" s="42">
        <f t="shared" si="26"/>
        <v>45.84</v>
      </c>
      <c r="F187" s="42">
        <f t="shared" si="27"/>
        <v>22.92</v>
      </c>
      <c r="G187" s="42">
        <f t="shared" si="28"/>
        <v>11.46</v>
      </c>
      <c r="H187" s="42">
        <v>20</v>
      </c>
      <c r="I187" s="42">
        <f t="shared" si="29"/>
        <v>10</v>
      </c>
      <c r="J187" s="42">
        <f t="shared" si="30"/>
        <v>5</v>
      </c>
      <c r="K187" s="15">
        <v>2038373</v>
      </c>
    </row>
    <row r="188" spans="1:11">
      <c r="A188" s="42">
        <v>187</v>
      </c>
      <c r="B188" s="15">
        <v>230600</v>
      </c>
      <c r="C188" s="42">
        <f t="shared" si="24"/>
        <v>2.306</v>
      </c>
      <c r="D188" s="42">
        <f t="shared" si="25"/>
        <v>192.8836666666667</v>
      </c>
      <c r="E188" s="42">
        <f t="shared" si="26"/>
        <v>46.12</v>
      </c>
      <c r="F188" s="42">
        <f t="shared" si="27"/>
        <v>23.06</v>
      </c>
      <c r="G188" s="42">
        <f t="shared" si="28"/>
        <v>11.53</v>
      </c>
      <c r="H188" s="42">
        <v>20</v>
      </c>
      <c r="I188" s="42">
        <f t="shared" si="29"/>
        <v>10</v>
      </c>
      <c r="J188" s="42">
        <f t="shared" si="30"/>
        <v>5</v>
      </c>
      <c r="K188" s="15">
        <v>2062213</v>
      </c>
    </row>
    <row r="189" spans="1:11">
      <c r="A189" s="42">
        <v>188</v>
      </c>
      <c r="B189" s="15">
        <v>231900</v>
      </c>
      <c r="C189" s="42">
        <f t="shared" si="24"/>
        <v>2.319</v>
      </c>
      <c r="D189" s="42">
        <f t="shared" si="25"/>
        <v>195.20266666666669</v>
      </c>
      <c r="E189" s="42">
        <f t="shared" si="26"/>
        <v>46.38</v>
      </c>
      <c r="F189" s="42">
        <f t="shared" si="27"/>
        <v>23.19</v>
      </c>
      <c r="G189" s="42">
        <f t="shared" si="28"/>
        <v>11.595000000000001</v>
      </c>
      <c r="H189" s="42">
        <v>20</v>
      </c>
      <c r="I189" s="42">
        <f t="shared" si="29"/>
        <v>10</v>
      </c>
      <c r="J189" s="42">
        <f t="shared" si="30"/>
        <v>5</v>
      </c>
      <c r="K189" s="15">
        <v>2086195</v>
      </c>
    </row>
    <row r="190" spans="1:11">
      <c r="A190" s="42">
        <v>189</v>
      </c>
      <c r="B190" s="15">
        <v>233300</v>
      </c>
      <c r="C190" s="42">
        <f t="shared" si="24"/>
        <v>2.3329999999999997</v>
      </c>
      <c r="D190" s="42">
        <f t="shared" si="25"/>
        <v>197.53566666666669</v>
      </c>
      <c r="E190" s="42">
        <f t="shared" si="26"/>
        <v>46.66</v>
      </c>
      <c r="F190" s="42">
        <f t="shared" si="27"/>
        <v>23.33</v>
      </c>
      <c r="G190" s="42">
        <f t="shared" si="28"/>
        <v>11.664999999999999</v>
      </c>
      <c r="H190" s="42">
        <v>20</v>
      </c>
      <c r="I190" s="42">
        <f t="shared" si="29"/>
        <v>10</v>
      </c>
      <c r="J190" s="42">
        <f t="shared" si="30"/>
        <v>5</v>
      </c>
      <c r="K190" s="15">
        <v>2110320</v>
      </c>
    </row>
    <row r="191" spans="1:11">
      <c r="A191" s="42">
        <v>190</v>
      </c>
      <c r="B191" s="15">
        <v>234600</v>
      </c>
      <c r="C191" s="42">
        <f t="shared" si="24"/>
        <v>2.3460000000000001</v>
      </c>
      <c r="D191" s="42">
        <f t="shared" si="25"/>
        <v>199.88166666666669</v>
      </c>
      <c r="E191" s="42">
        <f t="shared" si="26"/>
        <v>46.92</v>
      </c>
      <c r="F191" s="42">
        <f t="shared" si="27"/>
        <v>23.46</v>
      </c>
      <c r="G191" s="42">
        <f t="shared" si="28"/>
        <v>11.73</v>
      </c>
      <c r="H191" s="42">
        <v>20</v>
      </c>
      <c r="I191" s="42">
        <f t="shared" si="29"/>
        <v>10</v>
      </c>
      <c r="J191" s="42">
        <f t="shared" si="30"/>
        <v>5</v>
      </c>
      <c r="K191" s="15">
        <v>2134589</v>
      </c>
    </row>
    <row r="192" spans="1:11">
      <c r="A192" s="42">
        <v>191</v>
      </c>
      <c r="B192" s="15">
        <v>236000</v>
      </c>
      <c r="C192" s="42">
        <f t="shared" si="24"/>
        <v>2.3600000000000003</v>
      </c>
      <c r="D192" s="42">
        <f t="shared" si="25"/>
        <v>202.2416666666667</v>
      </c>
      <c r="E192" s="42">
        <f t="shared" si="26"/>
        <v>47.2</v>
      </c>
      <c r="F192" s="42">
        <f t="shared" si="27"/>
        <v>23.6</v>
      </c>
      <c r="G192" s="42">
        <f t="shared" si="28"/>
        <v>11.8</v>
      </c>
      <c r="H192" s="42">
        <v>20</v>
      </c>
      <c r="I192" s="42">
        <f t="shared" si="29"/>
        <v>10</v>
      </c>
      <c r="J192" s="42">
        <f t="shared" si="30"/>
        <v>5</v>
      </c>
      <c r="K192" s="15">
        <v>2159002</v>
      </c>
    </row>
    <row r="193" spans="1:11">
      <c r="A193" s="42">
        <v>192</v>
      </c>
      <c r="B193" s="15">
        <v>237300</v>
      </c>
      <c r="C193" s="42">
        <f t="shared" si="24"/>
        <v>2.3730000000000002</v>
      </c>
      <c r="D193" s="42">
        <f t="shared" si="25"/>
        <v>204.61466666666669</v>
      </c>
      <c r="E193" s="42">
        <f t="shared" si="26"/>
        <v>47.46</v>
      </c>
      <c r="F193" s="42">
        <f t="shared" si="27"/>
        <v>23.73</v>
      </c>
      <c r="G193" s="42">
        <f t="shared" si="28"/>
        <v>11.865</v>
      </c>
      <c r="H193" s="42">
        <v>20</v>
      </c>
      <c r="I193" s="42">
        <f t="shared" si="29"/>
        <v>10</v>
      </c>
      <c r="J193" s="42">
        <f t="shared" si="30"/>
        <v>5</v>
      </c>
      <c r="K193" s="15">
        <v>2183557</v>
      </c>
    </row>
    <row r="194" spans="1:11">
      <c r="A194" s="42">
        <v>193</v>
      </c>
      <c r="B194" s="15">
        <v>238700</v>
      </c>
      <c r="C194" s="42">
        <f t="shared" si="24"/>
        <v>2.387</v>
      </c>
      <c r="D194" s="42">
        <f t="shared" si="25"/>
        <v>207.00166666666669</v>
      </c>
      <c r="E194" s="42">
        <f t="shared" si="26"/>
        <v>47.74</v>
      </c>
      <c r="F194" s="42">
        <f t="shared" si="27"/>
        <v>23.87</v>
      </c>
      <c r="G194" s="42">
        <f t="shared" si="28"/>
        <v>11.935</v>
      </c>
      <c r="H194" s="42">
        <v>20</v>
      </c>
      <c r="I194" s="42">
        <f t="shared" si="29"/>
        <v>10</v>
      </c>
      <c r="J194" s="42">
        <f t="shared" si="30"/>
        <v>5</v>
      </c>
      <c r="K194" s="15">
        <v>2208256</v>
      </c>
    </row>
    <row r="195" spans="1:11">
      <c r="A195" s="42">
        <v>194</v>
      </c>
      <c r="B195" s="15">
        <v>240100</v>
      </c>
      <c r="C195" s="42">
        <f t="shared" si="24"/>
        <v>2.4010000000000002</v>
      </c>
      <c r="D195" s="42">
        <f t="shared" si="25"/>
        <v>209.4026666666667</v>
      </c>
      <c r="E195" s="42">
        <f t="shared" si="26"/>
        <v>48.02</v>
      </c>
      <c r="F195" s="42">
        <f t="shared" si="27"/>
        <v>24.01</v>
      </c>
      <c r="G195" s="42">
        <f t="shared" si="28"/>
        <v>12.005000000000001</v>
      </c>
      <c r="H195" s="42">
        <v>20</v>
      </c>
      <c r="I195" s="42">
        <f t="shared" si="29"/>
        <v>10</v>
      </c>
      <c r="J195" s="42">
        <f t="shared" si="30"/>
        <v>5</v>
      </c>
      <c r="K195" s="15">
        <v>2233099</v>
      </c>
    </row>
    <row r="196" spans="1:11">
      <c r="A196" s="42">
        <v>195</v>
      </c>
      <c r="B196" s="15">
        <v>241400</v>
      </c>
      <c r="C196" s="42">
        <f t="shared" si="24"/>
        <v>2.4140000000000001</v>
      </c>
      <c r="D196" s="42">
        <f t="shared" si="25"/>
        <v>211.81666666666669</v>
      </c>
      <c r="E196" s="42">
        <f t="shared" si="26"/>
        <v>48.28</v>
      </c>
      <c r="F196" s="42">
        <f t="shared" si="27"/>
        <v>24.14</v>
      </c>
      <c r="G196" s="42">
        <f t="shared" si="28"/>
        <v>12.07</v>
      </c>
      <c r="H196" s="42">
        <v>20</v>
      </c>
      <c r="I196" s="42">
        <f t="shared" si="29"/>
        <v>10</v>
      </c>
      <c r="J196" s="42">
        <f t="shared" si="30"/>
        <v>5</v>
      </c>
      <c r="K196" s="15">
        <v>2258085</v>
      </c>
    </row>
    <row r="197" spans="1:11">
      <c r="A197" s="42">
        <v>196</v>
      </c>
      <c r="B197" s="15">
        <v>242800</v>
      </c>
      <c r="C197" s="42">
        <f t="shared" si="24"/>
        <v>2.4279999999999999</v>
      </c>
      <c r="D197" s="42">
        <f t="shared" si="25"/>
        <v>214.24466666666669</v>
      </c>
      <c r="E197" s="42">
        <f t="shared" si="26"/>
        <v>48.56</v>
      </c>
      <c r="F197" s="42">
        <f t="shared" si="27"/>
        <v>24.28</v>
      </c>
      <c r="G197" s="42">
        <f t="shared" si="28"/>
        <v>12.14</v>
      </c>
      <c r="H197" s="42">
        <v>20</v>
      </c>
      <c r="I197" s="42">
        <f t="shared" si="29"/>
        <v>10</v>
      </c>
      <c r="J197" s="42">
        <f t="shared" si="30"/>
        <v>5</v>
      </c>
      <c r="K197" s="15">
        <v>2283215</v>
      </c>
    </row>
    <row r="198" spans="1:11">
      <c r="A198" s="42">
        <v>197</v>
      </c>
      <c r="B198" s="15">
        <v>244100</v>
      </c>
      <c r="C198" s="42">
        <f t="shared" si="24"/>
        <v>2.4409999999999998</v>
      </c>
      <c r="D198" s="42">
        <f t="shared" si="25"/>
        <v>216.68566666666669</v>
      </c>
      <c r="E198" s="42">
        <f t="shared" si="26"/>
        <v>48.82</v>
      </c>
      <c r="F198" s="42">
        <f t="shared" si="27"/>
        <v>24.41</v>
      </c>
      <c r="G198" s="42">
        <f t="shared" si="28"/>
        <v>12.205</v>
      </c>
      <c r="H198" s="42">
        <v>20</v>
      </c>
      <c r="I198" s="42">
        <f t="shared" si="29"/>
        <v>10</v>
      </c>
      <c r="J198" s="42">
        <f t="shared" si="30"/>
        <v>5</v>
      </c>
      <c r="K198" s="15">
        <v>2308488</v>
      </c>
    </row>
    <row r="199" spans="1:11">
      <c r="A199" s="42">
        <v>198</v>
      </c>
      <c r="B199" s="15">
        <v>245500</v>
      </c>
      <c r="C199" s="42">
        <f t="shared" si="24"/>
        <v>2.4550000000000001</v>
      </c>
      <c r="D199" s="42">
        <f t="shared" si="25"/>
        <v>219.1406666666667</v>
      </c>
      <c r="E199" s="42">
        <f t="shared" si="26"/>
        <v>49.1</v>
      </c>
      <c r="F199" s="42">
        <f t="shared" si="27"/>
        <v>24.55</v>
      </c>
      <c r="G199" s="42">
        <f t="shared" si="28"/>
        <v>12.275</v>
      </c>
      <c r="H199" s="42">
        <v>20</v>
      </c>
      <c r="I199" s="42">
        <f t="shared" si="29"/>
        <v>10</v>
      </c>
      <c r="J199" s="42">
        <f t="shared" si="30"/>
        <v>5</v>
      </c>
      <c r="K199" s="15">
        <v>2333905</v>
      </c>
    </row>
    <row r="200" spans="1:11">
      <c r="A200" s="42">
        <v>199</v>
      </c>
      <c r="B200" s="15">
        <v>246900</v>
      </c>
      <c r="C200" s="42">
        <f t="shared" si="24"/>
        <v>2.4690000000000003</v>
      </c>
      <c r="D200" s="42">
        <f t="shared" si="25"/>
        <v>221.6096666666667</v>
      </c>
      <c r="E200" s="42">
        <f t="shared" si="26"/>
        <v>49.38</v>
      </c>
      <c r="F200" s="42">
        <f t="shared" si="27"/>
        <v>24.69</v>
      </c>
      <c r="G200" s="42">
        <f t="shared" si="28"/>
        <v>12.345000000000001</v>
      </c>
      <c r="H200" s="42">
        <v>20</v>
      </c>
      <c r="I200" s="42">
        <f t="shared" si="29"/>
        <v>10</v>
      </c>
      <c r="J200" s="42">
        <f t="shared" si="30"/>
        <v>5</v>
      </c>
      <c r="K200" s="15">
        <v>2359465</v>
      </c>
    </row>
    <row r="201" spans="1:11">
      <c r="A201" s="42">
        <v>200</v>
      </c>
      <c r="B201" s="15">
        <v>248200</v>
      </c>
      <c r="C201" s="42">
        <f t="shared" si="24"/>
        <v>2.4820000000000002</v>
      </c>
      <c r="D201" s="42">
        <f t="shared" si="25"/>
        <v>224.0916666666667</v>
      </c>
      <c r="E201" s="42">
        <f t="shared" si="26"/>
        <v>49.64</v>
      </c>
      <c r="F201" s="42">
        <f t="shared" si="27"/>
        <v>24.82</v>
      </c>
      <c r="G201" s="42">
        <f t="shared" si="28"/>
        <v>12.41</v>
      </c>
      <c r="H201" s="42">
        <v>20</v>
      </c>
      <c r="I201" s="42">
        <f t="shared" si="29"/>
        <v>10</v>
      </c>
      <c r="J201" s="42">
        <f t="shared" si="30"/>
        <v>5</v>
      </c>
      <c r="K201" s="15">
        <v>2385170</v>
      </c>
    </row>
    <row r="202" spans="1:11">
      <c r="A202" s="42">
        <v>201</v>
      </c>
      <c r="B202" s="15">
        <v>249600</v>
      </c>
      <c r="C202" s="42">
        <f t="shared" si="24"/>
        <v>2.496</v>
      </c>
      <c r="D202" s="42">
        <f t="shared" si="25"/>
        <v>226.58766666666671</v>
      </c>
      <c r="E202" s="42">
        <f t="shared" si="26"/>
        <v>49.92</v>
      </c>
      <c r="F202" s="42">
        <f t="shared" si="27"/>
        <v>24.96</v>
      </c>
      <c r="G202" s="42">
        <f t="shared" si="28"/>
        <v>12.48</v>
      </c>
      <c r="H202" s="42">
        <v>20</v>
      </c>
      <c r="I202" s="42">
        <f t="shared" si="29"/>
        <v>10</v>
      </c>
      <c r="J202" s="42">
        <f t="shared" si="30"/>
        <v>5</v>
      </c>
      <c r="K202" s="15">
        <v>2411018</v>
      </c>
    </row>
    <row r="203" spans="1:11">
      <c r="A203" s="42">
        <v>202</v>
      </c>
      <c r="B203" s="15">
        <v>251000</v>
      </c>
      <c r="C203" s="42">
        <f t="shared" si="24"/>
        <v>2.5100000000000002</v>
      </c>
      <c r="D203" s="42">
        <f t="shared" si="25"/>
        <v>229.0976666666667</v>
      </c>
      <c r="E203" s="42">
        <f t="shared" si="26"/>
        <v>50.2</v>
      </c>
      <c r="F203" s="42">
        <f t="shared" si="27"/>
        <v>25.1</v>
      </c>
      <c r="G203" s="42">
        <f t="shared" si="28"/>
        <v>12.55</v>
      </c>
      <c r="H203" s="42">
        <v>20</v>
      </c>
      <c r="I203" s="42">
        <f t="shared" si="29"/>
        <v>10</v>
      </c>
      <c r="J203" s="42">
        <f t="shared" si="30"/>
        <v>5</v>
      </c>
      <c r="K203" s="15">
        <v>2437010</v>
      </c>
    </row>
    <row r="204" spans="1:11">
      <c r="A204" s="42">
        <v>203</v>
      </c>
      <c r="B204" s="15">
        <v>252300</v>
      </c>
      <c r="C204" s="42">
        <f t="shared" si="24"/>
        <v>2.5230000000000001</v>
      </c>
      <c r="D204" s="42">
        <f t="shared" si="25"/>
        <v>231.62066666666669</v>
      </c>
      <c r="E204" s="42">
        <f t="shared" si="26"/>
        <v>50.46</v>
      </c>
      <c r="F204" s="42">
        <f t="shared" si="27"/>
        <v>25.23</v>
      </c>
      <c r="G204" s="42">
        <f t="shared" si="28"/>
        <v>12.615</v>
      </c>
      <c r="H204" s="42">
        <v>20</v>
      </c>
      <c r="I204" s="42">
        <f t="shared" si="29"/>
        <v>10</v>
      </c>
      <c r="J204" s="42">
        <f t="shared" si="30"/>
        <v>5</v>
      </c>
      <c r="K204" s="15">
        <v>2463146</v>
      </c>
    </row>
    <row r="205" spans="1:11">
      <c r="A205" s="42">
        <v>204</v>
      </c>
      <c r="B205" s="15">
        <v>253700</v>
      </c>
      <c r="C205" s="42">
        <f t="shared" si="24"/>
        <v>2.5369999999999999</v>
      </c>
      <c r="D205" s="42">
        <f t="shared" si="25"/>
        <v>234.1576666666667</v>
      </c>
      <c r="E205" s="42">
        <f t="shared" si="26"/>
        <v>50.74</v>
      </c>
      <c r="F205" s="42">
        <f t="shared" si="27"/>
        <v>25.37</v>
      </c>
      <c r="G205" s="42">
        <f t="shared" si="28"/>
        <v>12.685</v>
      </c>
      <c r="H205" s="42">
        <v>20</v>
      </c>
      <c r="I205" s="42">
        <f t="shared" si="29"/>
        <v>10</v>
      </c>
      <c r="J205" s="42">
        <f t="shared" si="30"/>
        <v>5</v>
      </c>
      <c r="K205" s="15">
        <v>2489425</v>
      </c>
    </row>
    <row r="206" spans="1:11">
      <c r="A206" s="42">
        <v>205</v>
      </c>
      <c r="B206" s="15">
        <v>255100</v>
      </c>
      <c r="C206" s="42">
        <f t="shared" si="24"/>
        <v>2.5510000000000002</v>
      </c>
      <c r="D206" s="42">
        <f t="shared" si="25"/>
        <v>236.70866666666669</v>
      </c>
      <c r="E206" s="42">
        <f t="shared" si="26"/>
        <v>51.02</v>
      </c>
      <c r="F206" s="42">
        <f t="shared" si="27"/>
        <v>25.51</v>
      </c>
      <c r="G206" s="42">
        <f t="shared" si="28"/>
        <v>12.755000000000001</v>
      </c>
      <c r="H206" s="42">
        <v>20</v>
      </c>
      <c r="I206" s="42">
        <f t="shared" si="29"/>
        <v>10</v>
      </c>
      <c r="J206" s="42">
        <f t="shared" si="30"/>
        <v>5</v>
      </c>
      <c r="K206" s="15">
        <v>2515849</v>
      </c>
    </row>
    <row r="207" spans="1:11">
      <c r="A207" s="42">
        <v>206</v>
      </c>
      <c r="B207" s="15">
        <v>256400</v>
      </c>
      <c r="C207" s="42">
        <f t="shared" si="24"/>
        <v>2.5640000000000001</v>
      </c>
      <c r="D207" s="42">
        <f t="shared" si="25"/>
        <v>239.27266666666668</v>
      </c>
      <c r="E207" s="42">
        <f t="shared" si="26"/>
        <v>51.28</v>
      </c>
      <c r="F207" s="42">
        <f t="shared" si="27"/>
        <v>25.64</v>
      </c>
      <c r="G207" s="42">
        <f t="shared" si="28"/>
        <v>12.82</v>
      </c>
      <c r="H207" s="42">
        <v>20</v>
      </c>
      <c r="I207" s="42">
        <f t="shared" si="29"/>
        <v>10</v>
      </c>
      <c r="J207" s="42">
        <f t="shared" si="30"/>
        <v>5</v>
      </c>
      <c r="K207" s="15">
        <v>2542417</v>
      </c>
    </row>
    <row r="208" spans="1:11">
      <c r="A208" s="42">
        <v>207</v>
      </c>
      <c r="B208" s="15">
        <v>257800</v>
      </c>
      <c r="C208" s="42">
        <f t="shared" si="24"/>
        <v>2.5780000000000003</v>
      </c>
      <c r="D208" s="42">
        <f t="shared" si="25"/>
        <v>241.85066666666668</v>
      </c>
      <c r="E208" s="42">
        <f t="shared" si="26"/>
        <v>51.56</v>
      </c>
      <c r="F208" s="42">
        <f t="shared" si="27"/>
        <v>25.78</v>
      </c>
      <c r="G208" s="42">
        <f t="shared" si="28"/>
        <v>12.89</v>
      </c>
      <c r="H208" s="42">
        <v>20</v>
      </c>
      <c r="I208" s="42">
        <f t="shared" si="29"/>
        <v>10</v>
      </c>
      <c r="J208" s="42">
        <f t="shared" si="30"/>
        <v>5</v>
      </c>
      <c r="K208" s="15">
        <v>2569128</v>
      </c>
    </row>
    <row r="209" spans="1:11">
      <c r="A209" s="42">
        <v>208</v>
      </c>
      <c r="B209" s="15">
        <v>259200</v>
      </c>
      <c r="C209" s="42">
        <f t="shared" si="24"/>
        <v>2.5920000000000001</v>
      </c>
      <c r="D209" s="42">
        <f t="shared" si="25"/>
        <v>244.4426666666667</v>
      </c>
      <c r="E209" s="42">
        <f t="shared" si="26"/>
        <v>51.84</v>
      </c>
      <c r="F209" s="42">
        <f t="shared" si="27"/>
        <v>25.92</v>
      </c>
      <c r="G209" s="42">
        <f t="shared" si="28"/>
        <v>12.96</v>
      </c>
      <c r="H209" s="42">
        <v>20</v>
      </c>
      <c r="I209" s="42">
        <f t="shared" si="29"/>
        <v>10</v>
      </c>
      <c r="J209" s="42">
        <f t="shared" si="30"/>
        <v>5</v>
      </c>
      <c r="K209" s="15">
        <v>2595984</v>
      </c>
    </row>
    <row r="210" spans="1:11">
      <c r="A210" s="42">
        <v>209</v>
      </c>
      <c r="B210" s="15">
        <v>260500</v>
      </c>
      <c r="C210" s="42">
        <f t="shared" si="24"/>
        <v>2.605</v>
      </c>
      <c r="D210" s="42">
        <f t="shared" si="25"/>
        <v>247.04766666666669</v>
      </c>
      <c r="E210" s="42">
        <f t="shared" si="26"/>
        <v>52.1</v>
      </c>
      <c r="F210" s="42">
        <f t="shared" si="27"/>
        <v>26.05</v>
      </c>
      <c r="G210" s="42">
        <f t="shared" si="28"/>
        <v>13.025</v>
      </c>
      <c r="H210" s="42">
        <v>20</v>
      </c>
      <c r="I210" s="42">
        <f t="shared" si="29"/>
        <v>10</v>
      </c>
      <c r="J210" s="42">
        <f t="shared" si="30"/>
        <v>5</v>
      </c>
      <c r="K210" s="15">
        <v>2622984</v>
      </c>
    </row>
    <row r="211" spans="1:11">
      <c r="A211" s="42">
        <v>210</v>
      </c>
      <c r="B211" s="15">
        <v>261900</v>
      </c>
      <c r="C211" s="42">
        <f t="shared" si="24"/>
        <v>2.6190000000000002</v>
      </c>
      <c r="D211" s="42">
        <f t="shared" si="25"/>
        <v>249.66666666666669</v>
      </c>
      <c r="E211" s="42">
        <f t="shared" si="26"/>
        <v>52.38</v>
      </c>
      <c r="F211" s="42">
        <f t="shared" si="27"/>
        <v>26.19</v>
      </c>
      <c r="G211" s="42">
        <f t="shared" si="28"/>
        <v>13.095000000000001</v>
      </c>
      <c r="H211" s="42">
        <v>20</v>
      </c>
      <c r="I211" s="42">
        <f t="shared" si="29"/>
        <v>10</v>
      </c>
      <c r="J211" s="42">
        <f t="shared" si="30"/>
        <v>5</v>
      </c>
      <c r="K211" s="15">
        <v>2650128</v>
      </c>
    </row>
    <row r="212" spans="1:11">
      <c r="A212" s="42">
        <v>211</v>
      </c>
      <c r="B212" s="15">
        <v>263300</v>
      </c>
      <c r="C212" s="42">
        <f t="shared" si="24"/>
        <v>2.633</v>
      </c>
      <c r="D212" s="42">
        <f t="shared" si="25"/>
        <v>252.2996666666667</v>
      </c>
      <c r="E212" s="42">
        <f t="shared" si="26"/>
        <v>52.66</v>
      </c>
      <c r="F212" s="42">
        <f t="shared" si="27"/>
        <v>26.33</v>
      </c>
      <c r="G212" s="42">
        <f t="shared" si="28"/>
        <v>13.164999999999999</v>
      </c>
      <c r="H212" s="42">
        <v>20</v>
      </c>
      <c r="I212" s="42">
        <f t="shared" si="29"/>
        <v>10</v>
      </c>
      <c r="J212" s="42">
        <f t="shared" si="30"/>
        <v>5</v>
      </c>
      <c r="K212" s="15">
        <v>2677417</v>
      </c>
    </row>
    <row r="213" spans="1:11">
      <c r="A213" s="42">
        <v>212</v>
      </c>
      <c r="B213" s="15">
        <v>264700</v>
      </c>
      <c r="C213" s="42">
        <f t="shared" si="24"/>
        <v>2.6469999999999998</v>
      </c>
      <c r="D213" s="42">
        <f t="shared" si="25"/>
        <v>254.94666666666669</v>
      </c>
      <c r="E213" s="42">
        <f t="shared" si="26"/>
        <v>52.94</v>
      </c>
      <c r="F213" s="42">
        <f t="shared" si="27"/>
        <v>26.47</v>
      </c>
      <c r="G213" s="42">
        <f t="shared" si="28"/>
        <v>13.234999999999999</v>
      </c>
      <c r="H213" s="42">
        <v>20</v>
      </c>
      <c r="I213" s="42">
        <f t="shared" si="29"/>
        <v>10</v>
      </c>
      <c r="J213" s="42">
        <f t="shared" si="30"/>
        <v>5</v>
      </c>
      <c r="K213" s="15">
        <v>2704849</v>
      </c>
    </row>
    <row r="214" spans="1:11">
      <c r="A214" s="42">
        <v>213</v>
      </c>
      <c r="B214" s="15">
        <v>266000</v>
      </c>
      <c r="C214" s="42">
        <f t="shared" si="24"/>
        <v>2.66</v>
      </c>
      <c r="D214" s="42">
        <f t="shared" si="25"/>
        <v>257.60666666666668</v>
      </c>
      <c r="E214" s="42">
        <f t="shared" si="26"/>
        <v>53.2</v>
      </c>
      <c r="F214" s="42">
        <f t="shared" si="27"/>
        <v>26.6</v>
      </c>
      <c r="G214" s="42">
        <f t="shared" si="28"/>
        <v>13.3</v>
      </c>
      <c r="H214" s="42">
        <v>20</v>
      </c>
      <c r="I214" s="42">
        <f t="shared" si="29"/>
        <v>10</v>
      </c>
      <c r="J214" s="42">
        <f t="shared" si="30"/>
        <v>5</v>
      </c>
      <c r="K214" s="15">
        <v>2732426</v>
      </c>
    </row>
    <row r="215" spans="1:11">
      <c r="A215" s="42">
        <v>214</v>
      </c>
      <c r="B215" s="15">
        <v>267400</v>
      </c>
      <c r="C215" s="42">
        <f t="shared" si="24"/>
        <v>2.6739999999999999</v>
      </c>
      <c r="D215" s="42">
        <f t="shared" si="25"/>
        <v>260.28066666666666</v>
      </c>
      <c r="E215" s="42">
        <f t="shared" si="26"/>
        <v>53.48</v>
      </c>
      <c r="F215" s="42">
        <f t="shared" si="27"/>
        <v>26.74</v>
      </c>
      <c r="G215" s="42">
        <f t="shared" si="28"/>
        <v>13.37</v>
      </c>
      <c r="H215" s="42">
        <v>20</v>
      </c>
      <c r="I215" s="42">
        <f t="shared" si="29"/>
        <v>10</v>
      </c>
      <c r="J215" s="42">
        <f t="shared" si="30"/>
        <v>5</v>
      </c>
      <c r="K215" s="15">
        <v>2760147</v>
      </c>
    </row>
    <row r="216" spans="1:11">
      <c r="A216" s="42">
        <v>215</v>
      </c>
      <c r="B216" s="15">
        <v>268800</v>
      </c>
      <c r="C216" s="42">
        <f t="shared" si="24"/>
        <v>2.6879999999999997</v>
      </c>
      <c r="D216" s="42">
        <f t="shared" si="25"/>
        <v>262.96866666666665</v>
      </c>
      <c r="E216" s="42">
        <f t="shared" si="26"/>
        <v>53.76</v>
      </c>
      <c r="F216" s="42">
        <f t="shared" si="27"/>
        <v>26.88</v>
      </c>
      <c r="G216" s="42">
        <f t="shared" si="28"/>
        <v>13.44</v>
      </c>
      <c r="H216" s="42">
        <v>20</v>
      </c>
      <c r="I216" s="42">
        <f t="shared" si="29"/>
        <v>10</v>
      </c>
      <c r="J216" s="42">
        <f t="shared" si="30"/>
        <v>5</v>
      </c>
      <c r="K216" s="15">
        <v>2788013</v>
      </c>
    </row>
    <row r="217" spans="1:11">
      <c r="A217" s="42">
        <v>216</v>
      </c>
      <c r="B217" s="15">
        <v>270200</v>
      </c>
      <c r="C217" s="42">
        <f t="shared" si="24"/>
        <v>2.702</v>
      </c>
      <c r="D217" s="42">
        <f t="shared" si="25"/>
        <v>265.67066666666665</v>
      </c>
      <c r="E217" s="42">
        <f t="shared" si="26"/>
        <v>54.04</v>
      </c>
      <c r="F217" s="42">
        <f t="shared" si="27"/>
        <v>27.02</v>
      </c>
      <c r="G217" s="42">
        <f t="shared" si="28"/>
        <v>13.51</v>
      </c>
      <c r="H217" s="42">
        <v>20</v>
      </c>
      <c r="I217" s="42">
        <f t="shared" si="29"/>
        <v>10</v>
      </c>
      <c r="J217" s="42">
        <f t="shared" si="30"/>
        <v>5</v>
      </c>
      <c r="K217" s="15">
        <v>2816022</v>
      </c>
    </row>
    <row r="218" spans="1:11">
      <c r="A218" s="42">
        <v>217</v>
      </c>
      <c r="B218" s="15">
        <v>271500</v>
      </c>
      <c r="C218" s="42">
        <f t="shared" si="24"/>
        <v>2.7149999999999999</v>
      </c>
      <c r="D218" s="42">
        <f t="shared" si="25"/>
        <v>268.38566666666662</v>
      </c>
      <c r="E218" s="42">
        <f t="shared" si="26"/>
        <v>54.3</v>
      </c>
      <c r="F218" s="42">
        <f t="shared" si="27"/>
        <v>27.15</v>
      </c>
      <c r="G218" s="42">
        <f t="shared" si="28"/>
        <v>13.574999999999999</v>
      </c>
      <c r="H218" s="42">
        <v>20</v>
      </c>
      <c r="I218" s="42">
        <f t="shared" si="29"/>
        <v>10</v>
      </c>
      <c r="J218" s="42">
        <f t="shared" si="30"/>
        <v>5</v>
      </c>
      <c r="K218" s="15">
        <v>2844177</v>
      </c>
    </row>
    <row r="219" spans="1:11">
      <c r="A219" s="42">
        <v>218</v>
      </c>
      <c r="B219" s="15">
        <v>272900</v>
      </c>
      <c r="C219" s="42">
        <f t="shared" si="24"/>
        <v>2.7290000000000001</v>
      </c>
      <c r="D219" s="42">
        <f t="shared" si="25"/>
        <v>271.11466666666661</v>
      </c>
      <c r="E219" s="42">
        <f t="shared" si="26"/>
        <v>54.58</v>
      </c>
      <c r="F219" s="42">
        <f t="shared" si="27"/>
        <v>27.29</v>
      </c>
      <c r="G219" s="42">
        <f t="shared" si="28"/>
        <v>13.645</v>
      </c>
      <c r="H219" s="42">
        <v>20</v>
      </c>
      <c r="I219" s="42">
        <f t="shared" si="29"/>
        <v>10</v>
      </c>
      <c r="J219" s="42">
        <f t="shared" si="30"/>
        <v>5</v>
      </c>
      <c r="K219" s="15">
        <v>2872476</v>
      </c>
    </row>
    <row r="220" spans="1:11">
      <c r="A220" s="42">
        <v>219</v>
      </c>
      <c r="B220" s="15">
        <v>274300</v>
      </c>
      <c r="C220" s="42">
        <f t="shared" si="24"/>
        <v>2.7429999999999999</v>
      </c>
      <c r="D220" s="42">
        <f t="shared" si="25"/>
        <v>273.8576666666666</v>
      </c>
      <c r="E220" s="42">
        <f t="shared" si="26"/>
        <v>54.86</v>
      </c>
      <c r="F220" s="42">
        <f t="shared" si="27"/>
        <v>27.43</v>
      </c>
      <c r="G220" s="42">
        <f t="shared" si="28"/>
        <v>13.715</v>
      </c>
      <c r="H220" s="42">
        <v>20</v>
      </c>
      <c r="I220" s="42">
        <f t="shared" si="29"/>
        <v>10</v>
      </c>
      <c r="J220" s="42">
        <f t="shared" si="30"/>
        <v>5</v>
      </c>
      <c r="K220" s="15">
        <v>2900919</v>
      </c>
    </row>
    <row r="221" spans="1:11">
      <c r="A221" s="42">
        <v>220</v>
      </c>
      <c r="B221" s="15">
        <v>275700</v>
      </c>
      <c r="C221" s="42">
        <f t="shared" si="24"/>
        <v>2.7570000000000001</v>
      </c>
      <c r="D221" s="42">
        <f t="shared" si="25"/>
        <v>276.61466666666661</v>
      </c>
      <c r="E221" s="42">
        <f t="shared" si="26"/>
        <v>55.14</v>
      </c>
      <c r="F221" s="42">
        <f t="shared" si="27"/>
        <v>27.57</v>
      </c>
      <c r="G221" s="42">
        <f t="shared" si="28"/>
        <v>13.785</v>
      </c>
      <c r="H221" s="42">
        <v>20</v>
      </c>
      <c r="I221" s="42">
        <f t="shared" si="29"/>
        <v>10</v>
      </c>
      <c r="J221" s="42">
        <f t="shared" si="30"/>
        <v>5</v>
      </c>
      <c r="K221" s="15">
        <v>2929507</v>
      </c>
    </row>
    <row r="222" spans="1:11">
      <c r="A222" s="42">
        <v>221</v>
      </c>
      <c r="B222" s="15">
        <v>277100</v>
      </c>
      <c r="C222" s="42">
        <f t="shared" si="24"/>
        <v>2.7709999999999999</v>
      </c>
      <c r="D222" s="42">
        <f t="shared" si="25"/>
        <v>279.38566666666662</v>
      </c>
      <c r="E222" s="42">
        <f t="shared" si="26"/>
        <v>55.42</v>
      </c>
      <c r="F222" s="42">
        <f t="shared" si="27"/>
        <v>27.71</v>
      </c>
      <c r="G222" s="42">
        <f t="shared" si="28"/>
        <v>13.855</v>
      </c>
      <c r="H222" s="42">
        <v>20</v>
      </c>
      <c r="I222" s="42">
        <f t="shared" si="29"/>
        <v>10</v>
      </c>
      <c r="J222" s="42">
        <f t="shared" si="30"/>
        <v>5</v>
      </c>
      <c r="K222" s="15">
        <v>2958240</v>
      </c>
    </row>
    <row r="223" spans="1:11">
      <c r="A223" s="42">
        <v>222</v>
      </c>
      <c r="B223" s="15">
        <v>278400</v>
      </c>
      <c r="C223" s="42">
        <f t="shared" si="24"/>
        <v>2.7839999999999998</v>
      </c>
      <c r="D223" s="42">
        <f t="shared" si="25"/>
        <v>282.16966666666661</v>
      </c>
      <c r="E223" s="42">
        <f t="shared" si="26"/>
        <v>55.68</v>
      </c>
      <c r="F223" s="42">
        <f t="shared" si="27"/>
        <v>27.84</v>
      </c>
      <c r="G223" s="42">
        <f t="shared" si="28"/>
        <v>13.92</v>
      </c>
      <c r="H223" s="42">
        <v>20</v>
      </c>
      <c r="I223" s="42">
        <f t="shared" si="29"/>
        <v>10</v>
      </c>
      <c r="J223" s="42">
        <f t="shared" si="30"/>
        <v>5</v>
      </c>
      <c r="K223" s="15">
        <v>2987117</v>
      </c>
    </row>
    <row r="224" spans="1:11">
      <c r="A224" s="42">
        <v>223</v>
      </c>
      <c r="B224" s="15">
        <v>279800</v>
      </c>
      <c r="C224" s="42">
        <f t="shared" si="24"/>
        <v>2.798</v>
      </c>
      <c r="D224" s="42">
        <f t="shared" si="25"/>
        <v>284.96766666666662</v>
      </c>
      <c r="E224" s="42">
        <f t="shared" si="26"/>
        <v>55.96</v>
      </c>
      <c r="F224" s="42">
        <f t="shared" si="27"/>
        <v>27.98</v>
      </c>
      <c r="G224" s="42">
        <f t="shared" si="28"/>
        <v>13.99</v>
      </c>
      <c r="H224" s="42">
        <v>20</v>
      </c>
      <c r="I224" s="42">
        <f t="shared" si="29"/>
        <v>10</v>
      </c>
      <c r="J224" s="42">
        <f t="shared" si="30"/>
        <v>5</v>
      </c>
      <c r="K224" s="15">
        <v>3016139</v>
      </c>
    </row>
    <row r="225" spans="1:11">
      <c r="A225" s="42">
        <v>224</v>
      </c>
      <c r="B225" s="15">
        <v>281200</v>
      </c>
      <c r="C225" s="42">
        <f t="shared" si="24"/>
        <v>2.8120000000000003</v>
      </c>
      <c r="D225" s="42">
        <f t="shared" si="25"/>
        <v>287.77966666666663</v>
      </c>
      <c r="E225" s="42">
        <f t="shared" si="26"/>
        <v>56.24</v>
      </c>
      <c r="F225" s="42">
        <f t="shared" si="27"/>
        <v>28.12</v>
      </c>
      <c r="G225" s="42">
        <f t="shared" si="28"/>
        <v>14.06</v>
      </c>
      <c r="H225" s="42">
        <v>20</v>
      </c>
      <c r="I225" s="42">
        <f t="shared" si="29"/>
        <v>10</v>
      </c>
      <c r="J225" s="42">
        <f t="shared" si="30"/>
        <v>5</v>
      </c>
      <c r="K225" s="15">
        <v>3045305</v>
      </c>
    </row>
    <row r="226" spans="1:11">
      <c r="A226" s="42">
        <v>225</v>
      </c>
      <c r="B226" s="15">
        <v>282600</v>
      </c>
      <c r="C226" s="42">
        <f t="shared" si="24"/>
        <v>2.8260000000000001</v>
      </c>
      <c r="D226" s="42">
        <f t="shared" si="25"/>
        <v>290.60566666666665</v>
      </c>
      <c r="E226" s="42">
        <f t="shared" si="26"/>
        <v>56.52</v>
      </c>
      <c r="F226" s="42">
        <f t="shared" si="27"/>
        <v>28.26</v>
      </c>
      <c r="G226" s="42">
        <f t="shared" si="28"/>
        <v>14.13</v>
      </c>
      <c r="H226" s="42">
        <v>20</v>
      </c>
      <c r="I226" s="42">
        <f t="shared" si="29"/>
        <v>10</v>
      </c>
      <c r="J226" s="42">
        <f t="shared" si="30"/>
        <v>5</v>
      </c>
      <c r="K226" s="15">
        <v>3074617</v>
      </c>
    </row>
    <row r="227" spans="1:11">
      <c r="A227" s="42">
        <v>226</v>
      </c>
      <c r="B227" s="15">
        <v>284000</v>
      </c>
      <c r="C227" s="42">
        <f t="shared" si="24"/>
        <v>2.84</v>
      </c>
      <c r="D227" s="42">
        <f t="shared" si="25"/>
        <v>293.44566666666663</v>
      </c>
      <c r="E227" s="42">
        <f t="shared" si="26"/>
        <v>56.8</v>
      </c>
      <c r="F227" s="42">
        <f t="shared" si="27"/>
        <v>28.4</v>
      </c>
      <c r="G227" s="42">
        <f t="shared" si="28"/>
        <v>14.2</v>
      </c>
      <c r="H227" s="42">
        <v>20</v>
      </c>
      <c r="I227" s="42">
        <f t="shared" si="29"/>
        <v>10</v>
      </c>
      <c r="J227" s="42">
        <f t="shared" si="30"/>
        <v>5</v>
      </c>
      <c r="K227" s="15">
        <v>3104073</v>
      </c>
    </row>
    <row r="228" spans="1:11">
      <c r="A228" s="42">
        <v>227</v>
      </c>
      <c r="B228" s="15">
        <v>285300</v>
      </c>
      <c r="C228" s="42">
        <f t="shared" si="24"/>
        <v>2.8530000000000002</v>
      </c>
      <c r="D228" s="42">
        <f t="shared" si="25"/>
        <v>296.29866666666663</v>
      </c>
      <c r="E228" s="42">
        <f t="shared" si="26"/>
        <v>57.06</v>
      </c>
      <c r="F228" s="42">
        <f t="shared" si="27"/>
        <v>28.53</v>
      </c>
      <c r="G228" s="42">
        <f t="shared" si="28"/>
        <v>14.265000000000001</v>
      </c>
      <c r="H228" s="42">
        <v>20</v>
      </c>
      <c r="I228" s="42">
        <f t="shared" si="29"/>
        <v>10</v>
      </c>
      <c r="J228" s="42">
        <f t="shared" si="30"/>
        <v>5</v>
      </c>
      <c r="K228" s="15">
        <v>3133674</v>
      </c>
    </row>
    <row r="229" spans="1:11">
      <c r="A229" s="42">
        <v>228</v>
      </c>
      <c r="B229" s="15">
        <v>286700</v>
      </c>
      <c r="C229" s="42">
        <f t="shared" si="24"/>
        <v>2.867</v>
      </c>
      <c r="D229" s="42">
        <f t="shared" si="25"/>
        <v>299.16566666666665</v>
      </c>
      <c r="E229" s="42">
        <f t="shared" si="26"/>
        <v>57.34</v>
      </c>
      <c r="F229" s="42">
        <f t="shared" si="27"/>
        <v>28.67</v>
      </c>
      <c r="G229" s="42">
        <f t="shared" si="28"/>
        <v>14.335000000000001</v>
      </c>
      <c r="H229" s="42">
        <v>20</v>
      </c>
      <c r="I229" s="42">
        <f t="shared" si="29"/>
        <v>10</v>
      </c>
      <c r="J229" s="42">
        <f t="shared" si="30"/>
        <v>5</v>
      </c>
      <c r="K229" s="15">
        <v>3163420</v>
      </c>
    </row>
    <row r="230" spans="1:11">
      <c r="A230" s="42">
        <v>229</v>
      </c>
      <c r="B230" s="15">
        <v>288100</v>
      </c>
      <c r="C230" s="42">
        <f t="shared" ref="C230:C293" si="31">E230/H230</f>
        <v>2.8809999999999998</v>
      </c>
      <c r="D230" s="42">
        <f t="shared" ref="D230:D293" si="32">C230+D229</f>
        <v>302.04666666666662</v>
      </c>
      <c r="E230" s="42">
        <f t="shared" ref="E230:E293" si="33">B230/$N$2</f>
        <v>57.62</v>
      </c>
      <c r="F230" s="42">
        <f t="shared" ref="F230:F293" si="34">B230/$N$3</f>
        <v>28.81</v>
      </c>
      <c r="G230" s="42">
        <f t="shared" ref="G230:G293" si="35">B230/$N$4</f>
        <v>14.404999999999999</v>
      </c>
      <c r="H230" s="42">
        <v>20</v>
      </c>
      <c r="I230" s="42">
        <f t="shared" ref="I230:I293" si="36">H230/2</f>
        <v>10</v>
      </c>
      <c r="J230" s="42">
        <f t="shared" ref="J230:J293" si="37">H230/4</f>
        <v>5</v>
      </c>
      <c r="K230" s="15">
        <v>3193311</v>
      </c>
    </row>
    <row r="231" spans="1:11">
      <c r="A231" s="42">
        <v>230</v>
      </c>
      <c r="B231" s="15">
        <v>289500</v>
      </c>
      <c r="C231" s="42">
        <f t="shared" si="31"/>
        <v>2.895</v>
      </c>
      <c r="D231" s="42">
        <f t="shared" si="32"/>
        <v>304.94166666666661</v>
      </c>
      <c r="E231" s="42">
        <f t="shared" si="33"/>
        <v>57.9</v>
      </c>
      <c r="F231" s="42">
        <f t="shared" si="34"/>
        <v>28.95</v>
      </c>
      <c r="G231" s="42">
        <f t="shared" si="35"/>
        <v>14.475</v>
      </c>
      <c r="H231" s="42">
        <v>20</v>
      </c>
      <c r="I231" s="42">
        <f t="shared" si="36"/>
        <v>10</v>
      </c>
      <c r="J231" s="42">
        <f t="shared" si="37"/>
        <v>5</v>
      </c>
      <c r="K231" s="15">
        <v>3223347</v>
      </c>
    </row>
    <row r="232" spans="1:11">
      <c r="A232" s="42">
        <v>231</v>
      </c>
      <c r="B232" s="15">
        <v>290900</v>
      </c>
      <c r="C232" s="42">
        <f t="shared" si="31"/>
        <v>2.9089999999999998</v>
      </c>
      <c r="D232" s="42">
        <f t="shared" si="32"/>
        <v>307.8506666666666</v>
      </c>
      <c r="E232" s="42">
        <f t="shared" si="33"/>
        <v>58.18</v>
      </c>
      <c r="F232" s="42">
        <f t="shared" si="34"/>
        <v>29.09</v>
      </c>
      <c r="G232" s="42">
        <f t="shared" si="35"/>
        <v>14.545</v>
      </c>
      <c r="H232" s="42">
        <v>20</v>
      </c>
      <c r="I232" s="42">
        <f t="shared" si="36"/>
        <v>10</v>
      </c>
      <c r="J232" s="42">
        <f t="shared" si="37"/>
        <v>5</v>
      </c>
      <c r="K232" s="15">
        <v>3253528</v>
      </c>
    </row>
    <row r="233" spans="1:11">
      <c r="A233" s="42">
        <v>232</v>
      </c>
      <c r="B233" s="15">
        <v>292300</v>
      </c>
      <c r="C233" s="42">
        <f t="shared" si="31"/>
        <v>2.923</v>
      </c>
      <c r="D233" s="42">
        <f t="shared" si="32"/>
        <v>310.7736666666666</v>
      </c>
      <c r="E233" s="42">
        <f t="shared" si="33"/>
        <v>58.46</v>
      </c>
      <c r="F233" s="42">
        <f t="shared" si="34"/>
        <v>29.23</v>
      </c>
      <c r="G233" s="42">
        <f t="shared" si="35"/>
        <v>14.615</v>
      </c>
      <c r="H233" s="42">
        <v>20</v>
      </c>
      <c r="I233" s="42">
        <f t="shared" si="36"/>
        <v>10</v>
      </c>
      <c r="J233" s="42">
        <f t="shared" si="37"/>
        <v>5</v>
      </c>
      <c r="K233" s="15">
        <v>3283854</v>
      </c>
    </row>
    <row r="234" spans="1:11">
      <c r="A234" s="42">
        <v>233</v>
      </c>
      <c r="B234" s="15">
        <v>293700</v>
      </c>
      <c r="C234" s="42">
        <f t="shared" si="31"/>
        <v>2.9370000000000003</v>
      </c>
      <c r="D234" s="42">
        <f t="shared" si="32"/>
        <v>313.71066666666661</v>
      </c>
      <c r="E234" s="42">
        <f t="shared" si="33"/>
        <v>58.74</v>
      </c>
      <c r="F234" s="42">
        <f t="shared" si="34"/>
        <v>29.37</v>
      </c>
      <c r="G234" s="42">
        <f t="shared" si="35"/>
        <v>14.685</v>
      </c>
      <c r="H234" s="42">
        <v>20</v>
      </c>
      <c r="I234" s="42">
        <f t="shared" si="36"/>
        <v>10</v>
      </c>
      <c r="J234" s="42">
        <f t="shared" si="37"/>
        <v>5</v>
      </c>
      <c r="K234" s="15">
        <v>3314325</v>
      </c>
    </row>
    <row r="235" spans="1:11">
      <c r="A235" s="42">
        <v>234</v>
      </c>
      <c r="B235" s="15">
        <v>295100</v>
      </c>
      <c r="C235" s="42">
        <f t="shared" si="31"/>
        <v>2.9510000000000001</v>
      </c>
      <c r="D235" s="42">
        <f t="shared" si="32"/>
        <v>316.66166666666663</v>
      </c>
      <c r="E235" s="42">
        <f t="shared" si="33"/>
        <v>59.02</v>
      </c>
      <c r="F235" s="42">
        <f t="shared" si="34"/>
        <v>29.51</v>
      </c>
      <c r="G235" s="42">
        <f t="shared" si="35"/>
        <v>14.755000000000001</v>
      </c>
      <c r="H235" s="42">
        <v>20</v>
      </c>
      <c r="I235" s="42">
        <f t="shared" si="36"/>
        <v>10</v>
      </c>
      <c r="J235" s="42">
        <f t="shared" si="37"/>
        <v>5</v>
      </c>
      <c r="K235" s="15">
        <v>3344941</v>
      </c>
    </row>
    <row r="236" spans="1:11">
      <c r="A236" s="42">
        <v>235</v>
      </c>
      <c r="B236" s="15">
        <v>296400</v>
      </c>
      <c r="C236" s="42">
        <f t="shared" si="31"/>
        <v>2.964</v>
      </c>
      <c r="D236" s="42">
        <f t="shared" si="32"/>
        <v>319.62566666666663</v>
      </c>
      <c r="E236" s="42">
        <f t="shared" si="33"/>
        <v>59.28</v>
      </c>
      <c r="F236" s="42">
        <f t="shared" si="34"/>
        <v>29.64</v>
      </c>
      <c r="G236" s="42">
        <f t="shared" si="35"/>
        <v>14.82</v>
      </c>
      <c r="H236" s="42">
        <v>20</v>
      </c>
      <c r="I236" s="42">
        <f t="shared" si="36"/>
        <v>10</v>
      </c>
      <c r="J236" s="42">
        <f t="shared" si="37"/>
        <v>5</v>
      </c>
      <c r="K236" s="15">
        <v>3375702</v>
      </c>
    </row>
    <row r="237" spans="1:11">
      <c r="A237" s="42">
        <v>236</v>
      </c>
      <c r="B237" s="15">
        <v>297800</v>
      </c>
      <c r="C237" s="42">
        <f t="shared" si="31"/>
        <v>2.9780000000000002</v>
      </c>
      <c r="D237" s="42">
        <f t="shared" si="32"/>
        <v>322.60366666666664</v>
      </c>
      <c r="E237" s="42">
        <f t="shared" si="33"/>
        <v>59.56</v>
      </c>
      <c r="F237" s="42">
        <f t="shared" si="34"/>
        <v>29.78</v>
      </c>
      <c r="G237" s="42">
        <f t="shared" si="35"/>
        <v>14.89</v>
      </c>
      <c r="H237" s="42">
        <v>20</v>
      </c>
      <c r="I237" s="42">
        <f t="shared" si="36"/>
        <v>10</v>
      </c>
      <c r="J237" s="42">
        <f t="shared" si="37"/>
        <v>5</v>
      </c>
      <c r="K237" s="15">
        <v>3406608</v>
      </c>
    </row>
    <row r="238" spans="1:11">
      <c r="A238" s="42">
        <v>237</v>
      </c>
      <c r="B238" s="15">
        <v>299200</v>
      </c>
      <c r="C238" s="42">
        <f t="shared" si="31"/>
        <v>2.992</v>
      </c>
      <c r="D238" s="42">
        <f t="shared" si="32"/>
        <v>325.59566666666666</v>
      </c>
      <c r="E238" s="42">
        <f t="shared" si="33"/>
        <v>59.84</v>
      </c>
      <c r="F238" s="42">
        <f t="shared" si="34"/>
        <v>29.92</v>
      </c>
      <c r="G238" s="42">
        <f t="shared" si="35"/>
        <v>14.96</v>
      </c>
      <c r="H238" s="42">
        <v>20</v>
      </c>
      <c r="I238" s="42">
        <f t="shared" si="36"/>
        <v>10</v>
      </c>
      <c r="J238" s="42">
        <f t="shared" si="37"/>
        <v>5</v>
      </c>
      <c r="K238" s="15">
        <v>3437660</v>
      </c>
    </row>
    <row r="239" spans="1:11">
      <c r="A239" s="42">
        <v>238</v>
      </c>
      <c r="B239" s="15">
        <v>300600</v>
      </c>
      <c r="C239" s="42">
        <f t="shared" si="31"/>
        <v>3.0059999999999998</v>
      </c>
      <c r="D239" s="42">
        <f t="shared" si="32"/>
        <v>328.60166666666663</v>
      </c>
      <c r="E239" s="42">
        <f t="shared" si="33"/>
        <v>60.12</v>
      </c>
      <c r="F239" s="42">
        <f t="shared" si="34"/>
        <v>30.06</v>
      </c>
      <c r="G239" s="42">
        <f t="shared" si="35"/>
        <v>15.03</v>
      </c>
      <c r="H239" s="42">
        <v>20</v>
      </c>
      <c r="I239" s="42">
        <f t="shared" si="36"/>
        <v>10</v>
      </c>
      <c r="J239" s="42">
        <f t="shared" si="37"/>
        <v>5</v>
      </c>
      <c r="K239" s="15">
        <v>3468857</v>
      </c>
    </row>
    <row r="240" spans="1:11">
      <c r="A240" s="42">
        <v>239</v>
      </c>
      <c r="B240" s="15">
        <v>302000</v>
      </c>
      <c r="C240" s="42">
        <f t="shared" si="31"/>
        <v>3.02</v>
      </c>
      <c r="D240" s="42">
        <f t="shared" si="32"/>
        <v>331.62166666666661</v>
      </c>
      <c r="E240" s="42">
        <f t="shared" si="33"/>
        <v>60.4</v>
      </c>
      <c r="F240" s="42">
        <f t="shared" si="34"/>
        <v>30.2</v>
      </c>
      <c r="G240" s="42">
        <f t="shared" si="35"/>
        <v>15.1</v>
      </c>
      <c r="H240" s="42">
        <v>20</v>
      </c>
      <c r="I240" s="42">
        <f t="shared" si="36"/>
        <v>10</v>
      </c>
      <c r="J240" s="42">
        <f t="shared" si="37"/>
        <v>5</v>
      </c>
      <c r="K240" s="15">
        <v>3500199</v>
      </c>
    </row>
    <row r="241" spans="1:11">
      <c r="A241" s="42">
        <v>240</v>
      </c>
      <c r="B241" s="15">
        <v>303400</v>
      </c>
      <c r="C241" s="42">
        <f t="shared" si="31"/>
        <v>3.0339999999999998</v>
      </c>
      <c r="D241" s="42">
        <f t="shared" si="32"/>
        <v>334.6556666666666</v>
      </c>
      <c r="E241" s="42">
        <f t="shared" si="33"/>
        <v>60.68</v>
      </c>
      <c r="F241" s="42">
        <f t="shared" si="34"/>
        <v>30.34</v>
      </c>
      <c r="G241" s="42">
        <f t="shared" si="35"/>
        <v>15.17</v>
      </c>
      <c r="H241" s="42">
        <v>20</v>
      </c>
      <c r="I241" s="42">
        <f t="shared" si="36"/>
        <v>10</v>
      </c>
      <c r="J241" s="42">
        <f t="shared" si="37"/>
        <v>5</v>
      </c>
      <c r="K241" s="15">
        <v>3531687</v>
      </c>
    </row>
    <row r="242" spans="1:11">
      <c r="A242" s="42">
        <v>241</v>
      </c>
      <c r="B242" s="15">
        <v>304800</v>
      </c>
      <c r="C242" s="42">
        <f t="shared" si="31"/>
        <v>3.048</v>
      </c>
      <c r="D242" s="42">
        <f t="shared" si="32"/>
        <v>337.70366666666661</v>
      </c>
      <c r="E242" s="42">
        <f t="shared" si="33"/>
        <v>60.96</v>
      </c>
      <c r="F242" s="42">
        <f t="shared" si="34"/>
        <v>30.48</v>
      </c>
      <c r="G242" s="42">
        <f t="shared" si="35"/>
        <v>15.24</v>
      </c>
      <c r="H242" s="42">
        <v>20</v>
      </c>
      <c r="I242" s="42">
        <f t="shared" si="36"/>
        <v>10</v>
      </c>
      <c r="J242" s="42">
        <f t="shared" si="37"/>
        <v>5</v>
      </c>
      <c r="K242" s="15">
        <v>3563320</v>
      </c>
    </row>
    <row r="243" spans="1:11">
      <c r="A243" s="42">
        <v>242</v>
      </c>
      <c r="B243" s="15">
        <v>306200</v>
      </c>
      <c r="C243" s="42">
        <f t="shared" si="31"/>
        <v>3.0620000000000003</v>
      </c>
      <c r="D243" s="42">
        <f t="shared" si="32"/>
        <v>340.76566666666662</v>
      </c>
      <c r="E243" s="42">
        <f t="shared" si="33"/>
        <v>61.24</v>
      </c>
      <c r="F243" s="42">
        <f t="shared" si="34"/>
        <v>30.62</v>
      </c>
      <c r="G243" s="42">
        <f t="shared" si="35"/>
        <v>15.31</v>
      </c>
      <c r="H243" s="42">
        <v>20</v>
      </c>
      <c r="I243" s="42">
        <f t="shared" si="36"/>
        <v>10</v>
      </c>
      <c r="J243" s="42">
        <f t="shared" si="37"/>
        <v>5</v>
      </c>
      <c r="K243" s="15">
        <v>3595098</v>
      </c>
    </row>
    <row r="244" spans="1:11">
      <c r="A244" s="42">
        <v>243</v>
      </c>
      <c r="B244" s="15">
        <v>307600</v>
      </c>
      <c r="C244" s="42">
        <f t="shared" si="31"/>
        <v>3.0760000000000001</v>
      </c>
      <c r="D244" s="42">
        <f t="shared" si="32"/>
        <v>343.84166666666664</v>
      </c>
      <c r="E244" s="42">
        <f t="shared" si="33"/>
        <v>61.52</v>
      </c>
      <c r="F244" s="42">
        <f t="shared" si="34"/>
        <v>30.76</v>
      </c>
      <c r="G244" s="42">
        <f t="shared" si="35"/>
        <v>15.38</v>
      </c>
      <c r="H244" s="42">
        <v>20</v>
      </c>
      <c r="I244" s="42">
        <f t="shared" si="36"/>
        <v>10</v>
      </c>
      <c r="J244" s="42">
        <f t="shared" si="37"/>
        <v>5</v>
      </c>
      <c r="K244" s="15">
        <v>3627022</v>
      </c>
    </row>
    <row r="245" spans="1:11">
      <c r="A245" s="42">
        <v>244</v>
      </c>
      <c r="B245" s="15">
        <v>309000</v>
      </c>
      <c r="C245" s="42">
        <f t="shared" si="31"/>
        <v>3.09</v>
      </c>
      <c r="D245" s="42">
        <f t="shared" si="32"/>
        <v>346.93166666666662</v>
      </c>
      <c r="E245" s="42">
        <f t="shared" si="33"/>
        <v>61.8</v>
      </c>
      <c r="F245" s="42">
        <f t="shared" si="34"/>
        <v>30.9</v>
      </c>
      <c r="G245" s="42">
        <f t="shared" si="35"/>
        <v>15.45</v>
      </c>
      <c r="H245" s="42">
        <v>20</v>
      </c>
      <c r="I245" s="42">
        <f t="shared" si="36"/>
        <v>10</v>
      </c>
      <c r="J245" s="42">
        <f t="shared" si="37"/>
        <v>5</v>
      </c>
      <c r="K245" s="15">
        <v>3659092</v>
      </c>
    </row>
    <row r="246" spans="1:11">
      <c r="A246" s="42">
        <v>245</v>
      </c>
      <c r="B246" s="15">
        <v>310400</v>
      </c>
      <c r="C246" s="42">
        <f t="shared" si="31"/>
        <v>3.1040000000000001</v>
      </c>
      <c r="D246" s="42">
        <f t="shared" si="32"/>
        <v>350.0356666666666</v>
      </c>
      <c r="E246" s="42">
        <f t="shared" si="33"/>
        <v>62.08</v>
      </c>
      <c r="F246" s="42">
        <f t="shared" si="34"/>
        <v>31.04</v>
      </c>
      <c r="G246" s="42">
        <f t="shared" si="35"/>
        <v>15.52</v>
      </c>
      <c r="H246" s="42">
        <v>20</v>
      </c>
      <c r="I246" s="42">
        <f t="shared" si="36"/>
        <v>10</v>
      </c>
      <c r="J246" s="42">
        <f t="shared" si="37"/>
        <v>5</v>
      </c>
      <c r="K246" s="15">
        <v>3691307</v>
      </c>
    </row>
    <row r="247" spans="1:11">
      <c r="A247" s="42">
        <v>246</v>
      </c>
      <c r="B247" s="15">
        <v>311800</v>
      </c>
      <c r="C247" s="42">
        <f t="shared" si="31"/>
        <v>3.1179999999999999</v>
      </c>
      <c r="D247" s="42">
        <f t="shared" si="32"/>
        <v>353.1536666666666</v>
      </c>
      <c r="E247" s="42">
        <f t="shared" si="33"/>
        <v>62.36</v>
      </c>
      <c r="F247" s="42">
        <f t="shared" si="34"/>
        <v>31.18</v>
      </c>
      <c r="G247" s="42">
        <f t="shared" si="35"/>
        <v>15.59</v>
      </c>
      <c r="H247" s="42">
        <v>20</v>
      </c>
      <c r="I247" s="42">
        <f t="shared" si="36"/>
        <v>10</v>
      </c>
      <c r="J247" s="42">
        <f t="shared" si="37"/>
        <v>5</v>
      </c>
      <c r="K247" s="15">
        <v>3723667</v>
      </c>
    </row>
    <row r="248" spans="1:11">
      <c r="A248" s="42">
        <v>247</v>
      </c>
      <c r="B248" s="15">
        <v>313200</v>
      </c>
      <c r="C248" s="42">
        <f t="shared" si="31"/>
        <v>3.1320000000000001</v>
      </c>
      <c r="D248" s="42">
        <f t="shared" si="32"/>
        <v>356.2856666666666</v>
      </c>
      <c r="E248" s="42">
        <f t="shared" si="33"/>
        <v>62.64</v>
      </c>
      <c r="F248" s="42">
        <f t="shared" si="34"/>
        <v>31.32</v>
      </c>
      <c r="G248" s="42">
        <f t="shared" si="35"/>
        <v>15.66</v>
      </c>
      <c r="H248" s="42">
        <v>20</v>
      </c>
      <c r="I248" s="42">
        <f t="shared" si="36"/>
        <v>10</v>
      </c>
      <c r="J248" s="42">
        <f t="shared" si="37"/>
        <v>5</v>
      </c>
      <c r="K248" s="15">
        <v>3756173</v>
      </c>
    </row>
    <row r="249" spans="1:11">
      <c r="A249" s="42">
        <v>248</v>
      </c>
      <c r="B249" s="15">
        <v>314600</v>
      </c>
      <c r="C249" s="42">
        <f t="shared" si="31"/>
        <v>3.1459999999999999</v>
      </c>
      <c r="D249" s="42">
        <f t="shared" si="32"/>
        <v>359.43166666666662</v>
      </c>
      <c r="E249" s="42">
        <f t="shared" si="33"/>
        <v>62.92</v>
      </c>
      <c r="F249" s="42">
        <f t="shared" si="34"/>
        <v>31.46</v>
      </c>
      <c r="G249" s="42">
        <f t="shared" si="35"/>
        <v>15.73</v>
      </c>
      <c r="H249" s="42">
        <v>20</v>
      </c>
      <c r="I249" s="42">
        <f t="shared" si="36"/>
        <v>10</v>
      </c>
      <c r="J249" s="42">
        <f t="shared" si="37"/>
        <v>5</v>
      </c>
      <c r="K249" s="15">
        <v>3788825</v>
      </c>
    </row>
    <row r="250" spans="1:11">
      <c r="A250" s="42">
        <v>249</v>
      </c>
      <c r="B250" s="15">
        <v>316000</v>
      </c>
      <c r="C250" s="42">
        <f t="shared" si="31"/>
        <v>3.16</v>
      </c>
      <c r="D250" s="42">
        <f t="shared" si="32"/>
        <v>362.59166666666664</v>
      </c>
      <c r="E250" s="42">
        <f t="shared" si="33"/>
        <v>63.2</v>
      </c>
      <c r="F250" s="42">
        <f t="shared" si="34"/>
        <v>31.6</v>
      </c>
      <c r="G250" s="42">
        <f t="shared" si="35"/>
        <v>15.8</v>
      </c>
      <c r="H250" s="42">
        <v>20</v>
      </c>
      <c r="I250" s="42">
        <f t="shared" si="36"/>
        <v>10</v>
      </c>
      <c r="J250" s="42">
        <f t="shared" si="37"/>
        <v>5</v>
      </c>
      <c r="K250" s="15">
        <v>3821622</v>
      </c>
    </row>
    <row r="251" spans="1:11">
      <c r="A251" s="42">
        <v>250</v>
      </c>
      <c r="B251" s="15">
        <v>317400</v>
      </c>
      <c r="C251" s="42">
        <f t="shared" si="31"/>
        <v>3.1739999999999999</v>
      </c>
      <c r="D251" s="42">
        <f t="shared" si="32"/>
        <v>365.76566666666662</v>
      </c>
      <c r="E251" s="42">
        <f t="shared" si="33"/>
        <v>63.48</v>
      </c>
      <c r="F251" s="42">
        <f t="shared" si="34"/>
        <v>31.74</v>
      </c>
      <c r="G251" s="42">
        <f t="shared" si="35"/>
        <v>15.87</v>
      </c>
      <c r="H251" s="42">
        <v>20</v>
      </c>
      <c r="I251" s="42">
        <f t="shared" si="36"/>
        <v>10</v>
      </c>
      <c r="J251" s="42">
        <f t="shared" si="37"/>
        <v>5</v>
      </c>
      <c r="K251" s="15">
        <v>3854566</v>
      </c>
    </row>
    <row r="252" spans="1:11">
      <c r="A252" s="42">
        <v>251</v>
      </c>
      <c r="B252" s="15">
        <v>318800</v>
      </c>
      <c r="C252" s="42">
        <f t="shared" si="31"/>
        <v>3.1879999999999997</v>
      </c>
      <c r="D252" s="42">
        <f t="shared" si="32"/>
        <v>368.95366666666661</v>
      </c>
      <c r="E252" s="42">
        <f t="shared" si="33"/>
        <v>63.76</v>
      </c>
      <c r="F252" s="42">
        <f t="shared" si="34"/>
        <v>31.88</v>
      </c>
      <c r="G252" s="42">
        <f t="shared" si="35"/>
        <v>15.94</v>
      </c>
      <c r="H252" s="42">
        <v>20</v>
      </c>
      <c r="I252" s="42">
        <f t="shared" si="36"/>
        <v>10</v>
      </c>
      <c r="J252" s="42">
        <f t="shared" si="37"/>
        <v>5</v>
      </c>
      <c r="K252" s="15">
        <v>3887654</v>
      </c>
    </row>
    <row r="253" spans="1:11">
      <c r="A253" s="42">
        <v>252</v>
      </c>
      <c r="B253" s="15">
        <v>320200</v>
      </c>
      <c r="C253" s="42">
        <f t="shared" si="31"/>
        <v>3.2020000000000004</v>
      </c>
      <c r="D253" s="42">
        <f t="shared" si="32"/>
        <v>372.1556666666666</v>
      </c>
      <c r="E253" s="42">
        <f t="shared" si="33"/>
        <v>64.040000000000006</v>
      </c>
      <c r="F253" s="42">
        <f t="shared" si="34"/>
        <v>32.020000000000003</v>
      </c>
      <c r="G253" s="42">
        <f t="shared" si="35"/>
        <v>16.010000000000002</v>
      </c>
      <c r="H253" s="42">
        <v>20</v>
      </c>
      <c r="I253" s="42">
        <f t="shared" si="36"/>
        <v>10</v>
      </c>
      <c r="J253" s="42">
        <f t="shared" si="37"/>
        <v>5</v>
      </c>
      <c r="K253" s="15">
        <v>3920889</v>
      </c>
    </row>
    <row r="254" spans="1:11">
      <c r="A254" s="42">
        <v>253</v>
      </c>
      <c r="B254" s="15">
        <v>321600</v>
      </c>
      <c r="C254" s="42">
        <f t="shared" si="31"/>
        <v>3.2159999999999997</v>
      </c>
      <c r="D254" s="42">
        <f t="shared" si="32"/>
        <v>375.37166666666661</v>
      </c>
      <c r="E254" s="42">
        <f t="shared" si="33"/>
        <v>64.319999999999993</v>
      </c>
      <c r="F254" s="42">
        <f t="shared" si="34"/>
        <v>32.159999999999997</v>
      </c>
      <c r="G254" s="42">
        <f t="shared" si="35"/>
        <v>16.079999999999998</v>
      </c>
      <c r="H254" s="42">
        <v>20</v>
      </c>
      <c r="I254" s="42">
        <f t="shared" si="36"/>
        <v>10</v>
      </c>
      <c r="J254" s="42">
        <f t="shared" si="37"/>
        <v>5</v>
      </c>
      <c r="K254" s="15">
        <v>3954270</v>
      </c>
    </row>
    <row r="255" spans="1:11">
      <c r="A255" s="42">
        <v>254</v>
      </c>
      <c r="B255" s="15">
        <v>323000</v>
      </c>
      <c r="C255" s="42">
        <f t="shared" si="31"/>
        <v>3.2299999999999995</v>
      </c>
      <c r="D255" s="42">
        <f t="shared" si="32"/>
        <v>378.60166666666663</v>
      </c>
      <c r="E255" s="42">
        <f t="shared" si="33"/>
        <v>64.599999999999994</v>
      </c>
      <c r="F255" s="42">
        <f t="shared" si="34"/>
        <v>32.299999999999997</v>
      </c>
      <c r="G255" s="42">
        <f t="shared" si="35"/>
        <v>16.149999999999999</v>
      </c>
      <c r="H255" s="42">
        <v>20</v>
      </c>
      <c r="I255" s="42">
        <f t="shared" si="36"/>
        <v>10</v>
      </c>
      <c r="J255" s="42">
        <f t="shared" si="37"/>
        <v>5</v>
      </c>
      <c r="K255" s="15">
        <v>3987796</v>
      </c>
    </row>
    <row r="256" spans="1:11">
      <c r="A256" s="42">
        <v>255</v>
      </c>
      <c r="B256" s="15">
        <v>324400</v>
      </c>
      <c r="C256" s="42">
        <f t="shared" si="31"/>
        <v>3.2439999999999998</v>
      </c>
      <c r="D256" s="42">
        <f t="shared" si="32"/>
        <v>381.8456666666666</v>
      </c>
      <c r="E256" s="42">
        <f t="shared" si="33"/>
        <v>64.88</v>
      </c>
      <c r="F256" s="42">
        <f t="shared" si="34"/>
        <v>32.44</v>
      </c>
      <c r="G256" s="42">
        <f t="shared" si="35"/>
        <v>16.22</v>
      </c>
      <c r="H256" s="42">
        <v>20</v>
      </c>
      <c r="I256" s="42">
        <f t="shared" si="36"/>
        <v>10</v>
      </c>
      <c r="J256" s="42">
        <f t="shared" si="37"/>
        <v>5</v>
      </c>
      <c r="K256" s="15">
        <v>4021468</v>
      </c>
    </row>
    <row r="257" spans="1:11">
      <c r="A257" s="42">
        <v>256</v>
      </c>
      <c r="B257" s="15">
        <v>325800</v>
      </c>
      <c r="C257" s="42">
        <f t="shared" si="31"/>
        <v>3.258</v>
      </c>
      <c r="D257" s="42">
        <f t="shared" si="32"/>
        <v>385.10366666666658</v>
      </c>
      <c r="E257" s="42">
        <f t="shared" si="33"/>
        <v>65.16</v>
      </c>
      <c r="F257" s="42">
        <f t="shared" si="34"/>
        <v>32.58</v>
      </c>
      <c r="G257" s="42">
        <f t="shared" si="35"/>
        <v>16.29</v>
      </c>
      <c r="H257" s="42">
        <v>20</v>
      </c>
      <c r="I257" s="42">
        <f t="shared" si="36"/>
        <v>10</v>
      </c>
      <c r="J257" s="42">
        <f t="shared" si="37"/>
        <v>5</v>
      </c>
      <c r="K257" s="15">
        <v>4055286</v>
      </c>
    </row>
    <row r="258" spans="1:11">
      <c r="A258" s="42">
        <v>257</v>
      </c>
      <c r="B258" s="15">
        <v>327200</v>
      </c>
      <c r="C258" s="42">
        <f t="shared" si="31"/>
        <v>3.2719999999999998</v>
      </c>
      <c r="D258" s="42">
        <f t="shared" si="32"/>
        <v>388.37566666666658</v>
      </c>
      <c r="E258" s="42">
        <f t="shared" si="33"/>
        <v>65.44</v>
      </c>
      <c r="F258" s="42">
        <f t="shared" si="34"/>
        <v>32.72</v>
      </c>
      <c r="G258" s="42">
        <f t="shared" si="35"/>
        <v>16.36</v>
      </c>
      <c r="H258" s="42">
        <v>20</v>
      </c>
      <c r="I258" s="42">
        <f t="shared" si="36"/>
        <v>10</v>
      </c>
      <c r="J258" s="42">
        <f t="shared" si="37"/>
        <v>5</v>
      </c>
      <c r="K258" s="15">
        <v>4089251</v>
      </c>
    </row>
    <row r="259" spans="1:11">
      <c r="A259" s="42">
        <v>258</v>
      </c>
      <c r="B259" s="15">
        <v>328600</v>
      </c>
      <c r="C259" s="42">
        <f t="shared" si="31"/>
        <v>3.286</v>
      </c>
      <c r="D259" s="42">
        <f t="shared" si="32"/>
        <v>391.66166666666658</v>
      </c>
      <c r="E259" s="42">
        <f t="shared" si="33"/>
        <v>65.72</v>
      </c>
      <c r="F259" s="42">
        <f t="shared" si="34"/>
        <v>32.86</v>
      </c>
      <c r="G259" s="42">
        <f t="shared" si="35"/>
        <v>16.43</v>
      </c>
      <c r="H259" s="42">
        <v>20</v>
      </c>
      <c r="I259" s="42">
        <f t="shared" si="36"/>
        <v>10</v>
      </c>
      <c r="J259" s="42">
        <f t="shared" si="37"/>
        <v>5</v>
      </c>
      <c r="K259" s="15">
        <v>4123361</v>
      </c>
    </row>
    <row r="260" spans="1:11">
      <c r="A260" s="42">
        <v>259</v>
      </c>
      <c r="B260" s="15">
        <v>330000</v>
      </c>
      <c r="C260" s="42">
        <f t="shared" si="31"/>
        <v>3.3</v>
      </c>
      <c r="D260" s="42">
        <f t="shared" si="32"/>
        <v>394.96166666666659</v>
      </c>
      <c r="E260" s="42">
        <f t="shared" si="33"/>
        <v>66</v>
      </c>
      <c r="F260" s="42">
        <f t="shared" si="34"/>
        <v>33</v>
      </c>
      <c r="G260" s="42">
        <f t="shared" si="35"/>
        <v>16.5</v>
      </c>
      <c r="H260" s="42">
        <v>20</v>
      </c>
      <c r="I260" s="42">
        <f t="shared" si="36"/>
        <v>10</v>
      </c>
      <c r="J260" s="42">
        <f t="shared" si="37"/>
        <v>5</v>
      </c>
      <c r="K260" s="15">
        <v>4157617</v>
      </c>
    </row>
    <row r="261" spans="1:11">
      <c r="A261" s="42">
        <v>260</v>
      </c>
      <c r="B261" s="15">
        <v>331400</v>
      </c>
      <c r="C261" s="42">
        <f t="shared" si="31"/>
        <v>3.3140000000000001</v>
      </c>
      <c r="D261" s="42">
        <f t="shared" si="32"/>
        <v>398.27566666666661</v>
      </c>
      <c r="E261" s="42">
        <f t="shared" si="33"/>
        <v>66.28</v>
      </c>
      <c r="F261" s="42">
        <f t="shared" si="34"/>
        <v>33.14</v>
      </c>
      <c r="G261" s="42">
        <f t="shared" si="35"/>
        <v>16.57</v>
      </c>
      <c r="H261" s="42">
        <v>20</v>
      </c>
      <c r="I261" s="42">
        <f t="shared" si="36"/>
        <v>10</v>
      </c>
      <c r="J261" s="42">
        <f t="shared" si="37"/>
        <v>5</v>
      </c>
      <c r="K261" s="15">
        <v>4192019</v>
      </c>
    </row>
    <row r="262" spans="1:11">
      <c r="A262" s="42">
        <v>261</v>
      </c>
      <c r="B262" s="15">
        <v>332800</v>
      </c>
      <c r="C262" s="42">
        <f t="shared" si="31"/>
        <v>3.3280000000000003</v>
      </c>
      <c r="D262" s="42">
        <f t="shared" si="32"/>
        <v>401.60366666666658</v>
      </c>
      <c r="E262" s="42">
        <f t="shared" si="33"/>
        <v>66.56</v>
      </c>
      <c r="F262" s="42">
        <f t="shared" si="34"/>
        <v>33.28</v>
      </c>
      <c r="G262" s="42">
        <f t="shared" si="35"/>
        <v>16.64</v>
      </c>
      <c r="H262" s="42">
        <v>20</v>
      </c>
      <c r="I262" s="42">
        <f t="shared" si="36"/>
        <v>10</v>
      </c>
      <c r="J262" s="42">
        <f t="shared" si="37"/>
        <v>5</v>
      </c>
      <c r="K262" s="15">
        <v>4226568</v>
      </c>
    </row>
    <row r="263" spans="1:11">
      <c r="A263" s="42">
        <v>262</v>
      </c>
      <c r="B263" s="15">
        <v>334200</v>
      </c>
      <c r="C263" s="42">
        <f t="shared" si="31"/>
        <v>3.3420000000000001</v>
      </c>
      <c r="D263" s="42">
        <f t="shared" si="32"/>
        <v>404.94566666666657</v>
      </c>
      <c r="E263" s="42">
        <f t="shared" si="33"/>
        <v>66.84</v>
      </c>
      <c r="F263" s="42">
        <f t="shared" si="34"/>
        <v>33.42</v>
      </c>
      <c r="G263" s="42">
        <f t="shared" si="35"/>
        <v>16.71</v>
      </c>
      <c r="H263" s="42">
        <v>20</v>
      </c>
      <c r="I263" s="42">
        <f t="shared" si="36"/>
        <v>10</v>
      </c>
      <c r="J263" s="42">
        <f t="shared" si="37"/>
        <v>5</v>
      </c>
      <c r="K263" s="15">
        <v>4261262</v>
      </c>
    </row>
    <row r="264" spans="1:11">
      <c r="A264" s="42">
        <v>263</v>
      </c>
      <c r="B264" s="15">
        <v>335600</v>
      </c>
      <c r="C264" s="42">
        <f t="shared" si="31"/>
        <v>3.3560000000000003</v>
      </c>
      <c r="D264" s="42">
        <f t="shared" si="32"/>
        <v>408.30166666666656</v>
      </c>
      <c r="E264" s="42">
        <f t="shared" si="33"/>
        <v>67.12</v>
      </c>
      <c r="F264" s="42">
        <f t="shared" si="34"/>
        <v>33.56</v>
      </c>
      <c r="G264" s="42">
        <f t="shared" si="35"/>
        <v>16.78</v>
      </c>
      <c r="H264" s="42">
        <v>20</v>
      </c>
      <c r="I264" s="42">
        <f t="shared" si="36"/>
        <v>10</v>
      </c>
      <c r="J264" s="42">
        <f t="shared" si="37"/>
        <v>5</v>
      </c>
      <c r="K264" s="15">
        <v>4296103</v>
      </c>
    </row>
    <row r="265" spans="1:11">
      <c r="A265" s="42">
        <v>264</v>
      </c>
      <c r="B265" s="15">
        <v>337000</v>
      </c>
      <c r="C265" s="42">
        <f t="shared" si="31"/>
        <v>3.37</v>
      </c>
      <c r="D265" s="42">
        <f t="shared" si="32"/>
        <v>411.67166666666657</v>
      </c>
      <c r="E265" s="42">
        <f t="shared" si="33"/>
        <v>67.400000000000006</v>
      </c>
      <c r="F265" s="42">
        <f t="shared" si="34"/>
        <v>33.700000000000003</v>
      </c>
      <c r="G265" s="42">
        <f t="shared" si="35"/>
        <v>16.850000000000001</v>
      </c>
      <c r="H265" s="42">
        <v>20</v>
      </c>
      <c r="I265" s="42">
        <f t="shared" si="36"/>
        <v>10</v>
      </c>
      <c r="J265" s="42">
        <f t="shared" si="37"/>
        <v>5</v>
      </c>
      <c r="K265" s="15">
        <v>4331090</v>
      </c>
    </row>
    <row r="266" spans="1:11">
      <c r="A266" s="42">
        <v>265</v>
      </c>
      <c r="B266" s="15">
        <v>338400</v>
      </c>
      <c r="C266" s="42">
        <f t="shared" si="31"/>
        <v>3.3840000000000003</v>
      </c>
      <c r="D266" s="42">
        <f t="shared" si="32"/>
        <v>415.05566666666658</v>
      </c>
      <c r="E266" s="42">
        <f t="shared" si="33"/>
        <v>67.680000000000007</v>
      </c>
      <c r="F266" s="42">
        <f t="shared" si="34"/>
        <v>33.840000000000003</v>
      </c>
      <c r="G266" s="42">
        <f t="shared" si="35"/>
        <v>16.920000000000002</v>
      </c>
      <c r="H266" s="42">
        <v>20</v>
      </c>
      <c r="I266" s="42">
        <f t="shared" si="36"/>
        <v>10</v>
      </c>
      <c r="J266" s="42">
        <f t="shared" si="37"/>
        <v>5</v>
      </c>
      <c r="K266" s="15">
        <v>4366223</v>
      </c>
    </row>
    <row r="267" spans="1:11">
      <c r="A267" s="42">
        <v>266</v>
      </c>
      <c r="B267" s="15">
        <v>339900</v>
      </c>
      <c r="C267" s="42">
        <f t="shared" si="31"/>
        <v>3.399</v>
      </c>
      <c r="D267" s="42">
        <f t="shared" si="32"/>
        <v>418.45466666666658</v>
      </c>
      <c r="E267" s="42">
        <f t="shared" si="33"/>
        <v>67.98</v>
      </c>
      <c r="F267" s="42">
        <f t="shared" si="34"/>
        <v>33.99</v>
      </c>
      <c r="G267" s="42">
        <f t="shared" si="35"/>
        <v>16.995000000000001</v>
      </c>
      <c r="H267" s="42">
        <v>20</v>
      </c>
      <c r="I267" s="42">
        <f t="shared" si="36"/>
        <v>10</v>
      </c>
      <c r="J267" s="42">
        <f t="shared" si="37"/>
        <v>5</v>
      </c>
      <c r="K267" s="15">
        <v>4401503</v>
      </c>
    </row>
    <row r="268" spans="1:11">
      <c r="A268" s="42">
        <v>267</v>
      </c>
      <c r="B268" s="15">
        <v>341300</v>
      </c>
      <c r="C268" s="42">
        <f t="shared" si="31"/>
        <v>3.4130000000000003</v>
      </c>
      <c r="D268" s="42">
        <f t="shared" si="32"/>
        <v>421.86766666666659</v>
      </c>
      <c r="E268" s="42">
        <f t="shared" si="33"/>
        <v>68.260000000000005</v>
      </c>
      <c r="F268" s="42">
        <f t="shared" si="34"/>
        <v>34.130000000000003</v>
      </c>
      <c r="G268" s="42">
        <f t="shared" si="35"/>
        <v>17.065000000000001</v>
      </c>
      <c r="H268" s="42">
        <v>20</v>
      </c>
      <c r="I268" s="42">
        <f t="shared" si="36"/>
        <v>10</v>
      </c>
      <c r="J268" s="42">
        <f t="shared" si="37"/>
        <v>5</v>
      </c>
      <c r="K268" s="15">
        <v>4436928</v>
      </c>
    </row>
    <row r="269" spans="1:11">
      <c r="A269" s="42">
        <v>268</v>
      </c>
      <c r="B269" s="15">
        <v>342700</v>
      </c>
      <c r="C269" s="42">
        <f t="shared" si="31"/>
        <v>3.4270000000000005</v>
      </c>
      <c r="D269" s="42">
        <f t="shared" si="32"/>
        <v>425.29466666666661</v>
      </c>
      <c r="E269" s="42">
        <f t="shared" si="33"/>
        <v>68.540000000000006</v>
      </c>
      <c r="F269" s="42">
        <f t="shared" si="34"/>
        <v>34.270000000000003</v>
      </c>
      <c r="G269" s="42">
        <f t="shared" si="35"/>
        <v>17.135000000000002</v>
      </c>
      <c r="H269" s="42">
        <v>20</v>
      </c>
      <c r="I269" s="42">
        <f t="shared" si="36"/>
        <v>10</v>
      </c>
      <c r="J269" s="42">
        <f t="shared" si="37"/>
        <v>5</v>
      </c>
      <c r="K269" s="15">
        <v>4472500</v>
      </c>
    </row>
    <row r="270" spans="1:11">
      <c r="A270" s="42">
        <v>269</v>
      </c>
      <c r="B270" s="15">
        <v>344100</v>
      </c>
      <c r="C270" s="42">
        <f t="shared" si="31"/>
        <v>3.4409999999999998</v>
      </c>
      <c r="D270" s="42">
        <f t="shared" si="32"/>
        <v>428.73566666666659</v>
      </c>
      <c r="E270" s="42">
        <f t="shared" si="33"/>
        <v>68.819999999999993</v>
      </c>
      <c r="F270" s="42">
        <f t="shared" si="34"/>
        <v>34.409999999999997</v>
      </c>
      <c r="G270" s="42">
        <f t="shared" si="35"/>
        <v>17.204999999999998</v>
      </c>
      <c r="H270" s="42">
        <v>20</v>
      </c>
      <c r="I270" s="42">
        <f t="shared" si="36"/>
        <v>10</v>
      </c>
      <c r="J270" s="42">
        <f t="shared" si="37"/>
        <v>5</v>
      </c>
      <c r="K270" s="15">
        <v>4508219</v>
      </c>
    </row>
    <row r="271" spans="1:11">
      <c r="A271" s="42">
        <v>270</v>
      </c>
      <c r="B271" s="15">
        <v>345500</v>
      </c>
      <c r="C271" s="42">
        <f t="shared" si="31"/>
        <v>3.4549999999999996</v>
      </c>
      <c r="D271" s="42">
        <f t="shared" si="32"/>
        <v>432.19066666666657</v>
      </c>
      <c r="E271" s="42">
        <f t="shared" si="33"/>
        <v>69.099999999999994</v>
      </c>
      <c r="F271" s="42">
        <f t="shared" si="34"/>
        <v>34.549999999999997</v>
      </c>
      <c r="G271" s="42">
        <f t="shared" si="35"/>
        <v>17.274999999999999</v>
      </c>
      <c r="H271" s="42">
        <v>20</v>
      </c>
      <c r="I271" s="42">
        <f t="shared" si="36"/>
        <v>10</v>
      </c>
      <c r="J271" s="42">
        <f t="shared" si="37"/>
        <v>5</v>
      </c>
      <c r="K271" s="15">
        <v>4544084</v>
      </c>
    </row>
    <row r="272" spans="1:11">
      <c r="A272" s="42">
        <v>271</v>
      </c>
      <c r="B272" s="15">
        <v>346900</v>
      </c>
      <c r="C272" s="42">
        <f t="shared" si="31"/>
        <v>3.4689999999999999</v>
      </c>
      <c r="D272" s="42">
        <f t="shared" si="32"/>
        <v>435.65966666666657</v>
      </c>
      <c r="E272" s="42">
        <f t="shared" si="33"/>
        <v>69.38</v>
      </c>
      <c r="F272" s="42">
        <f t="shared" si="34"/>
        <v>34.69</v>
      </c>
      <c r="G272" s="42">
        <f t="shared" si="35"/>
        <v>17.344999999999999</v>
      </c>
      <c r="H272" s="42">
        <v>20</v>
      </c>
      <c r="I272" s="42">
        <f t="shared" si="36"/>
        <v>10</v>
      </c>
      <c r="J272" s="42">
        <f t="shared" si="37"/>
        <v>5</v>
      </c>
      <c r="K272" s="15">
        <v>4580095</v>
      </c>
    </row>
    <row r="273" spans="1:11">
      <c r="A273" s="42">
        <v>272</v>
      </c>
      <c r="B273" s="15">
        <v>348300</v>
      </c>
      <c r="C273" s="42">
        <f t="shared" si="31"/>
        <v>3.4829999999999997</v>
      </c>
      <c r="D273" s="42">
        <f t="shared" si="32"/>
        <v>439.14266666666657</v>
      </c>
      <c r="E273" s="42">
        <f t="shared" si="33"/>
        <v>69.66</v>
      </c>
      <c r="F273" s="42">
        <f t="shared" si="34"/>
        <v>34.83</v>
      </c>
      <c r="G273" s="42">
        <f t="shared" si="35"/>
        <v>17.414999999999999</v>
      </c>
      <c r="H273" s="42">
        <v>20</v>
      </c>
      <c r="I273" s="42">
        <f t="shared" si="36"/>
        <v>10</v>
      </c>
      <c r="J273" s="42">
        <f t="shared" si="37"/>
        <v>5</v>
      </c>
      <c r="K273" s="15">
        <v>4616253</v>
      </c>
    </row>
    <row r="274" spans="1:11">
      <c r="A274" s="42">
        <v>273</v>
      </c>
      <c r="B274" s="15">
        <v>349700</v>
      </c>
      <c r="C274" s="42">
        <f t="shared" si="31"/>
        <v>3.4969999999999999</v>
      </c>
      <c r="D274" s="42">
        <f t="shared" si="32"/>
        <v>442.63966666666659</v>
      </c>
      <c r="E274" s="42">
        <f t="shared" si="33"/>
        <v>69.94</v>
      </c>
      <c r="F274" s="42">
        <f t="shared" si="34"/>
        <v>34.97</v>
      </c>
      <c r="G274" s="42">
        <f t="shared" si="35"/>
        <v>17.484999999999999</v>
      </c>
      <c r="H274" s="42">
        <v>20</v>
      </c>
      <c r="I274" s="42">
        <f t="shared" si="36"/>
        <v>10</v>
      </c>
      <c r="J274" s="42">
        <f t="shared" si="37"/>
        <v>5</v>
      </c>
      <c r="K274" s="15">
        <v>4652558</v>
      </c>
    </row>
    <row r="275" spans="1:11">
      <c r="A275" s="42">
        <v>274</v>
      </c>
      <c r="B275" s="15">
        <v>351200</v>
      </c>
      <c r="C275" s="42">
        <f t="shared" si="31"/>
        <v>3.5119999999999996</v>
      </c>
      <c r="D275" s="42">
        <f t="shared" si="32"/>
        <v>446.15166666666659</v>
      </c>
      <c r="E275" s="42">
        <f t="shared" si="33"/>
        <v>70.239999999999995</v>
      </c>
      <c r="F275" s="42">
        <f t="shared" si="34"/>
        <v>35.119999999999997</v>
      </c>
      <c r="G275" s="42">
        <f t="shared" si="35"/>
        <v>17.559999999999999</v>
      </c>
      <c r="H275" s="42">
        <v>20</v>
      </c>
      <c r="I275" s="42">
        <f t="shared" si="36"/>
        <v>10</v>
      </c>
      <c r="J275" s="42">
        <f t="shared" si="37"/>
        <v>5</v>
      </c>
      <c r="K275" s="15">
        <v>4689009</v>
      </c>
    </row>
    <row r="276" spans="1:11">
      <c r="A276" s="42">
        <v>275</v>
      </c>
      <c r="B276" s="15">
        <v>352600</v>
      </c>
      <c r="C276" s="42">
        <f t="shared" si="31"/>
        <v>3.5259999999999998</v>
      </c>
      <c r="D276" s="42">
        <f t="shared" si="32"/>
        <v>449.6776666666666</v>
      </c>
      <c r="E276" s="42">
        <f t="shared" si="33"/>
        <v>70.52</v>
      </c>
      <c r="F276" s="42">
        <f t="shared" si="34"/>
        <v>35.26</v>
      </c>
      <c r="G276" s="42">
        <f t="shared" si="35"/>
        <v>17.63</v>
      </c>
      <c r="H276" s="42">
        <v>20</v>
      </c>
      <c r="I276" s="42">
        <f t="shared" si="36"/>
        <v>10</v>
      </c>
      <c r="J276" s="42">
        <f t="shared" si="37"/>
        <v>5</v>
      </c>
      <c r="K276" s="15">
        <v>4725606</v>
      </c>
    </row>
    <row r="277" spans="1:11">
      <c r="A277" s="42">
        <v>276</v>
      </c>
      <c r="B277" s="15">
        <v>354000</v>
      </c>
      <c r="C277" s="42">
        <f t="shared" si="31"/>
        <v>3.54</v>
      </c>
      <c r="D277" s="42">
        <f t="shared" si="32"/>
        <v>453.21766666666662</v>
      </c>
      <c r="E277" s="42">
        <f t="shared" si="33"/>
        <v>70.8</v>
      </c>
      <c r="F277" s="42">
        <f t="shared" si="34"/>
        <v>35.4</v>
      </c>
      <c r="G277" s="42">
        <f t="shared" si="35"/>
        <v>17.7</v>
      </c>
      <c r="H277" s="42">
        <v>20</v>
      </c>
      <c r="I277" s="42">
        <f t="shared" si="36"/>
        <v>10</v>
      </c>
      <c r="J277" s="42">
        <f t="shared" si="37"/>
        <v>5</v>
      </c>
      <c r="K277" s="15">
        <v>4762350</v>
      </c>
    </row>
    <row r="278" spans="1:11">
      <c r="A278" s="42">
        <v>277</v>
      </c>
      <c r="B278" s="15">
        <v>355400</v>
      </c>
      <c r="C278" s="42">
        <f t="shared" si="31"/>
        <v>3.5539999999999998</v>
      </c>
      <c r="D278" s="42">
        <f t="shared" si="32"/>
        <v>456.77166666666659</v>
      </c>
      <c r="E278" s="42">
        <f t="shared" si="33"/>
        <v>71.08</v>
      </c>
      <c r="F278" s="42">
        <f t="shared" si="34"/>
        <v>35.54</v>
      </c>
      <c r="G278" s="42">
        <f t="shared" si="35"/>
        <v>17.77</v>
      </c>
      <c r="H278" s="42">
        <v>20</v>
      </c>
      <c r="I278" s="42">
        <f t="shared" si="36"/>
        <v>10</v>
      </c>
      <c r="J278" s="42">
        <f t="shared" si="37"/>
        <v>5</v>
      </c>
      <c r="K278" s="15">
        <v>4799241</v>
      </c>
    </row>
    <row r="279" spans="1:11">
      <c r="A279" s="42">
        <v>278</v>
      </c>
      <c r="B279" s="15">
        <v>356800</v>
      </c>
      <c r="C279" s="42">
        <f t="shared" si="31"/>
        <v>3.5680000000000001</v>
      </c>
      <c r="D279" s="42">
        <f t="shared" si="32"/>
        <v>460.33966666666657</v>
      </c>
      <c r="E279" s="42">
        <f t="shared" si="33"/>
        <v>71.36</v>
      </c>
      <c r="F279" s="42">
        <f t="shared" si="34"/>
        <v>35.68</v>
      </c>
      <c r="G279" s="42">
        <f t="shared" si="35"/>
        <v>17.84</v>
      </c>
      <c r="H279" s="42">
        <v>20</v>
      </c>
      <c r="I279" s="42">
        <f t="shared" si="36"/>
        <v>10</v>
      </c>
      <c r="J279" s="42">
        <f t="shared" si="37"/>
        <v>5</v>
      </c>
      <c r="K279" s="15">
        <v>4836279</v>
      </c>
    </row>
    <row r="280" spans="1:11">
      <c r="A280" s="42">
        <v>279</v>
      </c>
      <c r="B280" s="15">
        <v>358200</v>
      </c>
      <c r="C280" s="42">
        <f t="shared" si="31"/>
        <v>3.5819999999999999</v>
      </c>
      <c r="D280" s="42">
        <f t="shared" si="32"/>
        <v>463.92166666666657</v>
      </c>
      <c r="E280" s="42">
        <f t="shared" si="33"/>
        <v>71.64</v>
      </c>
      <c r="F280" s="42">
        <f t="shared" si="34"/>
        <v>35.82</v>
      </c>
      <c r="G280" s="42">
        <f t="shared" si="35"/>
        <v>17.91</v>
      </c>
      <c r="H280" s="42">
        <v>20</v>
      </c>
      <c r="I280" s="42">
        <f t="shared" si="36"/>
        <v>10</v>
      </c>
      <c r="J280" s="42">
        <f t="shared" si="37"/>
        <v>5</v>
      </c>
      <c r="K280" s="15">
        <v>4873463</v>
      </c>
    </row>
    <row r="281" spans="1:11">
      <c r="A281" s="42">
        <v>280</v>
      </c>
      <c r="B281" s="15">
        <v>359700</v>
      </c>
      <c r="C281" s="42">
        <f t="shared" si="31"/>
        <v>3.597</v>
      </c>
      <c r="D281" s="42">
        <f t="shared" si="32"/>
        <v>467.51866666666655</v>
      </c>
      <c r="E281" s="42">
        <f t="shared" si="33"/>
        <v>71.94</v>
      </c>
      <c r="F281" s="42">
        <f t="shared" si="34"/>
        <v>35.97</v>
      </c>
      <c r="G281" s="42">
        <f t="shared" si="35"/>
        <v>17.984999999999999</v>
      </c>
      <c r="H281" s="42">
        <v>20</v>
      </c>
      <c r="I281" s="42">
        <f t="shared" si="36"/>
        <v>10</v>
      </c>
      <c r="J281" s="42">
        <f t="shared" si="37"/>
        <v>5</v>
      </c>
      <c r="K281" s="15">
        <v>4910794</v>
      </c>
    </row>
    <row r="282" spans="1:11">
      <c r="A282" s="42">
        <v>281</v>
      </c>
      <c r="B282" s="15">
        <v>361100</v>
      </c>
      <c r="C282" s="42">
        <f t="shared" si="31"/>
        <v>3.6109999999999998</v>
      </c>
      <c r="D282" s="42">
        <f t="shared" si="32"/>
        <v>471.12966666666654</v>
      </c>
      <c r="E282" s="42">
        <f t="shared" si="33"/>
        <v>72.22</v>
      </c>
      <c r="F282" s="42">
        <f t="shared" si="34"/>
        <v>36.11</v>
      </c>
      <c r="G282" s="42">
        <f t="shared" si="35"/>
        <v>18.055</v>
      </c>
      <c r="H282" s="42">
        <v>20</v>
      </c>
      <c r="I282" s="42">
        <f t="shared" si="36"/>
        <v>10</v>
      </c>
      <c r="J282" s="42">
        <f t="shared" si="37"/>
        <v>5</v>
      </c>
      <c r="K282" s="15">
        <v>4948272</v>
      </c>
    </row>
    <row r="283" spans="1:11">
      <c r="A283" s="42">
        <v>282</v>
      </c>
      <c r="B283" s="15">
        <v>362500</v>
      </c>
      <c r="C283" s="42">
        <f t="shared" si="31"/>
        <v>3.625</v>
      </c>
      <c r="D283" s="42">
        <f t="shared" si="32"/>
        <v>474.75466666666654</v>
      </c>
      <c r="E283" s="42">
        <f t="shared" si="33"/>
        <v>72.5</v>
      </c>
      <c r="F283" s="42">
        <f t="shared" si="34"/>
        <v>36.25</v>
      </c>
      <c r="G283" s="42">
        <f t="shared" si="35"/>
        <v>18.125</v>
      </c>
      <c r="H283" s="42">
        <v>20</v>
      </c>
      <c r="I283" s="42">
        <f t="shared" si="36"/>
        <v>10</v>
      </c>
      <c r="J283" s="42">
        <f t="shared" si="37"/>
        <v>5</v>
      </c>
      <c r="K283" s="15">
        <v>4985896</v>
      </c>
    </row>
    <row r="284" spans="1:11">
      <c r="A284" s="42">
        <v>283</v>
      </c>
      <c r="B284" s="15">
        <v>363900</v>
      </c>
      <c r="C284" s="42">
        <f t="shared" si="31"/>
        <v>3.6390000000000002</v>
      </c>
      <c r="D284" s="42">
        <f t="shared" si="32"/>
        <v>478.39366666666655</v>
      </c>
      <c r="E284" s="42">
        <f t="shared" si="33"/>
        <v>72.78</v>
      </c>
      <c r="F284" s="42">
        <f t="shared" si="34"/>
        <v>36.39</v>
      </c>
      <c r="G284" s="42">
        <f t="shared" si="35"/>
        <v>18.195</v>
      </c>
      <c r="H284" s="42">
        <v>20</v>
      </c>
      <c r="I284" s="42">
        <f t="shared" si="36"/>
        <v>10</v>
      </c>
      <c r="J284" s="42">
        <f t="shared" si="37"/>
        <v>5</v>
      </c>
      <c r="K284" s="15">
        <v>5023668</v>
      </c>
    </row>
    <row r="285" spans="1:11">
      <c r="A285" s="42">
        <v>284</v>
      </c>
      <c r="B285" s="15">
        <v>365300</v>
      </c>
      <c r="C285" s="42">
        <f t="shared" si="31"/>
        <v>3.653</v>
      </c>
      <c r="D285" s="42">
        <f t="shared" si="32"/>
        <v>482.04666666666657</v>
      </c>
      <c r="E285" s="42">
        <f t="shared" si="33"/>
        <v>73.06</v>
      </c>
      <c r="F285" s="42">
        <f t="shared" si="34"/>
        <v>36.53</v>
      </c>
      <c r="G285" s="42">
        <f t="shared" si="35"/>
        <v>18.265000000000001</v>
      </c>
      <c r="H285" s="42">
        <v>20</v>
      </c>
      <c r="I285" s="42">
        <f t="shared" si="36"/>
        <v>10</v>
      </c>
      <c r="J285" s="42">
        <f t="shared" si="37"/>
        <v>5</v>
      </c>
      <c r="K285" s="15">
        <v>5061586</v>
      </c>
    </row>
    <row r="286" spans="1:11">
      <c r="A286" s="42">
        <v>285</v>
      </c>
      <c r="B286" s="15">
        <v>366800</v>
      </c>
      <c r="C286" s="42">
        <f t="shared" si="31"/>
        <v>3.6680000000000001</v>
      </c>
      <c r="D286" s="42">
        <f t="shared" si="32"/>
        <v>485.71466666666657</v>
      </c>
      <c r="E286" s="42">
        <f t="shared" si="33"/>
        <v>73.36</v>
      </c>
      <c r="F286" s="42">
        <f t="shared" si="34"/>
        <v>36.68</v>
      </c>
      <c r="G286" s="42">
        <f t="shared" si="35"/>
        <v>18.34</v>
      </c>
      <c r="H286" s="42">
        <v>20</v>
      </c>
      <c r="I286" s="42">
        <f t="shared" si="36"/>
        <v>10</v>
      </c>
      <c r="J286" s="42">
        <f t="shared" si="37"/>
        <v>5</v>
      </c>
      <c r="K286" s="15">
        <v>5099651</v>
      </c>
    </row>
    <row r="287" spans="1:11">
      <c r="A287" s="42">
        <v>286</v>
      </c>
      <c r="B287" s="15">
        <v>368200</v>
      </c>
      <c r="C287" s="42">
        <f t="shared" si="31"/>
        <v>3.6819999999999999</v>
      </c>
      <c r="D287" s="42">
        <f t="shared" si="32"/>
        <v>489.39666666666659</v>
      </c>
      <c r="E287" s="42">
        <f t="shared" si="33"/>
        <v>73.64</v>
      </c>
      <c r="F287" s="42">
        <f t="shared" si="34"/>
        <v>36.82</v>
      </c>
      <c r="G287" s="42">
        <f t="shared" si="35"/>
        <v>18.41</v>
      </c>
      <c r="H287" s="42">
        <v>20</v>
      </c>
      <c r="I287" s="42">
        <f t="shared" si="36"/>
        <v>10</v>
      </c>
      <c r="J287" s="42">
        <f t="shared" si="37"/>
        <v>5</v>
      </c>
      <c r="K287" s="15">
        <v>5137863</v>
      </c>
    </row>
    <row r="288" spans="1:11">
      <c r="A288" s="42">
        <v>287</v>
      </c>
      <c r="B288" s="15">
        <v>369600</v>
      </c>
      <c r="C288" s="42">
        <f t="shared" si="31"/>
        <v>3.6960000000000002</v>
      </c>
      <c r="D288" s="42">
        <f t="shared" si="32"/>
        <v>493.09266666666662</v>
      </c>
      <c r="E288" s="42">
        <f t="shared" si="33"/>
        <v>73.92</v>
      </c>
      <c r="F288" s="42">
        <f t="shared" si="34"/>
        <v>36.96</v>
      </c>
      <c r="G288" s="42">
        <f t="shared" si="35"/>
        <v>18.48</v>
      </c>
      <c r="H288" s="42">
        <v>20</v>
      </c>
      <c r="I288" s="42">
        <f t="shared" si="36"/>
        <v>10</v>
      </c>
      <c r="J288" s="42">
        <f t="shared" si="37"/>
        <v>5</v>
      </c>
      <c r="K288" s="15">
        <v>5176223</v>
      </c>
    </row>
    <row r="289" spans="1:11">
      <c r="A289" s="42">
        <v>288</v>
      </c>
      <c r="B289" s="15">
        <v>371000</v>
      </c>
      <c r="C289" s="42">
        <f t="shared" si="31"/>
        <v>3.71</v>
      </c>
      <c r="D289" s="42">
        <f t="shared" si="32"/>
        <v>496.8026666666666</v>
      </c>
      <c r="E289" s="42">
        <f t="shared" si="33"/>
        <v>74.2</v>
      </c>
      <c r="F289" s="42">
        <f t="shared" si="34"/>
        <v>37.1</v>
      </c>
      <c r="G289" s="42">
        <f t="shared" si="35"/>
        <v>18.55</v>
      </c>
      <c r="H289" s="42">
        <v>20</v>
      </c>
      <c r="I289" s="42">
        <f t="shared" si="36"/>
        <v>10</v>
      </c>
      <c r="J289" s="42">
        <f t="shared" si="37"/>
        <v>5</v>
      </c>
      <c r="K289" s="15">
        <v>5214729</v>
      </c>
    </row>
    <row r="290" spans="1:11">
      <c r="A290" s="42">
        <v>289</v>
      </c>
      <c r="B290" s="15">
        <v>372500</v>
      </c>
      <c r="C290" s="42">
        <f t="shared" si="31"/>
        <v>3.7250000000000001</v>
      </c>
      <c r="D290" s="42">
        <f t="shared" si="32"/>
        <v>500.52766666666662</v>
      </c>
      <c r="E290" s="42">
        <f t="shared" si="33"/>
        <v>74.5</v>
      </c>
      <c r="F290" s="42">
        <f t="shared" si="34"/>
        <v>37.25</v>
      </c>
      <c r="G290" s="42">
        <f t="shared" si="35"/>
        <v>18.625</v>
      </c>
      <c r="H290" s="42">
        <v>20</v>
      </c>
      <c r="I290" s="42">
        <f t="shared" si="36"/>
        <v>10</v>
      </c>
      <c r="J290" s="42">
        <f t="shared" si="37"/>
        <v>5</v>
      </c>
      <c r="K290" s="15">
        <v>5253382</v>
      </c>
    </row>
    <row r="291" spans="1:11">
      <c r="A291" s="42">
        <v>290</v>
      </c>
      <c r="B291" s="15">
        <v>373900</v>
      </c>
      <c r="C291" s="42">
        <f t="shared" si="31"/>
        <v>3.7389999999999999</v>
      </c>
      <c r="D291" s="42">
        <f t="shared" si="32"/>
        <v>504.26666666666659</v>
      </c>
      <c r="E291" s="42">
        <f t="shared" si="33"/>
        <v>74.78</v>
      </c>
      <c r="F291" s="42">
        <f t="shared" si="34"/>
        <v>37.39</v>
      </c>
      <c r="G291" s="42">
        <f t="shared" si="35"/>
        <v>18.695</v>
      </c>
      <c r="H291" s="42">
        <v>20</v>
      </c>
      <c r="I291" s="42">
        <f t="shared" si="36"/>
        <v>10</v>
      </c>
      <c r="J291" s="42">
        <f t="shared" si="37"/>
        <v>5</v>
      </c>
      <c r="K291" s="15">
        <v>5292182</v>
      </c>
    </row>
    <row r="292" spans="1:11">
      <c r="A292" s="42">
        <v>291</v>
      </c>
      <c r="B292" s="15">
        <v>375300</v>
      </c>
      <c r="C292" s="42">
        <f t="shared" si="31"/>
        <v>3.7530000000000001</v>
      </c>
      <c r="D292" s="42">
        <f t="shared" si="32"/>
        <v>508.01966666666658</v>
      </c>
      <c r="E292" s="42">
        <f t="shared" si="33"/>
        <v>75.06</v>
      </c>
      <c r="F292" s="42">
        <f t="shared" si="34"/>
        <v>37.53</v>
      </c>
      <c r="G292" s="42">
        <f t="shared" si="35"/>
        <v>18.765000000000001</v>
      </c>
      <c r="H292" s="42">
        <v>20</v>
      </c>
      <c r="I292" s="42">
        <f t="shared" si="36"/>
        <v>10</v>
      </c>
      <c r="J292" s="42">
        <f t="shared" si="37"/>
        <v>5</v>
      </c>
      <c r="K292" s="15">
        <v>5331130</v>
      </c>
    </row>
    <row r="293" spans="1:11">
      <c r="A293" s="42">
        <v>292</v>
      </c>
      <c r="B293" s="15">
        <v>376700</v>
      </c>
      <c r="C293" s="42">
        <f t="shared" si="31"/>
        <v>3.7670000000000003</v>
      </c>
      <c r="D293" s="42">
        <f t="shared" si="32"/>
        <v>511.78666666666658</v>
      </c>
      <c r="E293" s="42">
        <f t="shared" si="33"/>
        <v>75.34</v>
      </c>
      <c r="F293" s="42">
        <f t="shared" si="34"/>
        <v>37.67</v>
      </c>
      <c r="G293" s="42">
        <f t="shared" si="35"/>
        <v>18.835000000000001</v>
      </c>
      <c r="H293" s="42">
        <v>20</v>
      </c>
      <c r="I293" s="42">
        <f t="shared" si="36"/>
        <v>10</v>
      </c>
      <c r="J293" s="42">
        <f t="shared" si="37"/>
        <v>5</v>
      </c>
      <c r="K293" s="15">
        <v>5370224</v>
      </c>
    </row>
    <row r="294" spans="1:11">
      <c r="A294" s="42">
        <v>293</v>
      </c>
      <c r="B294" s="15">
        <v>378200</v>
      </c>
      <c r="C294" s="42">
        <f t="shared" ref="C294:C357" si="38">E294/H294</f>
        <v>3.782</v>
      </c>
      <c r="D294" s="42">
        <f t="shared" ref="D294:D357" si="39">C294+D293</f>
        <v>515.56866666666656</v>
      </c>
      <c r="E294" s="42">
        <f t="shared" ref="E294:E357" si="40">B294/$N$2</f>
        <v>75.64</v>
      </c>
      <c r="F294" s="42">
        <f t="shared" ref="F294:F357" si="41">B294/$N$3</f>
        <v>37.82</v>
      </c>
      <c r="G294" s="42">
        <f t="shared" ref="G294:G357" si="42">B294/$N$4</f>
        <v>18.91</v>
      </c>
      <c r="H294" s="42">
        <v>20</v>
      </c>
      <c r="I294" s="42">
        <f t="shared" ref="I294:I357" si="43">H294/2</f>
        <v>10</v>
      </c>
      <c r="J294" s="42">
        <f t="shared" ref="J294:J357" si="44">H294/4</f>
        <v>5</v>
      </c>
      <c r="K294" s="15">
        <v>5409466</v>
      </c>
    </row>
    <row r="295" spans="1:11">
      <c r="A295" s="42">
        <v>294</v>
      </c>
      <c r="B295" s="15">
        <v>379600</v>
      </c>
      <c r="C295" s="42">
        <f t="shared" si="38"/>
        <v>3.7960000000000003</v>
      </c>
      <c r="D295" s="42">
        <f t="shared" si="39"/>
        <v>519.36466666666661</v>
      </c>
      <c r="E295" s="42">
        <f t="shared" si="40"/>
        <v>75.92</v>
      </c>
      <c r="F295" s="42">
        <f t="shared" si="41"/>
        <v>37.96</v>
      </c>
      <c r="G295" s="42">
        <f t="shared" si="42"/>
        <v>18.98</v>
      </c>
      <c r="H295" s="42">
        <v>20</v>
      </c>
      <c r="I295" s="42">
        <f t="shared" si="43"/>
        <v>10</v>
      </c>
      <c r="J295" s="42">
        <f t="shared" si="44"/>
        <v>5</v>
      </c>
      <c r="K295" s="15">
        <v>5448855</v>
      </c>
    </row>
    <row r="296" spans="1:11">
      <c r="A296" s="42">
        <v>295</v>
      </c>
      <c r="B296" s="15">
        <v>381000</v>
      </c>
      <c r="C296" s="42">
        <f t="shared" si="38"/>
        <v>3.81</v>
      </c>
      <c r="D296" s="42">
        <f t="shared" si="39"/>
        <v>523.17466666666655</v>
      </c>
      <c r="E296" s="42">
        <f t="shared" si="40"/>
        <v>76.2</v>
      </c>
      <c r="F296" s="42">
        <f t="shared" si="41"/>
        <v>38.1</v>
      </c>
      <c r="G296" s="42">
        <f t="shared" si="42"/>
        <v>19.05</v>
      </c>
      <c r="H296" s="42">
        <v>20</v>
      </c>
      <c r="I296" s="42">
        <f t="shared" si="43"/>
        <v>10</v>
      </c>
      <c r="J296" s="42">
        <f t="shared" si="44"/>
        <v>5</v>
      </c>
      <c r="K296" s="15">
        <v>5488391</v>
      </c>
    </row>
    <row r="297" spans="1:11">
      <c r="A297" s="42">
        <v>296</v>
      </c>
      <c r="B297" s="15">
        <v>382400</v>
      </c>
      <c r="C297" s="42">
        <f t="shared" si="38"/>
        <v>3.8240000000000003</v>
      </c>
      <c r="D297" s="42">
        <f t="shared" si="39"/>
        <v>526.99866666666651</v>
      </c>
      <c r="E297" s="42">
        <f t="shared" si="40"/>
        <v>76.48</v>
      </c>
      <c r="F297" s="42">
        <f t="shared" si="41"/>
        <v>38.24</v>
      </c>
      <c r="G297" s="42">
        <f t="shared" si="42"/>
        <v>19.12</v>
      </c>
      <c r="H297" s="42">
        <v>20</v>
      </c>
      <c r="I297" s="42">
        <f t="shared" si="43"/>
        <v>10</v>
      </c>
      <c r="J297" s="42">
        <f t="shared" si="44"/>
        <v>5</v>
      </c>
      <c r="K297" s="15">
        <v>5528075</v>
      </c>
    </row>
    <row r="298" spans="1:11">
      <c r="A298" s="42">
        <v>297</v>
      </c>
      <c r="B298" s="15">
        <v>383900</v>
      </c>
      <c r="C298" s="42">
        <f t="shared" si="38"/>
        <v>3.839</v>
      </c>
      <c r="D298" s="42">
        <f t="shared" si="39"/>
        <v>530.83766666666656</v>
      </c>
      <c r="E298" s="42">
        <f t="shared" si="40"/>
        <v>76.78</v>
      </c>
      <c r="F298" s="42">
        <f t="shared" si="41"/>
        <v>38.39</v>
      </c>
      <c r="G298" s="42">
        <f t="shared" si="42"/>
        <v>19.195</v>
      </c>
      <c r="H298" s="42">
        <v>20</v>
      </c>
      <c r="I298" s="42">
        <f t="shared" si="43"/>
        <v>10</v>
      </c>
      <c r="J298" s="42">
        <f t="shared" si="44"/>
        <v>5</v>
      </c>
      <c r="K298" s="15">
        <v>5567906</v>
      </c>
    </row>
    <row r="299" spans="1:11">
      <c r="A299" s="42">
        <v>298</v>
      </c>
      <c r="B299" s="15">
        <v>385300</v>
      </c>
      <c r="C299" s="42">
        <f t="shared" si="38"/>
        <v>3.8530000000000002</v>
      </c>
      <c r="D299" s="42">
        <f t="shared" si="39"/>
        <v>534.69066666666652</v>
      </c>
      <c r="E299" s="42">
        <f t="shared" si="40"/>
        <v>77.06</v>
      </c>
      <c r="F299" s="42">
        <f t="shared" si="41"/>
        <v>38.53</v>
      </c>
      <c r="G299" s="42">
        <f t="shared" si="42"/>
        <v>19.265000000000001</v>
      </c>
      <c r="H299" s="42">
        <v>20</v>
      </c>
      <c r="I299" s="42">
        <f t="shared" si="43"/>
        <v>10</v>
      </c>
      <c r="J299" s="42">
        <f t="shared" si="44"/>
        <v>5</v>
      </c>
      <c r="K299" s="15">
        <v>5607884</v>
      </c>
    </row>
    <row r="300" spans="1:11">
      <c r="A300" s="42">
        <v>299</v>
      </c>
      <c r="B300" s="15">
        <v>386700</v>
      </c>
      <c r="C300" s="42">
        <f t="shared" si="38"/>
        <v>3.867</v>
      </c>
      <c r="D300" s="42">
        <f t="shared" si="39"/>
        <v>538.55766666666648</v>
      </c>
      <c r="E300" s="42">
        <f t="shared" si="40"/>
        <v>77.34</v>
      </c>
      <c r="F300" s="42">
        <f t="shared" si="41"/>
        <v>38.67</v>
      </c>
      <c r="G300" s="42">
        <f t="shared" si="42"/>
        <v>19.335000000000001</v>
      </c>
      <c r="H300" s="42">
        <v>20</v>
      </c>
      <c r="I300" s="42">
        <f t="shared" si="43"/>
        <v>10</v>
      </c>
      <c r="J300" s="42">
        <f t="shared" si="44"/>
        <v>5</v>
      </c>
      <c r="K300" s="15">
        <v>5648009</v>
      </c>
    </row>
    <row r="301" spans="1:11">
      <c r="A301" s="42">
        <v>300</v>
      </c>
      <c r="B301" s="15">
        <v>388200</v>
      </c>
      <c r="C301" s="42">
        <f t="shared" si="38"/>
        <v>3.8820000000000001</v>
      </c>
      <c r="D301" s="42">
        <f t="shared" si="39"/>
        <v>542.43966666666643</v>
      </c>
      <c r="E301" s="42">
        <f t="shared" si="40"/>
        <v>77.64</v>
      </c>
      <c r="F301" s="42">
        <f t="shared" si="41"/>
        <v>38.82</v>
      </c>
      <c r="G301" s="42">
        <f t="shared" si="42"/>
        <v>19.41</v>
      </c>
      <c r="H301" s="42">
        <v>20</v>
      </c>
      <c r="I301" s="42">
        <f t="shared" si="43"/>
        <v>10</v>
      </c>
      <c r="J301" s="42">
        <f t="shared" si="44"/>
        <v>5</v>
      </c>
      <c r="K301" s="15">
        <v>5688282</v>
      </c>
    </row>
    <row r="302" spans="1:11">
      <c r="A302" s="42">
        <v>301</v>
      </c>
      <c r="B302" s="15">
        <v>389600</v>
      </c>
      <c r="C302" s="42">
        <f t="shared" si="38"/>
        <v>3.8959999999999999</v>
      </c>
      <c r="D302" s="42">
        <f t="shared" si="39"/>
        <v>546.33566666666638</v>
      </c>
      <c r="E302" s="42">
        <f t="shared" si="40"/>
        <v>77.92</v>
      </c>
      <c r="F302" s="42">
        <f t="shared" si="41"/>
        <v>38.96</v>
      </c>
      <c r="G302" s="42">
        <f t="shared" si="42"/>
        <v>19.48</v>
      </c>
      <c r="H302" s="42">
        <v>20</v>
      </c>
      <c r="I302" s="42">
        <f t="shared" si="43"/>
        <v>10</v>
      </c>
      <c r="J302" s="42">
        <f t="shared" si="44"/>
        <v>5</v>
      </c>
      <c r="K302" s="15">
        <v>5728702</v>
      </c>
    </row>
    <row r="303" spans="1:11">
      <c r="A303" s="42">
        <v>302</v>
      </c>
      <c r="B303" s="15">
        <v>391000</v>
      </c>
      <c r="C303" s="42">
        <f t="shared" si="38"/>
        <v>3.91</v>
      </c>
      <c r="D303" s="42">
        <f t="shared" si="39"/>
        <v>550.24566666666635</v>
      </c>
      <c r="E303" s="42">
        <f t="shared" si="40"/>
        <v>78.2</v>
      </c>
      <c r="F303" s="42">
        <f t="shared" si="41"/>
        <v>39.1</v>
      </c>
      <c r="G303" s="42">
        <f t="shared" si="42"/>
        <v>19.55</v>
      </c>
      <c r="H303" s="42">
        <v>20</v>
      </c>
      <c r="I303" s="42">
        <f t="shared" si="43"/>
        <v>10</v>
      </c>
      <c r="J303" s="42">
        <f t="shared" si="44"/>
        <v>5</v>
      </c>
      <c r="K303" s="15">
        <v>5769270</v>
      </c>
    </row>
    <row r="304" spans="1:11">
      <c r="A304" s="42">
        <v>303</v>
      </c>
      <c r="B304" s="15">
        <v>392500</v>
      </c>
      <c r="C304" s="42">
        <f t="shared" si="38"/>
        <v>3.9249999999999998</v>
      </c>
      <c r="D304" s="42">
        <f t="shared" si="39"/>
        <v>554.17066666666631</v>
      </c>
      <c r="E304" s="42">
        <f t="shared" si="40"/>
        <v>78.5</v>
      </c>
      <c r="F304" s="42">
        <f t="shared" si="41"/>
        <v>39.25</v>
      </c>
      <c r="G304" s="42">
        <f t="shared" si="42"/>
        <v>19.625</v>
      </c>
      <c r="H304" s="42">
        <v>20</v>
      </c>
      <c r="I304" s="42">
        <f t="shared" si="43"/>
        <v>10</v>
      </c>
      <c r="J304" s="42">
        <f t="shared" si="44"/>
        <v>5</v>
      </c>
      <c r="K304" s="15">
        <v>5809985</v>
      </c>
    </row>
    <row r="305" spans="1:11">
      <c r="A305" s="42">
        <v>304</v>
      </c>
      <c r="B305" s="15">
        <v>393900</v>
      </c>
      <c r="C305" s="42">
        <f t="shared" si="38"/>
        <v>3.9390000000000001</v>
      </c>
      <c r="D305" s="42">
        <f t="shared" si="39"/>
        <v>558.10966666666627</v>
      </c>
      <c r="E305" s="42">
        <f t="shared" si="40"/>
        <v>78.78</v>
      </c>
      <c r="F305" s="42">
        <f t="shared" si="41"/>
        <v>39.39</v>
      </c>
      <c r="G305" s="42">
        <f t="shared" si="42"/>
        <v>19.695</v>
      </c>
      <c r="H305" s="42">
        <v>20</v>
      </c>
      <c r="I305" s="42">
        <f t="shared" si="43"/>
        <v>10</v>
      </c>
      <c r="J305" s="42">
        <f t="shared" si="44"/>
        <v>5</v>
      </c>
      <c r="K305" s="15">
        <v>5850848</v>
      </c>
    </row>
    <row r="306" spans="1:11">
      <c r="A306" s="42">
        <v>305</v>
      </c>
      <c r="B306" s="15">
        <v>395300</v>
      </c>
      <c r="C306" s="42">
        <f t="shared" si="38"/>
        <v>3.9530000000000003</v>
      </c>
      <c r="D306" s="42">
        <f t="shared" si="39"/>
        <v>562.06266666666625</v>
      </c>
      <c r="E306" s="42">
        <f t="shared" si="40"/>
        <v>79.06</v>
      </c>
      <c r="F306" s="42">
        <f t="shared" si="41"/>
        <v>39.53</v>
      </c>
      <c r="G306" s="42">
        <f t="shared" si="42"/>
        <v>19.765000000000001</v>
      </c>
      <c r="H306" s="42">
        <v>20</v>
      </c>
      <c r="I306" s="42">
        <f t="shared" si="43"/>
        <v>10</v>
      </c>
      <c r="J306" s="42">
        <f t="shared" si="44"/>
        <v>5</v>
      </c>
      <c r="K306" s="15">
        <v>5891858</v>
      </c>
    </row>
    <row r="307" spans="1:11">
      <c r="A307" s="42">
        <v>306</v>
      </c>
      <c r="B307" s="15">
        <v>396800</v>
      </c>
      <c r="C307" s="42">
        <f t="shared" si="38"/>
        <v>3.968</v>
      </c>
      <c r="D307" s="42">
        <f t="shared" si="39"/>
        <v>566.03066666666621</v>
      </c>
      <c r="E307" s="42">
        <f t="shared" si="40"/>
        <v>79.36</v>
      </c>
      <c r="F307" s="42">
        <f t="shared" si="41"/>
        <v>39.68</v>
      </c>
      <c r="G307" s="42">
        <f t="shared" si="42"/>
        <v>19.84</v>
      </c>
      <c r="H307" s="42">
        <v>20</v>
      </c>
      <c r="I307" s="42">
        <f t="shared" si="43"/>
        <v>10</v>
      </c>
      <c r="J307" s="42">
        <f t="shared" si="44"/>
        <v>5</v>
      </c>
      <c r="K307" s="15">
        <v>5933016</v>
      </c>
    </row>
    <row r="308" spans="1:11">
      <c r="A308" s="42">
        <v>307</v>
      </c>
      <c r="B308" s="15">
        <v>398200</v>
      </c>
      <c r="C308" s="42">
        <f t="shared" si="38"/>
        <v>3.9820000000000002</v>
      </c>
      <c r="D308" s="42">
        <f t="shared" si="39"/>
        <v>570.01266666666618</v>
      </c>
      <c r="E308" s="42">
        <f t="shared" si="40"/>
        <v>79.64</v>
      </c>
      <c r="F308" s="42">
        <f t="shared" si="41"/>
        <v>39.82</v>
      </c>
      <c r="G308" s="42">
        <f t="shared" si="42"/>
        <v>19.91</v>
      </c>
      <c r="H308" s="42">
        <v>20</v>
      </c>
      <c r="I308" s="42">
        <f t="shared" si="43"/>
        <v>10</v>
      </c>
      <c r="J308" s="42">
        <f t="shared" si="44"/>
        <v>5</v>
      </c>
      <c r="K308" s="15">
        <v>5974322</v>
      </c>
    </row>
    <row r="309" spans="1:11">
      <c r="A309" s="42">
        <v>308</v>
      </c>
      <c r="B309" s="15">
        <v>399600</v>
      </c>
      <c r="C309" s="42">
        <f t="shared" si="38"/>
        <v>3.996</v>
      </c>
      <c r="D309" s="42">
        <f t="shared" si="39"/>
        <v>574.00866666666616</v>
      </c>
      <c r="E309" s="42">
        <f t="shared" si="40"/>
        <v>79.92</v>
      </c>
      <c r="F309" s="42">
        <f t="shared" si="41"/>
        <v>39.96</v>
      </c>
      <c r="G309" s="42">
        <f t="shared" si="42"/>
        <v>19.98</v>
      </c>
      <c r="H309" s="42">
        <v>20</v>
      </c>
      <c r="I309" s="42">
        <f t="shared" si="43"/>
        <v>10</v>
      </c>
      <c r="J309" s="42">
        <f t="shared" si="44"/>
        <v>5</v>
      </c>
      <c r="K309" s="15">
        <v>6015775</v>
      </c>
    </row>
    <row r="310" spans="1:11">
      <c r="A310" s="42">
        <v>309</v>
      </c>
      <c r="B310" s="15">
        <v>401100</v>
      </c>
      <c r="C310" s="42">
        <f t="shared" si="38"/>
        <v>4.0110000000000001</v>
      </c>
      <c r="D310" s="42">
        <f t="shared" si="39"/>
        <v>578.01966666666613</v>
      </c>
      <c r="E310" s="42">
        <f t="shared" si="40"/>
        <v>80.22</v>
      </c>
      <c r="F310" s="42">
        <f t="shared" si="41"/>
        <v>40.11</v>
      </c>
      <c r="G310" s="42">
        <f t="shared" si="42"/>
        <v>20.055</v>
      </c>
      <c r="H310" s="42">
        <v>20</v>
      </c>
      <c r="I310" s="42">
        <f t="shared" si="43"/>
        <v>10</v>
      </c>
      <c r="J310" s="42">
        <f t="shared" si="44"/>
        <v>5</v>
      </c>
      <c r="K310" s="15">
        <v>6057376</v>
      </c>
    </row>
    <row r="311" spans="1:11">
      <c r="A311" s="42">
        <v>310</v>
      </c>
      <c r="B311" s="15">
        <v>402500</v>
      </c>
      <c r="C311" s="42">
        <f t="shared" si="38"/>
        <v>4.0250000000000004</v>
      </c>
      <c r="D311" s="42">
        <f t="shared" si="39"/>
        <v>582.0446666666661</v>
      </c>
      <c r="E311" s="42">
        <f t="shared" si="40"/>
        <v>80.5</v>
      </c>
      <c r="F311" s="42">
        <f t="shared" si="41"/>
        <v>40.25</v>
      </c>
      <c r="G311" s="42">
        <f t="shared" si="42"/>
        <v>20.125</v>
      </c>
      <c r="H311" s="42">
        <v>20</v>
      </c>
      <c r="I311" s="42">
        <f t="shared" si="43"/>
        <v>10</v>
      </c>
      <c r="J311" s="42">
        <f t="shared" si="44"/>
        <v>5</v>
      </c>
      <c r="K311" s="15">
        <v>6099124</v>
      </c>
    </row>
    <row r="312" spans="1:11">
      <c r="A312" s="42">
        <v>311</v>
      </c>
      <c r="B312" s="15">
        <v>403900</v>
      </c>
      <c r="C312" s="42">
        <f t="shared" si="38"/>
        <v>4.0389999999999997</v>
      </c>
      <c r="D312" s="42">
        <f t="shared" si="39"/>
        <v>586.08366666666609</v>
      </c>
      <c r="E312" s="42">
        <f t="shared" si="40"/>
        <v>80.78</v>
      </c>
      <c r="F312" s="42">
        <f t="shared" si="41"/>
        <v>40.39</v>
      </c>
      <c r="G312" s="42">
        <f t="shared" si="42"/>
        <v>20.195</v>
      </c>
      <c r="H312" s="42">
        <v>20</v>
      </c>
      <c r="I312" s="42">
        <f t="shared" si="43"/>
        <v>10</v>
      </c>
      <c r="J312" s="42">
        <f t="shared" si="44"/>
        <v>5</v>
      </c>
      <c r="K312" s="15">
        <v>6141020</v>
      </c>
    </row>
    <row r="313" spans="1:11">
      <c r="A313" s="42">
        <v>312</v>
      </c>
      <c r="B313" s="15">
        <v>405400</v>
      </c>
      <c r="C313" s="42">
        <f t="shared" si="38"/>
        <v>4.0540000000000003</v>
      </c>
      <c r="D313" s="42">
        <f t="shared" si="39"/>
        <v>590.13766666666606</v>
      </c>
      <c r="E313" s="42">
        <f t="shared" si="40"/>
        <v>81.08</v>
      </c>
      <c r="F313" s="42">
        <f t="shared" si="41"/>
        <v>40.54</v>
      </c>
      <c r="G313" s="42">
        <f t="shared" si="42"/>
        <v>20.27</v>
      </c>
      <c r="H313" s="42">
        <v>20</v>
      </c>
      <c r="I313" s="42">
        <f t="shared" si="43"/>
        <v>10</v>
      </c>
      <c r="J313" s="42">
        <f t="shared" si="44"/>
        <v>5</v>
      </c>
      <c r="K313" s="15">
        <v>6183064</v>
      </c>
    </row>
    <row r="314" spans="1:11">
      <c r="A314" s="42">
        <v>313</v>
      </c>
      <c r="B314" s="15">
        <v>406800</v>
      </c>
      <c r="C314" s="42">
        <f t="shared" si="38"/>
        <v>4.0679999999999996</v>
      </c>
      <c r="D314" s="42">
        <f t="shared" si="39"/>
        <v>594.20566666666605</v>
      </c>
      <c r="E314" s="42">
        <f t="shared" si="40"/>
        <v>81.36</v>
      </c>
      <c r="F314" s="42">
        <f t="shared" si="41"/>
        <v>40.68</v>
      </c>
      <c r="G314" s="42">
        <f t="shared" si="42"/>
        <v>20.34</v>
      </c>
      <c r="H314" s="42">
        <v>20</v>
      </c>
      <c r="I314" s="42">
        <f t="shared" si="43"/>
        <v>10</v>
      </c>
      <c r="J314" s="42">
        <f t="shared" si="44"/>
        <v>5</v>
      </c>
      <c r="K314" s="15">
        <v>6225256</v>
      </c>
    </row>
    <row r="315" spans="1:11">
      <c r="A315" s="42">
        <v>314</v>
      </c>
      <c r="B315" s="15">
        <v>408200</v>
      </c>
      <c r="C315" s="42">
        <f t="shared" si="38"/>
        <v>4.0819999999999999</v>
      </c>
      <c r="D315" s="42">
        <f t="shared" si="39"/>
        <v>598.28766666666604</v>
      </c>
      <c r="E315" s="42">
        <f t="shared" si="40"/>
        <v>81.64</v>
      </c>
      <c r="F315" s="42">
        <f t="shared" si="41"/>
        <v>40.82</v>
      </c>
      <c r="G315" s="42">
        <f t="shared" si="42"/>
        <v>20.41</v>
      </c>
      <c r="H315" s="42">
        <v>20</v>
      </c>
      <c r="I315" s="42">
        <f t="shared" si="43"/>
        <v>10</v>
      </c>
      <c r="J315" s="42">
        <f t="shared" si="44"/>
        <v>5</v>
      </c>
      <c r="K315" s="15">
        <v>6267596</v>
      </c>
    </row>
    <row r="316" spans="1:11">
      <c r="A316" s="42">
        <v>315</v>
      </c>
      <c r="B316" s="15">
        <v>409700</v>
      </c>
      <c r="C316" s="42">
        <f t="shared" si="38"/>
        <v>4.0969999999999995</v>
      </c>
      <c r="D316" s="42">
        <f t="shared" si="39"/>
        <v>602.38466666666602</v>
      </c>
      <c r="E316" s="42">
        <f t="shared" si="40"/>
        <v>81.94</v>
      </c>
      <c r="F316" s="42">
        <f t="shared" si="41"/>
        <v>40.97</v>
      </c>
      <c r="G316" s="42">
        <f t="shared" si="42"/>
        <v>20.484999999999999</v>
      </c>
      <c r="H316" s="42">
        <v>20</v>
      </c>
      <c r="I316" s="42">
        <f t="shared" si="43"/>
        <v>10</v>
      </c>
      <c r="J316" s="42">
        <f t="shared" si="44"/>
        <v>5</v>
      </c>
      <c r="K316" s="15">
        <v>6310083</v>
      </c>
    </row>
    <row r="317" spans="1:11">
      <c r="A317" s="42">
        <v>316</v>
      </c>
      <c r="B317" s="15">
        <v>411100</v>
      </c>
      <c r="C317" s="42">
        <f t="shared" si="38"/>
        <v>4.1109999999999998</v>
      </c>
      <c r="D317" s="42">
        <f t="shared" si="39"/>
        <v>606.49566666666601</v>
      </c>
      <c r="E317" s="42">
        <f t="shared" si="40"/>
        <v>82.22</v>
      </c>
      <c r="F317" s="42">
        <f t="shared" si="41"/>
        <v>41.11</v>
      </c>
      <c r="G317" s="42">
        <f t="shared" si="42"/>
        <v>20.555</v>
      </c>
      <c r="H317" s="42">
        <v>20</v>
      </c>
      <c r="I317" s="42">
        <f t="shared" si="43"/>
        <v>10</v>
      </c>
      <c r="J317" s="42">
        <f t="shared" si="44"/>
        <v>5</v>
      </c>
      <c r="K317" s="15">
        <v>6352719</v>
      </c>
    </row>
    <row r="318" spans="1:11">
      <c r="A318" s="42">
        <v>317</v>
      </c>
      <c r="B318" s="15">
        <v>412600</v>
      </c>
      <c r="C318" s="42">
        <f t="shared" si="38"/>
        <v>4.1259999999999994</v>
      </c>
      <c r="D318" s="42">
        <f t="shared" si="39"/>
        <v>610.62166666666599</v>
      </c>
      <c r="E318" s="42">
        <f t="shared" si="40"/>
        <v>82.52</v>
      </c>
      <c r="F318" s="42">
        <f t="shared" si="41"/>
        <v>41.26</v>
      </c>
      <c r="G318" s="42">
        <f t="shared" si="42"/>
        <v>20.63</v>
      </c>
      <c r="H318" s="42">
        <v>20</v>
      </c>
      <c r="I318" s="42">
        <f t="shared" si="43"/>
        <v>10</v>
      </c>
      <c r="J318" s="42">
        <f t="shared" si="44"/>
        <v>5</v>
      </c>
      <c r="K318" s="15">
        <v>6395502</v>
      </c>
    </row>
    <row r="319" spans="1:11">
      <c r="A319" s="42">
        <v>318</v>
      </c>
      <c r="B319" s="15">
        <v>414000</v>
      </c>
      <c r="C319" s="42">
        <f t="shared" si="38"/>
        <v>4.1399999999999997</v>
      </c>
      <c r="D319" s="42">
        <f t="shared" si="39"/>
        <v>614.76166666666597</v>
      </c>
      <c r="E319" s="42">
        <f t="shared" si="40"/>
        <v>82.8</v>
      </c>
      <c r="F319" s="42">
        <f t="shared" si="41"/>
        <v>41.4</v>
      </c>
      <c r="G319" s="42">
        <f t="shared" si="42"/>
        <v>20.7</v>
      </c>
      <c r="H319" s="42">
        <v>20</v>
      </c>
      <c r="I319" s="42">
        <f t="shared" si="43"/>
        <v>10</v>
      </c>
      <c r="J319" s="42">
        <f t="shared" si="44"/>
        <v>5</v>
      </c>
      <c r="K319" s="15">
        <v>6438433</v>
      </c>
    </row>
    <row r="320" spans="1:11">
      <c r="A320" s="42">
        <v>319</v>
      </c>
      <c r="B320" s="15">
        <v>415400</v>
      </c>
      <c r="C320" s="42">
        <f t="shared" si="38"/>
        <v>4.1539999999999999</v>
      </c>
      <c r="D320" s="42">
        <f t="shared" si="39"/>
        <v>618.91566666666597</v>
      </c>
      <c r="E320" s="42">
        <f t="shared" si="40"/>
        <v>83.08</v>
      </c>
      <c r="F320" s="42">
        <f t="shared" si="41"/>
        <v>41.54</v>
      </c>
      <c r="G320" s="42">
        <f t="shared" si="42"/>
        <v>20.77</v>
      </c>
      <c r="H320" s="42">
        <v>20</v>
      </c>
      <c r="I320" s="42">
        <f t="shared" si="43"/>
        <v>10</v>
      </c>
      <c r="J320" s="42">
        <f t="shared" si="44"/>
        <v>5</v>
      </c>
      <c r="K320" s="15">
        <v>6481512</v>
      </c>
    </row>
    <row r="321" spans="1:11">
      <c r="A321" s="42">
        <v>320</v>
      </c>
      <c r="B321" s="15">
        <v>416900</v>
      </c>
      <c r="C321" s="42">
        <f t="shared" si="38"/>
        <v>4.1689999999999996</v>
      </c>
      <c r="D321" s="42">
        <f t="shared" si="39"/>
        <v>623.08466666666595</v>
      </c>
      <c r="E321" s="42">
        <f t="shared" si="40"/>
        <v>83.38</v>
      </c>
      <c r="F321" s="42">
        <f t="shared" si="41"/>
        <v>41.69</v>
      </c>
      <c r="G321" s="42">
        <f t="shared" si="42"/>
        <v>20.844999999999999</v>
      </c>
      <c r="H321" s="42">
        <v>20</v>
      </c>
      <c r="I321" s="42">
        <f t="shared" si="43"/>
        <v>10</v>
      </c>
      <c r="J321" s="42">
        <f t="shared" si="44"/>
        <v>5</v>
      </c>
      <c r="K321" s="15">
        <v>6524739</v>
      </c>
    </row>
    <row r="322" spans="1:11">
      <c r="A322" s="42">
        <v>321</v>
      </c>
      <c r="B322" s="15">
        <v>418300</v>
      </c>
      <c r="C322" s="42">
        <f t="shared" si="38"/>
        <v>4.1829999999999998</v>
      </c>
      <c r="D322" s="42">
        <f t="shared" si="39"/>
        <v>627.26766666666595</v>
      </c>
      <c r="E322" s="42">
        <f t="shared" si="40"/>
        <v>83.66</v>
      </c>
      <c r="F322" s="42">
        <f t="shared" si="41"/>
        <v>41.83</v>
      </c>
      <c r="G322" s="42">
        <f t="shared" si="42"/>
        <v>20.914999999999999</v>
      </c>
      <c r="H322" s="42">
        <v>20</v>
      </c>
      <c r="I322" s="42">
        <f t="shared" si="43"/>
        <v>10</v>
      </c>
      <c r="J322" s="42">
        <f t="shared" si="44"/>
        <v>5</v>
      </c>
      <c r="K322" s="15">
        <v>6568114</v>
      </c>
    </row>
    <row r="323" spans="1:11">
      <c r="A323" s="42">
        <v>322</v>
      </c>
      <c r="B323" s="15">
        <v>419800</v>
      </c>
      <c r="C323" s="42">
        <f t="shared" si="38"/>
        <v>4.1979999999999995</v>
      </c>
      <c r="D323" s="42">
        <f t="shared" si="39"/>
        <v>631.46566666666592</v>
      </c>
      <c r="E323" s="42">
        <f t="shared" si="40"/>
        <v>83.96</v>
      </c>
      <c r="F323" s="42">
        <f t="shared" si="41"/>
        <v>41.98</v>
      </c>
      <c r="G323" s="42">
        <f t="shared" si="42"/>
        <v>20.99</v>
      </c>
      <c r="H323" s="42">
        <v>20</v>
      </c>
      <c r="I323" s="42">
        <f t="shared" si="43"/>
        <v>10</v>
      </c>
      <c r="J323" s="42">
        <f t="shared" si="44"/>
        <v>5</v>
      </c>
      <c r="K323" s="15">
        <v>6611638</v>
      </c>
    </row>
    <row r="324" spans="1:11">
      <c r="A324" s="42">
        <v>323</v>
      </c>
      <c r="B324" s="15">
        <v>421200</v>
      </c>
      <c r="C324" s="42">
        <f t="shared" si="38"/>
        <v>4.2119999999999997</v>
      </c>
      <c r="D324" s="42">
        <f t="shared" si="39"/>
        <v>635.67766666666591</v>
      </c>
      <c r="E324" s="42">
        <f t="shared" si="40"/>
        <v>84.24</v>
      </c>
      <c r="F324" s="42">
        <f t="shared" si="41"/>
        <v>42.12</v>
      </c>
      <c r="G324" s="42">
        <f t="shared" si="42"/>
        <v>21.06</v>
      </c>
      <c r="H324" s="42">
        <v>20</v>
      </c>
      <c r="I324" s="42">
        <f t="shared" si="43"/>
        <v>10</v>
      </c>
      <c r="J324" s="42">
        <f t="shared" si="44"/>
        <v>5</v>
      </c>
      <c r="K324" s="15">
        <v>6655309</v>
      </c>
    </row>
    <row r="325" spans="1:11">
      <c r="A325" s="42">
        <v>324</v>
      </c>
      <c r="B325" s="15">
        <v>422700</v>
      </c>
      <c r="C325" s="42">
        <f t="shared" si="38"/>
        <v>4.2270000000000003</v>
      </c>
      <c r="D325" s="42">
        <f t="shared" si="39"/>
        <v>639.90466666666589</v>
      </c>
      <c r="E325" s="42">
        <f t="shared" si="40"/>
        <v>84.54</v>
      </c>
      <c r="F325" s="42">
        <f t="shared" si="41"/>
        <v>42.27</v>
      </c>
      <c r="G325" s="42">
        <f t="shared" si="42"/>
        <v>21.135000000000002</v>
      </c>
      <c r="H325" s="42">
        <v>20</v>
      </c>
      <c r="I325" s="42">
        <f t="shared" si="43"/>
        <v>10</v>
      </c>
      <c r="J325" s="42">
        <f t="shared" si="44"/>
        <v>5</v>
      </c>
      <c r="K325" s="15">
        <v>6699128</v>
      </c>
    </row>
    <row r="326" spans="1:11">
      <c r="A326" s="42">
        <v>325</v>
      </c>
      <c r="B326" s="15">
        <v>424100</v>
      </c>
      <c r="C326" s="42">
        <f t="shared" si="38"/>
        <v>4.2409999999999997</v>
      </c>
      <c r="D326" s="42">
        <f t="shared" si="39"/>
        <v>644.14566666666587</v>
      </c>
      <c r="E326" s="42">
        <f t="shared" si="40"/>
        <v>84.82</v>
      </c>
      <c r="F326" s="42">
        <f t="shared" si="41"/>
        <v>42.41</v>
      </c>
      <c r="G326" s="42">
        <f t="shared" si="42"/>
        <v>21.204999999999998</v>
      </c>
      <c r="H326" s="42">
        <v>20</v>
      </c>
      <c r="I326" s="42">
        <f t="shared" si="43"/>
        <v>10</v>
      </c>
      <c r="J326" s="42">
        <f t="shared" si="44"/>
        <v>5</v>
      </c>
      <c r="K326" s="15">
        <v>6743096</v>
      </c>
    </row>
    <row r="327" spans="1:11">
      <c r="A327" s="42">
        <v>326</v>
      </c>
      <c r="B327" s="15">
        <v>425500</v>
      </c>
      <c r="C327" s="42">
        <f t="shared" si="38"/>
        <v>4.2549999999999999</v>
      </c>
      <c r="D327" s="42">
        <f t="shared" si="39"/>
        <v>648.40066666666587</v>
      </c>
      <c r="E327" s="42">
        <f t="shared" si="40"/>
        <v>85.1</v>
      </c>
      <c r="F327" s="42">
        <f t="shared" si="41"/>
        <v>42.55</v>
      </c>
      <c r="G327" s="42">
        <f t="shared" si="42"/>
        <v>21.274999999999999</v>
      </c>
      <c r="H327" s="42">
        <v>20</v>
      </c>
      <c r="I327" s="42">
        <f t="shared" si="43"/>
        <v>10</v>
      </c>
      <c r="J327" s="42">
        <f t="shared" si="44"/>
        <v>5</v>
      </c>
      <c r="K327" s="15">
        <v>6787212</v>
      </c>
    </row>
    <row r="328" spans="1:11">
      <c r="A328" s="42">
        <v>327</v>
      </c>
      <c r="B328" s="15">
        <v>427000</v>
      </c>
      <c r="C328" s="42">
        <f t="shared" si="38"/>
        <v>4.2700000000000005</v>
      </c>
      <c r="D328" s="42">
        <f t="shared" si="39"/>
        <v>652.67066666666585</v>
      </c>
      <c r="E328" s="42">
        <f t="shared" si="40"/>
        <v>85.4</v>
      </c>
      <c r="F328" s="42">
        <f t="shared" si="41"/>
        <v>42.7</v>
      </c>
      <c r="G328" s="42">
        <f t="shared" si="42"/>
        <v>21.35</v>
      </c>
      <c r="H328" s="42">
        <v>20</v>
      </c>
      <c r="I328" s="42">
        <f t="shared" si="43"/>
        <v>10</v>
      </c>
      <c r="J328" s="42">
        <f t="shared" si="44"/>
        <v>5</v>
      </c>
      <c r="K328" s="15">
        <v>6831476</v>
      </c>
    </row>
    <row r="329" spans="1:11">
      <c r="A329" s="42">
        <v>328</v>
      </c>
      <c r="B329" s="15">
        <v>428400</v>
      </c>
      <c r="C329" s="42">
        <f t="shared" si="38"/>
        <v>4.2840000000000007</v>
      </c>
      <c r="D329" s="42">
        <f t="shared" si="39"/>
        <v>656.95466666666584</v>
      </c>
      <c r="E329" s="42">
        <f t="shared" si="40"/>
        <v>85.68</v>
      </c>
      <c r="F329" s="42">
        <f t="shared" si="41"/>
        <v>42.84</v>
      </c>
      <c r="G329" s="42">
        <f t="shared" si="42"/>
        <v>21.42</v>
      </c>
      <c r="H329" s="42">
        <v>20</v>
      </c>
      <c r="I329" s="42">
        <f t="shared" si="43"/>
        <v>10</v>
      </c>
      <c r="J329" s="42">
        <f t="shared" si="44"/>
        <v>5</v>
      </c>
      <c r="K329" s="15">
        <v>6875888</v>
      </c>
    </row>
    <row r="330" spans="1:11">
      <c r="A330" s="42">
        <v>329</v>
      </c>
      <c r="B330" s="15">
        <v>429900</v>
      </c>
      <c r="C330" s="42">
        <f t="shared" si="38"/>
        <v>4.2990000000000004</v>
      </c>
      <c r="D330" s="42">
        <f t="shared" si="39"/>
        <v>661.25366666666582</v>
      </c>
      <c r="E330" s="42">
        <f t="shared" si="40"/>
        <v>85.98</v>
      </c>
      <c r="F330" s="42">
        <f t="shared" si="41"/>
        <v>42.99</v>
      </c>
      <c r="G330" s="42">
        <f t="shared" si="42"/>
        <v>21.495000000000001</v>
      </c>
      <c r="H330" s="42">
        <v>20</v>
      </c>
      <c r="I330" s="42">
        <f t="shared" si="43"/>
        <v>10</v>
      </c>
      <c r="J330" s="42">
        <f t="shared" si="44"/>
        <v>5</v>
      </c>
      <c r="K330" s="15">
        <v>6920448</v>
      </c>
    </row>
    <row r="331" spans="1:11">
      <c r="A331" s="42">
        <v>330</v>
      </c>
      <c r="B331" s="15">
        <v>431300</v>
      </c>
      <c r="C331" s="42">
        <f t="shared" si="38"/>
        <v>4.3130000000000006</v>
      </c>
      <c r="D331" s="42">
        <f t="shared" si="39"/>
        <v>665.56666666666581</v>
      </c>
      <c r="E331" s="42">
        <f t="shared" si="40"/>
        <v>86.26</v>
      </c>
      <c r="F331" s="42">
        <f t="shared" si="41"/>
        <v>43.13</v>
      </c>
      <c r="G331" s="42">
        <f t="shared" si="42"/>
        <v>21.565000000000001</v>
      </c>
      <c r="H331" s="42">
        <v>20</v>
      </c>
      <c r="I331" s="42">
        <f t="shared" si="43"/>
        <v>10</v>
      </c>
      <c r="J331" s="42">
        <f t="shared" si="44"/>
        <v>5</v>
      </c>
      <c r="K331" s="15">
        <v>6965157</v>
      </c>
    </row>
    <row r="332" spans="1:11">
      <c r="A332" s="42">
        <v>331</v>
      </c>
      <c r="B332" s="15">
        <v>432800</v>
      </c>
      <c r="C332" s="42">
        <f t="shared" si="38"/>
        <v>4.3280000000000003</v>
      </c>
      <c r="D332" s="42">
        <f t="shared" si="39"/>
        <v>669.89466666666578</v>
      </c>
      <c r="E332" s="42">
        <f t="shared" si="40"/>
        <v>86.56</v>
      </c>
      <c r="F332" s="42">
        <f t="shared" si="41"/>
        <v>43.28</v>
      </c>
      <c r="G332" s="42">
        <f t="shared" si="42"/>
        <v>21.64</v>
      </c>
      <c r="H332" s="42">
        <v>20</v>
      </c>
      <c r="I332" s="42">
        <f t="shared" si="43"/>
        <v>10</v>
      </c>
      <c r="J332" s="42">
        <f t="shared" si="44"/>
        <v>5</v>
      </c>
      <c r="K332" s="15">
        <v>7010014</v>
      </c>
    </row>
    <row r="333" spans="1:11">
      <c r="A333" s="42">
        <v>332</v>
      </c>
      <c r="B333" s="15">
        <v>434200</v>
      </c>
      <c r="C333" s="42">
        <f t="shared" si="38"/>
        <v>4.3420000000000005</v>
      </c>
      <c r="D333" s="42">
        <f t="shared" si="39"/>
        <v>674.23666666666577</v>
      </c>
      <c r="E333" s="42">
        <f t="shared" si="40"/>
        <v>86.84</v>
      </c>
      <c r="F333" s="42">
        <f t="shared" si="41"/>
        <v>43.42</v>
      </c>
      <c r="G333" s="42">
        <f t="shared" si="42"/>
        <v>21.71</v>
      </c>
      <c r="H333" s="42">
        <v>20</v>
      </c>
      <c r="I333" s="42">
        <f t="shared" si="43"/>
        <v>10</v>
      </c>
      <c r="J333" s="42">
        <f t="shared" si="44"/>
        <v>5</v>
      </c>
      <c r="K333" s="15">
        <v>7055020</v>
      </c>
    </row>
    <row r="334" spans="1:11">
      <c r="A334" s="42">
        <v>333</v>
      </c>
      <c r="B334" s="15">
        <v>435700</v>
      </c>
      <c r="C334" s="42">
        <f t="shared" si="38"/>
        <v>4.3570000000000002</v>
      </c>
      <c r="D334" s="42">
        <f t="shared" si="39"/>
        <v>678.59366666666574</v>
      </c>
      <c r="E334" s="42">
        <f t="shared" si="40"/>
        <v>87.14</v>
      </c>
      <c r="F334" s="42">
        <f t="shared" si="41"/>
        <v>43.57</v>
      </c>
      <c r="G334" s="42">
        <f t="shared" si="42"/>
        <v>21.785</v>
      </c>
      <c r="H334" s="42">
        <v>20</v>
      </c>
      <c r="I334" s="42">
        <f t="shared" si="43"/>
        <v>10</v>
      </c>
      <c r="J334" s="42">
        <f t="shared" si="44"/>
        <v>5</v>
      </c>
      <c r="K334" s="15">
        <v>7100173</v>
      </c>
    </row>
    <row r="335" spans="1:11">
      <c r="A335" s="42">
        <v>334</v>
      </c>
      <c r="B335" s="15">
        <v>437100</v>
      </c>
      <c r="C335" s="42">
        <f t="shared" si="38"/>
        <v>4.3710000000000004</v>
      </c>
      <c r="D335" s="42">
        <f t="shared" si="39"/>
        <v>682.96466666666572</v>
      </c>
      <c r="E335" s="42">
        <f t="shared" si="40"/>
        <v>87.42</v>
      </c>
      <c r="F335" s="42">
        <f t="shared" si="41"/>
        <v>43.71</v>
      </c>
      <c r="G335" s="42">
        <f t="shared" si="42"/>
        <v>21.855</v>
      </c>
      <c r="H335" s="42">
        <v>20</v>
      </c>
      <c r="I335" s="42">
        <f t="shared" si="43"/>
        <v>10</v>
      </c>
      <c r="J335" s="42">
        <f t="shared" si="44"/>
        <v>5</v>
      </c>
      <c r="K335" s="15">
        <v>7145475</v>
      </c>
    </row>
    <row r="336" spans="1:11">
      <c r="A336" s="42">
        <v>335</v>
      </c>
      <c r="B336" s="15">
        <v>438600</v>
      </c>
      <c r="C336" s="42">
        <f t="shared" si="38"/>
        <v>4.3860000000000001</v>
      </c>
      <c r="D336" s="42">
        <f t="shared" si="39"/>
        <v>687.35066666666569</v>
      </c>
      <c r="E336" s="42">
        <f t="shared" si="40"/>
        <v>87.72</v>
      </c>
      <c r="F336" s="42">
        <f t="shared" si="41"/>
        <v>43.86</v>
      </c>
      <c r="G336" s="42">
        <f t="shared" si="42"/>
        <v>21.93</v>
      </c>
      <c r="H336" s="42">
        <v>20</v>
      </c>
      <c r="I336" s="42">
        <f t="shared" si="43"/>
        <v>10</v>
      </c>
      <c r="J336" s="42">
        <f t="shared" si="44"/>
        <v>5</v>
      </c>
      <c r="K336" s="15">
        <v>7190926</v>
      </c>
    </row>
    <row r="337" spans="1:11">
      <c r="A337" s="42">
        <v>336</v>
      </c>
      <c r="B337" s="15">
        <v>440000</v>
      </c>
      <c r="C337" s="42">
        <f t="shared" si="38"/>
        <v>4.4000000000000004</v>
      </c>
      <c r="D337" s="42">
        <f t="shared" si="39"/>
        <v>691.75066666666567</v>
      </c>
      <c r="E337" s="42">
        <f t="shared" si="40"/>
        <v>88</v>
      </c>
      <c r="F337" s="42">
        <f t="shared" si="41"/>
        <v>44</v>
      </c>
      <c r="G337" s="42">
        <f t="shared" si="42"/>
        <v>22</v>
      </c>
      <c r="H337" s="42">
        <v>20</v>
      </c>
      <c r="I337" s="42">
        <f t="shared" si="43"/>
        <v>10</v>
      </c>
      <c r="J337" s="42">
        <f t="shared" si="44"/>
        <v>5</v>
      </c>
      <c r="K337" s="15">
        <v>7236525</v>
      </c>
    </row>
    <row r="338" spans="1:11">
      <c r="A338" s="42">
        <v>337</v>
      </c>
      <c r="B338" s="15">
        <v>441500</v>
      </c>
      <c r="C338" s="42">
        <f t="shared" si="38"/>
        <v>4.415</v>
      </c>
      <c r="D338" s="42">
        <f t="shared" si="39"/>
        <v>696.16566666666563</v>
      </c>
      <c r="E338" s="42">
        <f t="shared" si="40"/>
        <v>88.3</v>
      </c>
      <c r="F338" s="42">
        <f t="shared" si="41"/>
        <v>44.15</v>
      </c>
      <c r="G338" s="42">
        <f t="shared" si="42"/>
        <v>22.074999999999999</v>
      </c>
      <c r="H338" s="42">
        <v>20</v>
      </c>
      <c r="I338" s="42">
        <f t="shared" si="43"/>
        <v>10</v>
      </c>
      <c r="J338" s="42">
        <f t="shared" si="44"/>
        <v>5</v>
      </c>
      <c r="K338" s="15">
        <v>7282273</v>
      </c>
    </row>
    <row r="339" spans="1:11">
      <c r="A339" s="42">
        <v>338</v>
      </c>
      <c r="B339" s="15">
        <v>442900</v>
      </c>
      <c r="C339" s="42">
        <f t="shared" si="38"/>
        <v>4.4290000000000003</v>
      </c>
      <c r="D339" s="42">
        <f t="shared" si="39"/>
        <v>700.5946666666656</v>
      </c>
      <c r="E339" s="42">
        <f t="shared" si="40"/>
        <v>88.58</v>
      </c>
      <c r="F339" s="42">
        <f t="shared" si="41"/>
        <v>44.29</v>
      </c>
      <c r="G339" s="42">
        <f t="shared" si="42"/>
        <v>22.145</v>
      </c>
      <c r="H339" s="42">
        <v>20</v>
      </c>
      <c r="I339" s="42">
        <f t="shared" si="43"/>
        <v>10</v>
      </c>
      <c r="J339" s="42">
        <f t="shared" si="44"/>
        <v>5</v>
      </c>
      <c r="K339" s="15">
        <v>7328169</v>
      </c>
    </row>
    <row r="340" spans="1:11">
      <c r="A340" s="42">
        <v>339</v>
      </c>
      <c r="B340" s="15">
        <v>444400</v>
      </c>
      <c r="C340" s="42">
        <f t="shared" si="38"/>
        <v>4.444</v>
      </c>
      <c r="D340" s="42">
        <f t="shared" si="39"/>
        <v>705.03866666666556</v>
      </c>
      <c r="E340" s="42">
        <f t="shared" si="40"/>
        <v>88.88</v>
      </c>
      <c r="F340" s="42">
        <f t="shared" si="41"/>
        <v>44.44</v>
      </c>
      <c r="G340" s="42">
        <f t="shared" si="42"/>
        <v>22.22</v>
      </c>
      <c r="H340" s="42">
        <v>20</v>
      </c>
      <c r="I340" s="42">
        <f t="shared" si="43"/>
        <v>10</v>
      </c>
      <c r="J340" s="42">
        <f t="shared" si="44"/>
        <v>5</v>
      </c>
      <c r="K340" s="15">
        <v>7374213</v>
      </c>
    </row>
    <row r="341" spans="1:11">
      <c r="A341" s="42">
        <v>340</v>
      </c>
      <c r="B341" s="15">
        <v>445800</v>
      </c>
      <c r="C341" s="42">
        <f t="shared" si="38"/>
        <v>4.4580000000000002</v>
      </c>
      <c r="D341" s="42">
        <f t="shared" si="39"/>
        <v>709.49666666666553</v>
      </c>
      <c r="E341" s="42">
        <f t="shared" si="40"/>
        <v>89.16</v>
      </c>
      <c r="F341" s="42">
        <f t="shared" si="41"/>
        <v>44.58</v>
      </c>
      <c r="G341" s="42">
        <f t="shared" si="42"/>
        <v>22.29</v>
      </c>
      <c r="H341" s="42">
        <v>20</v>
      </c>
      <c r="I341" s="42">
        <f t="shared" si="43"/>
        <v>10</v>
      </c>
      <c r="J341" s="42">
        <f t="shared" si="44"/>
        <v>5</v>
      </c>
      <c r="K341" s="15">
        <v>7420406</v>
      </c>
    </row>
    <row r="342" spans="1:11">
      <c r="A342" s="42">
        <v>341</v>
      </c>
      <c r="B342" s="15">
        <v>447300</v>
      </c>
      <c r="C342" s="42">
        <f t="shared" si="38"/>
        <v>4.4729999999999999</v>
      </c>
      <c r="D342" s="42">
        <f t="shared" si="39"/>
        <v>713.96966666666549</v>
      </c>
      <c r="E342" s="42">
        <f t="shared" si="40"/>
        <v>89.46</v>
      </c>
      <c r="F342" s="42">
        <f t="shared" si="41"/>
        <v>44.73</v>
      </c>
      <c r="G342" s="42">
        <f t="shared" si="42"/>
        <v>22.364999999999998</v>
      </c>
      <c r="H342" s="42">
        <v>20</v>
      </c>
      <c r="I342" s="42">
        <f t="shared" si="43"/>
        <v>10</v>
      </c>
      <c r="J342" s="42">
        <f t="shared" si="44"/>
        <v>5</v>
      </c>
      <c r="K342" s="15">
        <v>7466748</v>
      </c>
    </row>
    <row r="343" spans="1:11">
      <c r="A343" s="42">
        <v>342</v>
      </c>
      <c r="B343" s="15">
        <v>448700</v>
      </c>
      <c r="C343" s="42">
        <f t="shared" si="38"/>
        <v>4.4870000000000001</v>
      </c>
      <c r="D343" s="42">
        <f t="shared" si="39"/>
        <v>718.45666666666546</v>
      </c>
      <c r="E343" s="42">
        <f t="shared" si="40"/>
        <v>89.74</v>
      </c>
      <c r="F343" s="42">
        <f t="shared" si="41"/>
        <v>44.87</v>
      </c>
      <c r="G343" s="42">
        <f t="shared" si="42"/>
        <v>22.434999999999999</v>
      </c>
      <c r="H343" s="42">
        <v>20</v>
      </c>
      <c r="I343" s="42">
        <f t="shared" si="43"/>
        <v>10</v>
      </c>
      <c r="J343" s="42">
        <f t="shared" si="44"/>
        <v>5</v>
      </c>
      <c r="K343" s="15">
        <v>7513238</v>
      </c>
    </row>
    <row r="344" spans="1:11">
      <c r="A344" s="42">
        <v>343</v>
      </c>
      <c r="B344" s="15">
        <v>450200</v>
      </c>
      <c r="C344" s="42">
        <f t="shared" si="38"/>
        <v>4.5020000000000007</v>
      </c>
      <c r="D344" s="42">
        <f t="shared" si="39"/>
        <v>722.95866666666541</v>
      </c>
      <c r="E344" s="42">
        <f t="shared" si="40"/>
        <v>90.04</v>
      </c>
      <c r="F344" s="42">
        <f t="shared" si="41"/>
        <v>45.02</v>
      </c>
      <c r="G344" s="42">
        <f t="shared" si="42"/>
        <v>22.51</v>
      </c>
      <c r="H344" s="42">
        <v>20</v>
      </c>
      <c r="I344" s="42">
        <f t="shared" si="43"/>
        <v>10</v>
      </c>
      <c r="J344" s="42">
        <f t="shared" si="44"/>
        <v>5</v>
      </c>
      <c r="K344" s="15">
        <v>7559877</v>
      </c>
    </row>
    <row r="345" spans="1:11">
      <c r="A345" s="42">
        <v>344</v>
      </c>
      <c r="B345" s="15">
        <v>451600</v>
      </c>
      <c r="C345" s="42">
        <f t="shared" si="38"/>
        <v>4.516</v>
      </c>
      <c r="D345" s="42">
        <f t="shared" si="39"/>
        <v>727.47466666666537</v>
      </c>
      <c r="E345" s="42">
        <f t="shared" si="40"/>
        <v>90.32</v>
      </c>
      <c r="F345" s="42">
        <f t="shared" si="41"/>
        <v>45.16</v>
      </c>
      <c r="G345" s="42">
        <f t="shared" si="42"/>
        <v>22.58</v>
      </c>
      <c r="H345" s="42">
        <v>20</v>
      </c>
      <c r="I345" s="42">
        <f t="shared" si="43"/>
        <v>10</v>
      </c>
      <c r="J345" s="42">
        <f t="shared" si="44"/>
        <v>5</v>
      </c>
      <c r="K345" s="15">
        <v>7606665</v>
      </c>
    </row>
    <row r="346" spans="1:11">
      <c r="A346" s="42">
        <v>345</v>
      </c>
      <c r="B346" s="15">
        <v>453100</v>
      </c>
      <c r="C346" s="42">
        <f t="shared" si="38"/>
        <v>4.5310000000000006</v>
      </c>
      <c r="D346" s="42">
        <f t="shared" si="39"/>
        <v>732.00566666666532</v>
      </c>
      <c r="E346" s="42">
        <f t="shared" si="40"/>
        <v>90.62</v>
      </c>
      <c r="F346" s="42">
        <f t="shared" si="41"/>
        <v>45.31</v>
      </c>
      <c r="G346" s="42">
        <f t="shared" si="42"/>
        <v>22.655000000000001</v>
      </c>
      <c r="H346" s="42">
        <v>20</v>
      </c>
      <c r="I346" s="42">
        <f t="shared" si="43"/>
        <v>10</v>
      </c>
      <c r="J346" s="42">
        <f t="shared" si="44"/>
        <v>5</v>
      </c>
      <c r="K346" s="15">
        <v>7653602</v>
      </c>
    </row>
    <row r="347" spans="1:11">
      <c r="A347" s="42">
        <v>346</v>
      </c>
      <c r="B347" s="15">
        <v>454600</v>
      </c>
      <c r="C347" s="42">
        <f t="shared" si="38"/>
        <v>4.5460000000000003</v>
      </c>
      <c r="D347" s="42">
        <f t="shared" si="39"/>
        <v>736.55166666666537</v>
      </c>
      <c r="E347" s="42">
        <f t="shared" si="40"/>
        <v>90.92</v>
      </c>
      <c r="F347" s="42">
        <f t="shared" si="41"/>
        <v>45.46</v>
      </c>
      <c r="G347" s="42">
        <f t="shared" si="42"/>
        <v>22.73</v>
      </c>
      <c r="H347" s="42">
        <v>20</v>
      </c>
      <c r="I347" s="42">
        <f t="shared" si="43"/>
        <v>10</v>
      </c>
      <c r="J347" s="42">
        <f t="shared" si="44"/>
        <v>5</v>
      </c>
      <c r="K347" s="15">
        <v>7700687</v>
      </c>
    </row>
    <row r="348" spans="1:11">
      <c r="A348" s="42">
        <v>347</v>
      </c>
      <c r="B348" s="15">
        <v>456000</v>
      </c>
      <c r="C348" s="42">
        <f t="shared" si="38"/>
        <v>4.5600000000000005</v>
      </c>
      <c r="D348" s="42">
        <f t="shared" si="39"/>
        <v>741.11166666666531</v>
      </c>
      <c r="E348" s="42">
        <f t="shared" si="40"/>
        <v>91.2</v>
      </c>
      <c r="F348" s="42">
        <f t="shared" si="41"/>
        <v>45.6</v>
      </c>
      <c r="G348" s="42">
        <f t="shared" si="42"/>
        <v>22.8</v>
      </c>
      <c r="H348" s="42">
        <v>20</v>
      </c>
      <c r="I348" s="42">
        <f t="shared" si="43"/>
        <v>10</v>
      </c>
      <c r="J348" s="42">
        <f t="shared" si="44"/>
        <v>5</v>
      </c>
      <c r="K348" s="15">
        <v>7747921</v>
      </c>
    </row>
    <row r="349" spans="1:11">
      <c r="A349" s="42">
        <v>348</v>
      </c>
      <c r="B349" s="15">
        <v>457500</v>
      </c>
      <c r="C349" s="42">
        <f t="shared" si="38"/>
        <v>4.5750000000000002</v>
      </c>
      <c r="D349" s="42">
        <f t="shared" si="39"/>
        <v>745.68666666666536</v>
      </c>
      <c r="E349" s="42">
        <f t="shared" si="40"/>
        <v>91.5</v>
      </c>
      <c r="F349" s="42">
        <f t="shared" si="41"/>
        <v>45.75</v>
      </c>
      <c r="G349" s="42">
        <f t="shared" si="42"/>
        <v>22.875</v>
      </c>
      <c r="H349" s="42">
        <v>20</v>
      </c>
      <c r="I349" s="42">
        <f t="shared" si="43"/>
        <v>10</v>
      </c>
      <c r="J349" s="42">
        <f t="shared" si="44"/>
        <v>5</v>
      </c>
      <c r="K349" s="15">
        <v>7795303</v>
      </c>
    </row>
    <row r="350" spans="1:11">
      <c r="A350" s="42">
        <v>349</v>
      </c>
      <c r="B350" s="15">
        <v>458900</v>
      </c>
      <c r="C350" s="42">
        <f t="shared" si="38"/>
        <v>4.5890000000000004</v>
      </c>
      <c r="D350" s="42">
        <f t="shared" si="39"/>
        <v>750.27566666666542</v>
      </c>
      <c r="E350" s="42">
        <f t="shared" si="40"/>
        <v>91.78</v>
      </c>
      <c r="F350" s="42">
        <f t="shared" si="41"/>
        <v>45.89</v>
      </c>
      <c r="G350" s="42">
        <f t="shared" si="42"/>
        <v>22.945</v>
      </c>
      <c r="H350" s="42">
        <v>20</v>
      </c>
      <c r="I350" s="42">
        <f t="shared" si="43"/>
        <v>10</v>
      </c>
      <c r="J350" s="42">
        <f t="shared" si="44"/>
        <v>5</v>
      </c>
      <c r="K350" s="15">
        <v>7842835</v>
      </c>
    </row>
    <row r="351" spans="1:11">
      <c r="A351" s="42">
        <v>350</v>
      </c>
      <c r="B351" s="15">
        <v>460400</v>
      </c>
      <c r="C351" s="42">
        <f t="shared" si="38"/>
        <v>4.6040000000000001</v>
      </c>
      <c r="D351" s="42">
        <f t="shared" si="39"/>
        <v>754.87966666666546</v>
      </c>
      <c r="E351" s="42">
        <f t="shared" si="40"/>
        <v>92.08</v>
      </c>
      <c r="F351" s="42">
        <f t="shared" si="41"/>
        <v>46.04</v>
      </c>
      <c r="G351" s="42">
        <f t="shared" si="42"/>
        <v>23.02</v>
      </c>
      <c r="H351" s="42">
        <v>20</v>
      </c>
      <c r="I351" s="42">
        <f t="shared" si="43"/>
        <v>10</v>
      </c>
      <c r="J351" s="42">
        <f t="shared" si="44"/>
        <v>5</v>
      </c>
      <c r="K351" s="15">
        <v>7890515</v>
      </c>
    </row>
    <row r="352" spans="1:11">
      <c r="A352" s="42">
        <v>351</v>
      </c>
      <c r="B352" s="15">
        <v>461800</v>
      </c>
      <c r="C352" s="42">
        <f t="shared" si="38"/>
        <v>4.6180000000000003</v>
      </c>
      <c r="D352" s="42">
        <f t="shared" si="39"/>
        <v>759.49766666666551</v>
      </c>
      <c r="E352" s="42">
        <f t="shared" si="40"/>
        <v>92.36</v>
      </c>
      <c r="F352" s="42">
        <f t="shared" si="41"/>
        <v>46.18</v>
      </c>
      <c r="G352" s="42">
        <f t="shared" si="42"/>
        <v>23.09</v>
      </c>
      <c r="H352" s="42">
        <v>20</v>
      </c>
      <c r="I352" s="42">
        <f t="shared" si="43"/>
        <v>10</v>
      </c>
      <c r="J352" s="42">
        <f t="shared" si="44"/>
        <v>5</v>
      </c>
      <c r="K352" s="15">
        <v>7938344</v>
      </c>
    </row>
    <row r="353" spans="1:11">
      <c r="A353" s="42">
        <v>352</v>
      </c>
      <c r="B353" s="15">
        <v>463300</v>
      </c>
      <c r="C353" s="42">
        <f t="shared" si="38"/>
        <v>4.633</v>
      </c>
      <c r="D353" s="42">
        <f t="shared" si="39"/>
        <v>764.13066666666555</v>
      </c>
      <c r="E353" s="42">
        <f t="shared" si="40"/>
        <v>92.66</v>
      </c>
      <c r="F353" s="42">
        <f t="shared" si="41"/>
        <v>46.33</v>
      </c>
      <c r="G353" s="42">
        <f t="shared" si="42"/>
        <v>23.164999999999999</v>
      </c>
      <c r="H353" s="42">
        <v>20</v>
      </c>
      <c r="I353" s="42">
        <f t="shared" si="43"/>
        <v>10</v>
      </c>
      <c r="J353" s="42">
        <f t="shared" si="44"/>
        <v>5</v>
      </c>
      <c r="K353" s="15">
        <v>7986323</v>
      </c>
    </row>
    <row r="354" spans="1:11">
      <c r="A354" s="42">
        <v>353</v>
      </c>
      <c r="B354" s="15">
        <v>464800</v>
      </c>
      <c r="C354" s="42">
        <f t="shared" si="38"/>
        <v>4.6479999999999997</v>
      </c>
      <c r="D354" s="42">
        <f t="shared" si="39"/>
        <v>768.77866666666557</v>
      </c>
      <c r="E354" s="42">
        <f t="shared" si="40"/>
        <v>92.96</v>
      </c>
      <c r="F354" s="42">
        <f t="shared" si="41"/>
        <v>46.48</v>
      </c>
      <c r="G354" s="42">
        <f t="shared" si="42"/>
        <v>23.24</v>
      </c>
      <c r="H354" s="42">
        <v>20</v>
      </c>
      <c r="I354" s="42">
        <f t="shared" si="43"/>
        <v>10</v>
      </c>
      <c r="J354" s="42">
        <f t="shared" si="44"/>
        <v>5</v>
      </c>
      <c r="K354" s="15">
        <v>8034450</v>
      </c>
    </row>
    <row r="355" spans="1:11">
      <c r="A355" s="42">
        <v>354</v>
      </c>
      <c r="B355" s="15">
        <v>466200</v>
      </c>
      <c r="C355" s="42">
        <f t="shared" si="38"/>
        <v>4.6619999999999999</v>
      </c>
      <c r="D355" s="42">
        <f t="shared" si="39"/>
        <v>773.44066666666561</v>
      </c>
      <c r="E355" s="42">
        <f t="shared" si="40"/>
        <v>93.24</v>
      </c>
      <c r="F355" s="42">
        <f t="shared" si="41"/>
        <v>46.62</v>
      </c>
      <c r="G355" s="42">
        <f t="shared" si="42"/>
        <v>23.31</v>
      </c>
      <c r="H355" s="42">
        <v>20</v>
      </c>
      <c r="I355" s="42">
        <f t="shared" si="43"/>
        <v>10</v>
      </c>
      <c r="J355" s="42">
        <f t="shared" si="44"/>
        <v>5</v>
      </c>
      <c r="K355" s="15">
        <v>8082726</v>
      </c>
    </row>
    <row r="356" spans="1:11">
      <c r="A356" s="42">
        <v>355</v>
      </c>
      <c r="B356" s="15">
        <v>467700</v>
      </c>
      <c r="C356" s="42">
        <f t="shared" si="38"/>
        <v>4.6770000000000005</v>
      </c>
      <c r="D356" s="42">
        <f t="shared" si="39"/>
        <v>778.11766666666563</v>
      </c>
      <c r="E356" s="42">
        <f t="shared" si="40"/>
        <v>93.54</v>
      </c>
      <c r="F356" s="42">
        <f t="shared" si="41"/>
        <v>46.77</v>
      </c>
      <c r="G356" s="42">
        <f t="shared" si="42"/>
        <v>23.385000000000002</v>
      </c>
      <c r="H356" s="42">
        <v>20</v>
      </c>
      <c r="I356" s="42">
        <f t="shared" si="43"/>
        <v>10</v>
      </c>
      <c r="J356" s="42">
        <f t="shared" si="44"/>
        <v>5</v>
      </c>
      <c r="K356" s="15">
        <v>8131151</v>
      </c>
    </row>
    <row r="357" spans="1:11">
      <c r="A357" s="42">
        <v>356</v>
      </c>
      <c r="B357" s="15">
        <v>469100</v>
      </c>
      <c r="C357" s="42">
        <f t="shared" si="38"/>
        <v>4.6909999999999998</v>
      </c>
      <c r="D357" s="42">
        <f t="shared" si="39"/>
        <v>782.80866666666566</v>
      </c>
      <c r="E357" s="42">
        <f t="shared" si="40"/>
        <v>93.82</v>
      </c>
      <c r="F357" s="42">
        <f t="shared" si="41"/>
        <v>46.91</v>
      </c>
      <c r="G357" s="42">
        <f t="shared" si="42"/>
        <v>23.454999999999998</v>
      </c>
      <c r="H357" s="42">
        <v>20</v>
      </c>
      <c r="I357" s="42">
        <f t="shared" si="43"/>
        <v>10</v>
      </c>
      <c r="J357" s="42">
        <f t="shared" si="44"/>
        <v>5</v>
      </c>
      <c r="K357" s="15">
        <v>8179725</v>
      </c>
    </row>
    <row r="358" spans="1:11">
      <c r="A358" s="42">
        <v>357</v>
      </c>
      <c r="B358" s="15">
        <v>470600</v>
      </c>
      <c r="C358" s="42">
        <f t="shared" ref="C358:C421" si="45">E358/H358</f>
        <v>4.7060000000000004</v>
      </c>
      <c r="D358" s="42">
        <f t="shared" ref="D358:D421" si="46">C358+D357</f>
        <v>787.51466666666568</v>
      </c>
      <c r="E358" s="42">
        <f t="shared" ref="E358:E421" si="47">B358/$N$2</f>
        <v>94.12</v>
      </c>
      <c r="F358" s="42">
        <f t="shared" ref="F358:F421" si="48">B358/$N$3</f>
        <v>47.06</v>
      </c>
      <c r="G358" s="42">
        <f t="shared" ref="G358:G421" si="49">B358/$N$4</f>
        <v>23.53</v>
      </c>
      <c r="H358" s="42">
        <v>20</v>
      </c>
      <c r="I358" s="42">
        <f t="shared" ref="I358:I421" si="50">H358/2</f>
        <v>10</v>
      </c>
      <c r="J358" s="42">
        <f t="shared" ref="J358:J421" si="51">H358/4</f>
        <v>5</v>
      </c>
      <c r="K358" s="15">
        <v>8228448</v>
      </c>
    </row>
    <row r="359" spans="1:11">
      <c r="A359" s="42">
        <v>358</v>
      </c>
      <c r="B359" s="15">
        <v>472100</v>
      </c>
      <c r="C359" s="42">
        <f t="shared" si="45"/>
        <v>4.7210000000000001</v>
      </c>
      <c r="D359" s="42">
        <f t="shared" si="46"/>
        <v>792.23566666666568</v>
      </c>
      <c r="E359" s="42">
        <f t="shared" si="47"/>
        <v>94.42</v>
      </c>
      <c r="F359" s="42">
        <f t="shared" si="48"/>
        <v>47.21</v>
      </c>
      <c r="G359" s="42">
        <f t="shared" si="49"/>
        <v>23.605</v>
      </c>
      <c r="H359" s="42">
        <v>20</v>
      </c>
      <c r="I359" s="42">
        <f t="shared" si="50"/>
        <v>10</v>
      </c>
      <c r="J359" s="42">
        <f t="shared" si="51"/>
        <v>5</v>
      </c>
      <c r="K359" s="15">
        <v>8277320</v>
      </c>
    </row>
    <row r="360" spans="1:11">
      <c r="A360" s="42">
        <v>359</v>
      </c>
      <c r="B360" s="15">
        <v>473500</v>
      </c>
      <c r="C360" s="42">
        <f t="shared" si="45"/>
        <v>4.7350000000000003</v>
      </c>
      <c r="D360" s="42">
        <f t="shared" si="46"/>
        <v>796.97066666666569</v>
      </c>
      <c r="E360" s="42">
        <f t="shared" si="47"/>
        <v>94.7</v>
      </c>
      <c r="F360" s="42">
        <f t="shared" si="48"/>
        <v>47.35</v>
      </c>
      <c r="G360" s="42">
        <f t="shared" si="49"/>
        <v>23.675000000000001</v>
      </c>
      <c r="H360" s="42">
        <v>20</v>
      </c>
      <c r="I360" s="42">
        <f t="shared" si="50"/>
        <v>10</v>
      </c>
      <c r="J360" s="42">
        <f t="shared" si="51"/>
        <v>5</v>
      </c>
      <c r="K360" s="15">
        <v>8326341</v>
      </c>
    </row>
    <row r="361" spans="1:11">
      <c r="A361" s="42">
        <v>360</v>
      </c>
      <c r="B361" s="15">
        <v>475000</v>
      </c>
      <c r="C361" s="42">
        <f t="shared" si="45"/>
        <v>4.75</v>
      </c>
      <c r="D361" s="42">
        <f t="shared" si="46"/>
        <v>801.72066666666569</v>
      </c>
      <c r="E361" s="42">
        <f t="shared" si="47"/>
        <v>95</v>
      </c>
      <c r="F361" s="42">
        <f t="shared" si="48"/>
        <v>47.5</v>
      </c>
      <c r="G361" s="42">
        <f t="shared" si="49"/>
        <v>23.75</v>
      </c>
      <c r="H361" s="42">
        <v>20</v>
      </c>
      <c r="I361" s="42">
        <f t="shared" si="50"/>
        <v>10</v>
      </c>
      <c r="J361" s="42">
        <f t="shared" si="51"/>
        <v>5</v>
      </c>
      <c r="K361" s="15">
        <v>8375511</v>
      </c>
    </row>
    <row r="362" spans="1:11">
      <c r="A362" s="42">
        <v>361</v>
      </c>
      <c r="B362" s="15">
        <v>476400</v>
      </c>
      <c r="C362" s="42">
        <f t="shared" si="45"/>
        <v>4.7640000000000002</v>
      </c>
      <c r="D362" s="42">
        <f t="shared" si="46"/>
        <v>806.4846666666657</v>
      </c>
      <c r="E362" s="42">
        <f t="shared" si="47"/>
        <v>95.28</v>
      </c>
      <c r="F362" s="42">
        <f t="shared" si="48"/>
        <v>47.64</v>
      </c>
      <c r="G362" s="42">
        <f t="shared" si="49"/>
        <v>23.82</v>
      </c>
      <c r="H362" s="42">
        <v>20</v>
      </c>
      <c r="I362" s="42">
        <f t="shared" si="50"/>
        <v>10</v>
      </c>
      <c r="J362" s="42">
        <f t="shared" si="51"/>
        <v>5</v>
      </c>
      <c r="K362" s="15">
        <v>8424830</v>
      </c>
    </row>
    <row r="363" spans="1:11">
      <c r="A363" s="42">
        <v>362</v>
      </c>
      <c r="B363" s="15">
        <v>477900</v>
      </c>
      <c r="C363" s="42">
        <f t="shared" si="45"/>
        <v>4.7789999999999999</v>
      </c>
      <c r="D363" s="42">
        <f t="shared" si="46"/>
        <v>811.2636666666657</v>
      </c>
      <c r="E363" s="42">
        <f t="shared" si="47"/>
        <v>95.58</v>
      </c>
      <c r="F363" s="42">
        <f t="shared" si="48"/>
        <v>47.79</v>
      </c>
      <c r="G363" s="42">
        <f t="shared" si="49"/>
        <v>23.895</v>
      </c>
      <c r="H363" s="42">
        <v>20</v>
      </c>
      <c r="I363" s="42">
        <f t="shared" si="50"/>
        <v>10</v>
      </c>
      <c r="J363" s="42">
        <f t="shared" si="51"/>
        <v>5</v>
      </c>
      <c r="K363" s="15">
        <v>8474299</v>
      </c>
    </row>
    <row r="364" spans="1:11">
      <c r="A364" s="42">
        <v>363</v>
      </c>
      <c r="B364" s="15">
        <v>479400</v>
      </c>
      <c r="C364" s="42">
        <f t="shared" si="45"/>
        <v>4.7939999999999996</v>
      </c>
      <c r="D364" s="42">
        <f t="shared" si="46"/>
        <v>816.05766666666568</v>
      </c>
      <c r="E364" s="42">
        <f t="shared" si="47"/>
        <v>95.88</v>
      </c>
      <c r="F364" s="42">
        <f t="shared" si="48"/>
        <v>47.94</v>
      </c>
      <c r="G364" s="42">
        <f t="shared" si="49"/>
        <v>23.97</v>
      </c>
      <c r="H364" s="42">
        <v>20</v>
      </c>
      <c r="I364" s="42">
        <f t="shared" si="50"/>
        <v>10</v>
      </c>
      <c r="J364" s="42">
        <f t="shared" si="51"/>
        <v>5</v>
      </c>
      <c r="K364" s="15">
        <v>8523917</v>
      </c>
    </row>
    <row r="365" spans="1:11">
      <c r="A365" s="42">
        <v>364</v>
      </c>
      <c r="B365" s="15">
        <v>480800</v>
      </c>
      <c r="C365" s="42">
        <f t="shared" si="45"/>
        <v>4.8079999999999998</v>
      </c>
      <c r="D365" s="42">
        <f t="shared" si="46"/>
        <v>820.86566666666567</v>
      </c>
      <c r="E365" s="42">
        <f t="shared" si="47"/>
        <v>96.16</v>
      </c>
      <c r="F365" s="42">
        <f t="shared" si="48"/>
        <v>48.08</v>
      </c>
      <c r="G365" s="42">
        <f t="shared" si="49"/>
        <v>24.04</v>
      </c>
      <c r="H365" s="42">
        <v>20</v>
      </c>
      <c r="I365" s="42">
        <f t="shared" si="50"/>
        <v>10</v>
      </c>
      <c r="J365" s="42">
        <f t="shared" si="51"/>
        <v>5</v>
      </c>
      <c r="K365" s="15">
        <v>8573684</v>
      </c>
    </row>
    <row r="366" spans="1:11">
      <c r="A366" s="42">
        <v>365</v>
      </c>
      <c r="B366" s="15">
        <v>482300</v>
      </c>
      <c r="C366" s="42">
        <f t="shared" si="45"/>
        <v>4.8229999999999995</v>
      </c>
      <c r="D366" s="42">
        <f t="shared" si="46"/>
        <v>825.68866666666565</v>
      </c>
      <c r="E366" s="42">
        <f t="shared" si="47"/>
        <v>96.46</v>
      </c>
      <c r="F366" s="42">
        <f t="shared" si="48"/>
        <v>48.23</v>
      </c>
      <c r="G366" s="42">
        <f t="shared" si="49"/>
        <v>24.114999999999998</v>
      </c>
      <c r="H366" s="42">
        <v>20</v>
      </c>
      <c r="I366" s="42">
        <f t="shared" si="50"/>
        <v>10</v>
      </c>
      <c r="J366" s="42">
        <f t="shared" si="51"/>
        <v>5</v>
      </c>
      <c r="K366" s="15">
        <v>8623600</v>
      </c>
    </row>
    <row r="367" spans="1:11">
      <c r="A367" s="42">
        <v>366</v>
      </c>
      <c r="B367" s="15">
        <v>483800</v>
      </c>
      <c r="C367" s="42">
        <f t="shared" si="45"/>
        <v>4.8380000000000001</v>
      </c>
      <c r="D367" s="42">
        <f t="shared" si="46"/>
        <v>830.52666666666562</v>
      </c>
      <c r="E367" s="42">
        <f t="shared" si="47"/>
        <v>96.76</v>
      </c>
      <c r="F367" s="42">
        <f t="shared" si="48"/>
        <v>48.38</v>
      </c>
      <c r="G367" s="42">
        <f t="shared" si="49"/>
        <v>24.19</v>
      </c>
      <c r="H367" s="42">
        <v>20</v>
      </c>
      <c r="I367" s="42">
        <f t="shared" si="50"/>
        <v>10</v>
      </c>
      <c r="J367" s="42">
        <f t="shared" si="51"/>
        <v>5</v>
      </c>
      <c r="K367" s="15">
        <v>8673665</v>
      </c>
    </row>
    <row r="368" spans="1:11">
      <c r="A368" s="42">
        <v>367</v>
      </c>
      <c r="B368" s="15">
        <v>485200</v>
      </c>
      <c r="C368" s="42">
        <f t="shared" si="45"/>
        <v>4.8520000000000003</v>
      </c>
      <c r="D368" s="42">
        <f t="shared" si="46"/>
        <v>835.37866666666559</v>
      </c>
      <c r="E368" s="42">
        <f t="shared" si="47"/>
        <v>97.04</v>
      </c>
      <c r="F368" s="42">
        <f t="shared" si="48"/>
        <v>48.52</v>
      </c>
      <c r="G368" s="42">
        <f t="shared" si="49"/>
        <v>24.26</v>
      </c>
      <c r="H368" s="42">
        <v>20</v>
      </c>
      <c r="I368" s="42">
        <f t="shared" si="50"/>
        <v>10</v>
      </c>
      <c r="J368" s="42">
        <f t="shared" si="51"/>
        <v>5</v>
      </c>
      <c r="K368" s="15">
        <v>8723880</v>
      </c>
    </row>
    <row r="369" spans="1:11">
      <c r="A369" s="42">
        <v>368</v>
      </c>
      <c r="B369" s="15">
        <v>486700</v>
      </c>
      <c r="C369" s="42">
        <f t="shared" si="45"/>
        <v>4.867</v>
      </c>
      <c r="D369" s="42">
        <f t="shared" si="46"/>
        <v>840.24566666666556</v>
      </c>
      <c r="E369" s="42">
        <f t="shared" si="47"/>
        <v>97.34</v>
      </c>
      <c r="F369" s="42">
        <f t="shared" si="48"/>
        <v>48.67</v>
      </c>
      <c r="G369" s="42">
        <f t="shared" si="49"/>
        <v>24.335000000000001</v>
      </c>
      <c r="H369" s="42">
        <v>20</v>
      </c>
      <c r="I369" s="42">
        <f t="shared" si="50"/>
        <v>10</v>
      </c>
      <c r="J369" s="42">
        <f t="shared" si="51"/>
        <v>5</v>
      </c>
      <c r="K369" s="15">
        <v>8774244</v>
      </c>
    </row>
    <row r="370" spans="1:11">
      <c r="A370" s="42">
        <v>369</v>
      </c>
      <c r="B370" s="15">
        <v>488200</v>
      </c>
      <c r="C370" s="42">
        <f t="shared" si="45"/>
        <v>4.8819999999999997</v>
      </c>
      <c r="D370" s="42">
        <f t="shared" si="46"/>
        <v>845.1276666666655</v>
      </c>
      <c r="E370" s="42">
        <f t="shared" si="47"/>
        <v>97.64</v>
      </c>
      <c r="F370" s="42">
        <f t="shared" si="48"/>
        <v>48.82</v>
      </c>
      <c r="G370" s="42">
        <f t="shared" si="49"/>
        <v>24.41</v>
      </c>
      <c r="H370" s="42">
        <v>20</v>
      </c>
      <c r="I370" s="42">
        <f t="shared" si="50"/>
        <v>10</v>
      </c>
      <c r="J370" s="42">
        <f t="shared" si="51"/>
        <v>5</v>
      </c>
      <c r="K370" s="15">
        <v>8824758</v>
      </c>
    </row>
    <row r="371" spans="1:11">
      <c r="A371" s="42">
        <v>370</v>
      </c>
      <c r="B371" s="15">
        <v>489600</v>
      </c>
      <c r="C371" s="42">
        <f t="shared" si="45"/>
        <v>4.8959999999999999</v>
      </c>
      <c r="D371" s="42">
        <f t="shared" si="46"/>
        <v>850.02366666666546</v>
      </c>
      <c r="E371" s="42">
        <f t="shared" si="47"/>
        <v>97.92</v>
      </c>
      <c r="F371" s="42">
        <f t="shared" si="48"/>
        <v>48.96</v>
      </c>
      <c r="G371" s="42">
        <f t="shared" si="49"/>
        <v>24.48</v>
      </c>
      <c r="H371" s="42">
        <v>20</v>
      </c>
      <c r="I371" s="42">
        <f t="shared" si="50"/>
        <v>10</v>
      </c>
      <c r="J371" s="42">
        <f t="shared" si="51"/>
        <v>5</v>
      </c>
      <c r="K371" s="15">
        <v>8875420</v>
      </c>
    </row>
    <row r="372" spans="1:11">
      <c r="A372" s="42">
        <v>371</v>
      </c>
      <c r="B372" s="15">
        <v>491100</v>
      </c>
      <c r="C372" s="42">
        <f t="shared" si="45"/>
        <v>4.9109999999999996</v>
      </c>
      <c r="D372" s="42">
        <f t="shared" si="46"/>
        <v>854.93466666666541</v>
      </c>
      <c r="E372" s="42">
        <f t="shared" si="47"/>
        <v>98.22</v>
      </c>
      <c r="F372" s="42">
        <f t="shared" si="48"/>
        <v>49.11</v>
      </c>
      <c r="G372" s="42">
        <f t="shared" si="49"/>
        <v>24.555</v>
      </c>
      <c r="H372" s="42">
        <v>20</v>
      </c>
      <c r="I372" s="42">
        <f t="shared" si="50"/>
        <v>10</v>
      </c>
      <c r="J372" s="42">
        <f t="shared" si="51"/>
        <v>5</v>
      </c>
      <c r="K372" s="15">
        <v>8926233</v>
      </c>
    </row>
    <row r="373" spans="1:11">
      <c r="A373" s="42">
        <v>372</v>
      </c>
      <c r="B373" s="15">
        <v>492600</v>
      </c>
      <c r="C373" s="42">
        <f t="shared" si="45"/>
        <v>4.9260000000000002</v>
      </c>
      <c r="D373" s="42">
        <f t="shared" si="46"/>
        <v>859.86066666666545</v>
      </c>
      <c r="E373" s="42">
        <f t="shared" si="47"/>
        <v>98.52</v>
      </c>
      <c r="F373" s="42">
        <f t="shared" si="48"/>
        <v>49.26</v>
      </c>
      <c r="G373" s="42">
        <f t="shared" si="49"/>
        <v>24.63</v>
      </c>
      <c r="H373" s="42">
        <v>20</v>
      </c>
      <c r="I373" s="42">
        <f t="shared" si="50"/>
        <v>10</v>
      </c>
      <c r="J373" s="42">
        <f t="shared" si="51"/>
        <v>5</v>
      </c>
      <c r="K373" s="15">
        <v>8977194</v>
      </c>
    </row>
    <row r="374" spans="1:11">
      <c r="A374" s="42">
        <v>373</v>
      </c>
      <c r="B374" s="15">
        <v>494000</v>
      </c>
      <c r="C374" s="42">
        <f t="shared" si="45"/>
        <v>4.9399999999999995</v>
      </c>
      <c r="D374" s="42">
        <f t="shared" si="46"/>
        <v>864.80066666666551</v>
      </c>
      <c r="E374" s="42">
        <f t="shared" si="47"/>
        <v>98.8</v>
      </c>
      <c r="F374" s="42">
        <f t="shared" si="48"/>
        <v>49.4</v>
      </c>
      <c r="G374" s="42">
        <f t="shared" si="49"/>
        <v>24.7</v>
      </c>
      <c r="H374" s="42">
        <v>20</v>
      </c>
      <c r="I374" s="42">
        <f t="shared" si="50"/>
        <v>10</v>
      </c>
      <c r="J374" s="42">
        <f t="shared" si="51"/>
        <v>5</v>
      </c>
      <c r="K374" s="15">
        <v>9028305</v>
      </c>
    </row>
    <row r="375" spans="1:11">
      <c r="A375" s="42">
        <v>374</v>
      </c>
      <c r="B375" s="15">
        <v>495500</v>
      </c>
      <c r="C375" s="42">
        <f t="shared" si="45"/>
        <v>4.9550000000000001</v>
      </c>
      <c r="D375" s="42">
        <f t="shared" si="46"/>
        <v>869.75566666666555</v>
      </c>
      <c r="E375" s="42">
        <f t="shared" si="47"/>
        <v>99.1</v>
      </c>
      <c r="F375" s="42">
        <f t="shared" si="48"/>
        <v>49.55</v>
      </c>
      <c r="G375" s="42">
        <f t="shared" si="49"/>
        <v>24.774999999999999</v>
      </c>
      <c r="H375" s="42">
        <v>20</v>
      </c>
      <c r="I375" s="42">
        <f t="shared" si="50"/>
        <v>10</v>
      </c>
      <c r="J375" s="42">
        <f t="shared" si="51"/>
        <v>5</v>
      </c>
      <c r="K375" s="15">
        <v>9079566</v>
      </c>
    </row>
    <row r="376" spans="1:11">
      <c r="A376" s="42">
        <v>375</v>
      </c>
      <c r="B376" s="15">
        <v>497000</v>
      </c>
      <c r="C376" s="42">
        <f t="shared" si="45"/>
        <v>4.9700000000000006</v>
      </c>
      <c r="D376" s="42">
        <f t="shared" si="46"/>
        <v>874.72566666666557</v>
      </c>
      <c r="E376" s="42">
        <f t="shared" si="47"/>
        <v>99.4</v>
      </c>
      <c r="F376" s="42">
        <f t="shared" si="48"/>
        <v>49.7</v>
      </c>
      <c r="G376" s="42">
        <f t="shared" si="49"/>
        <v>24.85</v>
      </c>
      <c r="H376" s="42">
        <v>20</v>
      </c>
      <c r="I376" s="42">
        <f t="shared" si="50"/>
        <v>10</v>
      </c>
      <c r="J376" s="42">
        <f t="shared" si="51"/>
        <v>5</v>
      </c>
      <c r="K376" s="15">
        <v>9130976</v>
      </c>
    </row>
    <row r="377" spans="1:11">
      <c r="A377" s="42">
        <v>376</v>
      </c>
      <c r="B377" s="15">
        <v>498400</v>
      </c>
      <c r="C377" s="42">
        <f t="shared" si="45"/>
        <v>4.984</v>
      </c>
      <c r="D377" s="42">
        <f t="shared" si="46"/>
        <v>879.70966666666561</v>
      </c>
      <c r="E377" s="42">
        <f t="shared" si="47"/>
        <v>99.68</v>
      </c>
      <c r="F377" s="42">
        <f t="shared" si="48"/>
        <v>49.84</v>
      </c>
      <c r="G377" s="42">
        <f t="shared" si="49"/>
        <v>24.92</v>
      </c>
      <c r="H377" s="42">
        <v>20</v>
      </c>
      <c r="I377" s="42">
        <f t="shared" si="50"/>
        <v>10</v>
      </c>
      <c r="J377" s="42">
        <f t="shared" si="51"/>
        <v>5</v>
      </c>
      <c r="K377" s="15">
        <v>9182535</v>
      </c>
    </row>
    <row r="378" spans="1:11">
      <c r="A378" s="42">
        <v>377</v>
      </c>
      <c r="B378" s="15">
        <v>499900</v>
      </c>
      <c r="C378" s="42">
        <f t="shared" si="45"/>
        <v>4.9990000000000006</v>
      </c>
      <c r="D378" s="42">
        <f t="shared" si="46"/>
        <v>884.70866666666564</v>
      </c>
      <c r="E378" s="42">
        <f t="shared" si="47"/>
        <v>99.98</v>
      </c>
      <c r="F378" s="42">
        <f t="shared" si="48"/>
        <v>49.99</v>
      </c>
      <c r="G378" s="42">
        <f t="shared" si="49"/>
        <v>24.995000000000001</v>
      </c>
      <c r="H378" s="42">
        <v>20</v>
      </c>
      <c r="I378" s="42">
        <f t="shared" si="50"/>
        <v>10</v>
      </c>
      <c r="J378" s="42">
        <f t="shared" si="51"/>
        <v>5</v>
      </c>
      <c r="K378" s="15">
        <v>9234245</v>
      </c>
    </row>
    <row r="379" spans="1:11">
      <c r="A379" s="42">
        <v>378</v>
      </c>
      <c r="B379" s="15">
        <v>501400</v>
      </c>
      <c r="C379" s="42">
        <f t="shared" si="45"/>
        <v>5.0140000000000002</v>
      </c>
      <c r="D379" s="42">
        <f t="shared" si="46"/>
        <v>889.72266666666565</v>
      </c>
      <c r="E379" s="42">
        <f t="shared" si="47"/>
        <v>100.28</v>
      </c>
      <c r="F379" s="42">
        <f t="shared" si="48"/>
        <v>50.14</v>
      </c>
      <c r="G379" s="42">
        <f t="shared" si="49"/>
        <v>25.07</v>
      </c>
      <c r="H379" s="42">
        <v>20</v>
      </c>
      <c r="I379" s="42">
        <f t="shared" si="50"/>
        <v>10</v>
      </c>
      <c r="J379" s="42">
        <f t="shared" si="51"/>
        <v>5</v>
      </c>
      <c r="K379" s="15">
        <v>9286103</v>
      </c>
    </row>
    <row r="380" spans="1:11">
      <c r="A380" s="42">
        <v>379</v>
      </c>
      <c r="B380" s="15">
        <v>502900</v>
      </c>
      <c r="C380" s="42">
        <f t="shared" si="45"/>
        <v>5.0289999999999999</v>
      </c>
      <c r="D380" s="42">
        <f t="shared" si="46"/>
        <v>894.75166666666564</v>
      </c>
      <c r="E380" s="42">
        <f t="shared" si="47"/>
        <v>100.58</v>
      </c>
      <c r="F380" s="42">
        <f t="shared" si="48"/>
        <v>50.29</v>
      </c>
      <c r="G380" s="42">
        <f t="shared" si="49"/>
        <v>25.145</v>
      </c>
      <c r="H380" s="42">
        <v>20</v>
      </c>
      <c r="I380" s="42">
        <f t="shared" si="50"/>
        <v>10</v>
      </c>
      <c r="J380" s="42">
        <f t="shared" si="51"/>
        <v>5</v>
      </c>
      <c r="K380" s="15">
        <v>9338112</v>
      </c>
    </row>
    <row r="381" spans="1:11">
      <c r="A381" s="42">
        <v>380</v>
      </c>
      <c r="B381" s="15">
        <v>504300</v>
      </c>
      <c r="C381" s="42">
        <f t="shared" si="45"/>
        <v>5.0430000000000001</v>
      </c>
      <c r="D381" s="42">
        <f t="shared" si="46"/>
        <v>899.79466666666565</v>
      </c>
      <c r="E381" s="42">
        <f t="shared" si="47"/>
        <v>100.86</v>
      </c>
      <c r="F381" s="42">
        <f t="shared" si="48"/>
        <v>50.43</v>
      </c>
      <c r="G381" s="42">
        <f t="shared" si="49"/>
        <v>25.215</v>
      </c>
      <c r="H381" s="42">
        <v>20</v>
      </c>
      <c r="I381" s="42">
        <f t="shared" si="50"/>
        <v>10</v>
      </c>
      <c r="J381" s="42">
        <f t="shared" si="51"/>
        <v>5</v>
      </c>
      <c r="K381" s="15">
        <v>9390269</v>
      </c>
    </row>
    <row r="382" spans="1:11">
      <c r="A382" s="42">
        <v>381</v>
      </c>
      <c r="B382" s="15">
        <v>505800</v>
      </c>
      <c r="C382" s="42">
        <f t="shared" si="45"/>
        <v>5.0579999999999998</v>
      </c>
      <c r="D382" s="42">
        <f t="shared" si="46"/>
        <v>904.85266666666564</v>
      </c>
      <c r="E382" s="42">
        <f t="shared" si="47"/>
        <v>101.16</v>
      </c>
      <c r="F382" s="42">
        <f t="shared" si="48"/>
        <v>50.58</v>
      </c>
      <c r="G382" s="42">
        <f t="shared" si="49"/>
        <v>25.29</v>
      </c>
      <c r="H382" s="42">
        <v>20</v>
      </c>
      <c r="I382" s="42">
        <f t="shared" si="50"/>
        <v>10</v>
      </c>
      <c r="J382" s="42">
        <f t="shared" si="51"/>
        <v>5</v>
      </c>
      <c r="K382" s="15">
        <v>9442577</v>
      </c>
    </row>
    <row r="383" spans="1:11">
      <c r="A383" s="42">
        <v>382</v>
      </c>
      <c r="B383" s="15">
        <v>507300</v>
      </c>
      <c r="C383" s="42">
        <f t="shared" si="45"/>
        <v>5.0729999999999995</v>
      </c>
      <c r="D383" s="42">
        <f t="shared" si="46"/>
        <v>909.92566666666562</v>
      </c>
      <c r="E383" s="42">
        <f t="shared" si="47"/>
        <v>101.46</v>
      </c>
      <c r="F383" s="42">
        <f t="shared" si="48"/>
        <v>50.73</v>
      </c>
      <c r="G383" s="42">
        <f t="shared" si="49"/>
        <v>25.364999999999998</v>
      </c>
      <c r="H383" s="42">
        <v>20</v>
      </c>
      <c r="I383" s="42">
        <f t="shared" si="50"/>
        <v>10</v>
      </c>
      <c r="J383" s="42">
        <f t="shared" si="51"/>
        <v>5</v>
      </c>
      <c r="K383" s="15">
        <v>9495034</v>
      </c>
    </row>
    <row r="384" spans="1:11">
      <c r="A384" s="42">
        <v>383</v>
      </c>
      <c r="B384" s="15">
        <v>508800</v>
      </c>
      <c r="C384" s="42">
        <f t="shared" si="45"/>
        <v>5.0880000000000001</v>
      </c>
      <c r="D384" s="42">
        <f t="shared" si="46"/>
        <v>915.01366666666559</v>
      </c>
      <c r="E384" s="42">
        <f t="shared" si="47"/>
        <v>101.76</v>
      </c>
      <c r="F384" s="42">
        <f t="shared" si="48"/>
        <v>50.88</v>
      </c>
      <c r="G384" s="42">
        <f t="shared" si="49"/>
        <v>25.44</v>
      </c>
      <c r="H384" s="42">
        <v>20</v>
      </c>
      <c r="I384" s="42">
        <f t="shared" si="50"/>
        <v>10</v>
      </c>
      <c r="J384" s="42">
        <f t="shared" si="51"/>
        <v>5</v>
      </c>
      <c r="K384" s="15">
        <v>9547641</v>
      </c>
    </row>
    <row r="385" spans="1:11">
      <c r="A385" s="42">
        <v>384</v>
      </c>
      <c r="B385" s="15">
        <v>510200</v>
      </c>
      <c r="C385" s="42">
        <f t="shared" si="45"/>
        <v>5.1020000000000003</v>
      </c>
      <c r="D385" s="42">
        <f t="shared" si="46"/>
        <v>920.11566666666556</v>
      </c>
      <c r="E385" s="42">
        <f t="shared" si="47"/>
        <v>102.04</v>
      </c>
      <c r="F385" s="42">
        <f t="shared" si="48"/>
        <v>51.02</v>
      </c>
      <c r="G385" s="42">
        <f t="shared" si="49"/>
        <v>25.51</v>
      </c>
      <c r="H385" s="42">
        <v>20</v>
      </c>
      <c r="I385" s="42">
        <f t="shared" si="50"/>
        <v>10</v>
      </c>
      <c r="J385" s="42">
        <f t="shared" si="51"/>
        <v>5</v>
      </c>
      <c r="K385" s="15">
        <v>9600398</v>
      </c>
    </row>
    <row r="386" spans="1:11">
      <c r="A386" s="42">
        <v>385</v>
      </c>
      <c r="B386" s="15">
        <v>511700</v>
      </c>
      <c r="C386" s="42">
        <f t="shared" si="45"/>
        <v>5.117</v>
      </c>
      <c r="D386" s="42">
        <f t="shared" si="46"/>
        <v>925.23266666666552</v>
      </c>
      <c r="E386" s="42">
        <f t="shared" si="47"/>
        <v>102.34</v>
      </c>
      <c r="F386" s="42">
        <f t="shared" si="48"/>
        <v>51.17</v>
      </c>
      <c r="G386" s="42">
        <f t="shared" si="49"/>
        <v>25.585000000000001</v>
      </c>
      <c r="H386" s="42">
        <v>20</v>
      </c>
      <c r="I386" s="42">
        <f t="shared" si="50"/>
        <v>10</v>
      </c>
      <c r="J386" s="42">
        <f t="shared" si="51"/>
        <v>5</v>
      </c>
      <c r="K386" s="15">
        <v>9653304</v>
      </c>
    </row>
    <row r="387" spans="1:11">
      <c r="A387" s="42">
        <v>386</v>
      </c>
      <c r="B387" s="15">
        <v>513200</v>
      </c>
      <c r="C387" s="42">
        <f t="shared" si="45"/>
        <v>5.1319999999999997</v>
      </c>
      <c r="D387" s="42">
        <f t="shared" si="46"/>
        <v>930.36466666666547</v>
      </c>
      <c r="E387" s="42">
        <f t="shared" si="47"/>
        <v>102.64</v>
      </c>
      <c r="F387" s="42">
        <f t="shared" si="48"/>
        <v>51.32</v>
      </c>
      <c r="G387" s="42">
        <f t="shared" si="49"/>
        <v>25.66</v>
      </c>
      <c r="H387" s="42">
        <v>20</v>
      </c>
      <c r="I387" s="42">
        <f t="shared" si="50"/>
        <v>10</v>
      </c>
      <c r="J387" s="42">
        <f t="shared" si="51"/>
        <v>5</v>
      </c>
      <c r="K387" s="15">
        <v>9706361</v>
      </c>
    </row>
    <row r="388" spans="1:11">
      <c r="A388" s="42">
        <v>387</v>
      </c>
      <c r="B388" s="15">
        <v>514700</v>
      </c>
      <c r="C388" s="42">
        <f t="shared" si="45"/>
        <v>5.1470000000000002</v>
      </c>
      <c r="D388" s="42">
        <f t="shared" si="46"/>
        <v>935.51166666666552</v>
      </c>
      <c r="E388" s="42">
        <f t="shared" si="47"/>
        <v>102.94</v>
      </c>
      <c r="F388" s="42">
        <f t="shared" si="48"/>
        <v>51.47</v>
      </c>
      <c r="G388" s="42">
        <f t="shared" si="49"/>
        <v>25.734999999999999</v>
      </c>
      <c r="H388" s="42">
        <v>20</v>
      </c>
      <c r="I388" s="42">
        <f t="shared" si="50"/>
        <v>10</v>
      </c>
      <c r="J388" s="42">
        <f t="shared" si="51"/>
        <v>5</v>
      </c>
      <c r="K388" s="15">
        <v>9759567</v>
      </c>
    </row>
    <row r="389" spans="1:11">
      <c r="A389" s="42">
        <v>388</v>
      </c>
      <c r="B389" s="15">
        <v>516100</v>
      </c>
      <c r="C389" s="42">
        <f t="shared" si="45"/>
        <v>5.1609999999999996</v>
      </c>
      <c r="D389" s="42">
        <f t="shared" si="46"/>
        <v>940.67266666666546</v>
      </c>
      <c r="E389" s="42">
        <f t="shared" si="47"/>
        <v>103.22</v>
      </c>
      <c r="F389" s="42">
        <f t="shared" si="48"/>
        <v>51.61</v>
      </c>
      <c r="G389" s="42">
        <f t="shared" si="49"/>
        <v>25.805</v>
      </c>
      <c r="H389" s="42">
        <v>20</v>
      </c>
      <c r="I389" s="42">
        <f t="shared" si="50"/>
        <v>10</v>
      </c>
      <c r="J389" s="42">
        <f t="shared" si="51"/>
        <v>5</v>
      </c>
      <c r="K389" s="15">
        <v>9812922</v>
      </c>
    </row>
    <row r="390" spans="1:11">
      <c r="A390" s="42">
        <v>389</v>
      </c>
      <c r="B390" s="15">
        <v>517600</v>
      </c>
      <c r="C390" s="42">
        <f t="shared" si="45"/>
        <v>5.1760000000000002</v>
      </c>
      <c r="D390" s="42">
        <f t="shared" si="46"/>
        <v>945.84866666666551</v>
      </c>
      <c r="E390" s="42">
        <f t="shared" si="47"/>
        <v>103.52</v>
      </c>
      <c r="F390" s="42">
        <f t="shared" si="48"/>
        <v>51.76</v>
      </c>
      <c r="G390" s="42">
        <f t="shared" si="49"/>
        <v>25.88</v>
      </c>
      <c r="H390" s="42">
        <v>20</v>
      </c>
      <c r="I390" s="42">
        <f t="shared" si="50"/>
        <v>10</v>
      </c>
      <c r="J390" s="42">
        <f t="shared" si="51"/>
        <v>5</v>
      </c>
      <c r="K390" s="15">
        <v>9866428</v>
      </c>
    </row>
    <row r="391" spans="1:11">
      <c r="A391" s="42">
        <v>390</v>
      </c>
      <c r="B391" s="15">
        <v>519100</v>
      </c>
      <c r="C391" s="42">
        <f t="shared" si="45"/>
        <v>5.1909999999999998</v>
      </c>
      <c r="D391" s="42">
        <f t="shared" si="46"/>
        <v>951.03966666666554</v>
      </c>
      <c r="E391" s="42">
        <f t="shared" si="47"/>
        <v>103.82</v>
      </c>
      <c r="F391" s="42">
        <f t="shared" si="48"/>
        <v>51.91</v>
      </c>
      <c r="G391" s="42">
        <f t="shared" si="49"/>
        <v>25.954999999999998</v>
      </c>
      <c r="H391" s="42">
        <v>20</v>
      </c>
      <c r="I391" s="42">
        <f t="shared" si="50"/>
        <v>10</v>
      </c>
      <c r="J391" s="42">
        <f t="shared" si="51"/>
        <v>5</v>
      </c>
      <c r="K391" s="15">
        <v>9920084</v>
      </c>
    </row>
    <row r="392" spans="1:11">
      <c r="A392" s="42">
        <v>391</v>
      </c>
      <c r="B392" s="15">
        <v>520600</v>
      </c>
      <c r="C392" s="42">
        <f t="shared" si="45"/>
        <v>5.2060000000000004</v>
      </c>
      <c r="D392" s="42">
        <f t="shared" si="46"/>
        <v>956.24566666666556</v>
      </c>
      <c r="E392" s="42">
        <f t="shared" si="47"/>
        <v>104.12</v>
      </c>
      <c r="F392" s="42">
        <f t="shared" si="48"/>
        <v>52.06</v>
      </c>
      <c r="G392" s="42">
        <f t="shared" si="49"/>
        <v>26.03</v>
      </c>
      <c r="H392" s="42">
        <v>20</v>
      </c>
      <c r="I392" s="42">
        <f t="shared" si="50"/>
        <v>10</v>
      </c>
      <c r="J392" s="42">
        <f t="shared" si="51"/>
        <v>5</v>
      </c>
      <c r="K392" s="15">
        <v>9973889</v>
      </c>
    </row>
    <row r="393" spans="1:11">
      <c r="A393" s="42">
        <v>392</v>
      </c>
      <c r="B393" s="15">
        <v>522000</v>
      </c>
      <c r="C393" s="42">
        <f t="shared" si="45"/>
        <v>5.2200000000000006</v>
      </c>
      <c r="D393" s="42">
        <f t="shared" si="46"/>
        <v>961.46566666666558</v>
      </c>
      <c r="E393" s="42">
        <f t="shared" si="47"/>
        <v>104.4</v>
      </c>
      <c r="F393" s="42">
        <f t="shared" si="48"/>
        <v>52.2</v>
      </c>
      <c r="G393" s="42">
        <f t="shared" si="49"/>
        <v>26.1</v>
      </c>
      <c r="H393" s="42">
        <v>20</v>
      </c>
      <c r="I393" s="42">
        <f t="shared" si="50"/>
        <v>10</v>
      </c>
      <c r="J393" s="42">
        <f t="shared" si="51"/>
        <v>5</v>
      </c>
      <c r="K393" s="15">
        <v>10027844</v>
      </c>
    </row>
    <row r="394" spans="1:11">
      <c r="A394" s="42">
        <v>393</v>
      </c>
      <c r="B394" s="15">
        <v>523500</v>
      </c>
      <c r="C394" s="42">
        <f t="shared" si="45"/>
        <v>5.2350000000000003</v>
      </c>
      <c r="D394" s="42">
        <f t="shared" si="46"/>
        <v>966.7006666666656</v>
      </c>
      <c r="E394" s="42">
        <f t="shared" si="47"/>
        <v>104.7</v>
      </c>
      <c r="F394" s="42">
        <f t="shared" si="48"/>
        <v>52.35</v>
      </c>
      <c r="G394" s="42">
        <f t="shared" si="49"/>
        <v>26.175000000000001</v>
      </c>
      <c r="H394" s="42">
        <v>20</v>
      </c>
      <c r="I394" s="42">
        <f t="shared" si="50"/>
        <v>10</v>
      </c>
      <c r="J394" s="42">
        <f t="shared" si="51"/>
        <v>5</v>
      </c>
      <c r="K394" s="15">
        <v>10081950</v>
      </c>
    </row>
    <row r="395" spans="1:11">
      <c r="A395" s="42">
        <v>394</v>
      </c>
      <c r="B395" s="15">
        <v>525000</v>
      </c>
      <c r="C395" s="42">
        <f t="shared" si="45"/>
        <v>5.25</v>
      </c>
      <c r="D395" s="42">
        <f t="shared" si="46"/>
        <v>971.9506666666656</v>
      </c>
      <c r="E395" s="42">
        <f t="shared" si="47"/>
        <v>105</v>
      </c>
      <c r="F395" s="42">
        <f t="shared" si="48"/>
        <v>52.5</v>
      </c>
      <c r="G395" s="42">
        <f t="shared" si="49"/>
        <v>26.25</v>
      </c>
      <c r="H395" s="42">
        <v>20</v>
      </c>
      <c r="I395" s="42">
        <f t="shared" si="50"/>
        <v>10</v>
      </c>
      <c r="J395" s="42">
        <f t="shared" si="51"/>
        <v>5</v>
      </c>
      <c r="K395" s="15">
        <v>10136205</v>
      </c>
    </row>
    <row r="396" spans="1:11">
      <c r="A396" s="42">
        <v>395</v>
      </c>
      <c r="B396" s="15">
        <v>526500</v>
      </c>
      <c r="C396" s="42">
        <f t="shared" si="45"/>
        <v>5.2649999999999997</v>
      </c>
      <c r="D396" s="42">
        <f t="shared" si="46"/>
        <v>977.21566666666558</v>
      </c>
      <c r="E396" s="42">
        <f t="shared" si="47"/>
        <v>105.3</v>
      </c>
      <c r="F396" s="42">
        <f t="shared" si="48"/>
        <v>52.65</v>
      </c>
      <c r="G396" s="42">
        <f t="shared" si="49"/>
        <v>26.324999999999999</v>
      </c>
      <c r="H396" s="42">
        <v>20</v>
      </c>
      <c r="I396" s="42">
        <f t="shared" si="50"/>
        <v>10</v>
      </c>
      <c r="J396" s="42">
        <f t="shared" si="51"/>
        <v>5</v>
      </c>
      <c r="K396" s="15">
        <v>10190610</v>
      </c>
    </row>
    <row r="397" spans="1:11">
      <c r="A397" s="42">
        <v>396</v>
      </c>
      <c r="B397" s="15">
        <v>528000</v>
      </c>
      <c r="C397" s="42">
        <f t="shared" si="45"/>
        <v>5.2799999999999994</v>
      </c>
      <c r="D397" s="42">
        <f t="shared" si="46"/>
        <v>982.49566666666556</v>
      </c>
      <c r="E397" s="42">
        <f t="shared" si="47"/>
        <v>105.6</v>
      </c>
      <c r="F397" s="42">
        <f t="shared" si="48"/>
        <v>52.8</v>
      </c>
      <c r="G397" s="42">
        <f t="shared" si="49"/>
        <v>26.4</v>
      </c>
      <c r="H397" s="42">
        <v>20</v>
      </c>
      <c r="I397" s="42">
        <f t="shared" si="50"/>
        <v>10</v>
      </c>
      <c r="J397" s="42">
        <f t="shared" si="51"/>
        <v>5</v>
      </c>
      <c r="K397" s="15">
        <v>10245166</v>
      </c>
    </row>
    <row r="398" spans="1:11">
      <c r="A398" s="42">
        <v>397</v>
      </c>
      <c r="B398" s="15">
        <v>529400</v>
      </c>
      <c r="C398" s="42">
        <f t="shared" si="45"/>
        <v>5.2939999999999996</v>
      </c>
      <c r="D398" s="42">
        <f t="shared" si="46"/>
        <v>987.78966666666554</v>
      </c>
      <c r="E398" s="42">
        <f t="shared" si="47"/>
        <v>105.88</v>
      </c>
      <c r="F398" s="42">
        <f t="shared" si="48"/>
        <v>52.94</v>
      </c>
      <c r="G398" s="42">
        <f t="shared" si="49"/>
        <v>26.47</v>
      </c>
      <c r="H398" s="42">
        <v>20</v>
      </c>
      <c r="I398" s="42">
        <f t="shared" si="50"/>
        <v>10</v>
      </c>
      <c r="J398" s="42">
        <f t="shared" si="51"/>
        <v>5</v>
      </c>
      <c r="K398" s="15">
        <v>10299871</v>
      </c>
    </row>
    <row r="399" spans="1:11">
      <c r="A399" s="42">
        <v>398</v>
      </c>
      <c r="B399" s="15">
        <v>530900</v>
      </c>
      <c r="C399" s="42">
        <f t="shared" si="45"/>
        <v>5.3090000000000002</v>
      </c>
      <c r="D399" s="42">
        <f t="shared" si="46"/>
        <v>993.09866666666551</v>
      </c>
      <c r="E399" s="42">
        <f t="shared" si="47"/>
        <v>106.18</v>
      </c>
      <c r="F399" s="42">
        <f t="shared" si="48"/>
        <v>53.09</v>
      </c>
      <c r="G399" s="42">
        <f t="shared" si="49"/>
        <v>26.545000000000002</v>
      </c>
      <c r="H399" s="42">
        <v>20</v>
      </c>
      <c r="I399" s="42">
        <f t="shared" si="50"/>
        <v>10</v>
      </c>
      <c r="J399" s="42">
        <f t="shared" si="51"/>
        <v>5</v>
      </c>
      <c r="K399" s="15">
        <v>10354726</v>
      </c>
    </row>
    <row r="400" spans="1:11">
      <c r="A400" s="42">
        <v>399</v>
      </c>
      <c r="B400" s="15">
        <v>532400</v>
      </c>
      <c r="C400" s="42">
        <f t="shared" si="45"/>
        <v>5.3239999999999998</v>
      </c>
      <c r="D400" s="42">
        <f t="shared" si="46"/>
        <v>998.42266666666546</v>
      </c>
      <c r="E400" s="42">
        <f t="shared" si="47"/>
        <v>106.48</v>
      </c>
      <c r="F400" s="42">
        <f t="shared" si="48"/>
        <v>53.24</v>
      </c>
      <c r="G400" s="42">
        <f t="shared" si="49"/>
        <v>26.62</v>
      </c>
      <c r="H400" s="42">
        <v>20</v>
      </c>
      <c r="I400" s="42">
        <f t="shared" si="50"/>
        <v>10</v>
      </c>
      <c r="J400" s="42">
        <f t="shared" si="51"/>
        <v>5</v>
      </c>
      <c r="K400" s="15">
        <v>10409732</v>
      </c>
    </row>
    <row r="401" spans="1:11">
      <c r="A401" s="42">
        <v>400</v>
      </c>
      <c r="B401" s="15">
        <v>533900</v>
      </c>
      <c r="C401" s="42">
        <f t="shared" si="45"/>
        <v>5.3390000000000004</v>
      </c>
      <c r="D401" s="42">
        <f t="shared" si="46"/>
        <v>1003.7616666666655</v>
      </c>
      <c r="E401" s="42">
        <f t="shared" si="47"/>
        <v>106.78</v>
      </c>
      <c r="F401" s="42">
        <f t="shared" si="48"/>
        <v>53.39</v>
      </c>
      <c r="G401" s="42">
        <f t="shared" si="49"/>
        <v>26.695</v>
      </c>
      <c r="H401" s="42">
        <v>20</v>
      </c>
      <c r="I401" s="42">
        <f t="shared" si="50"/>
        <v>10</v>
      </c>
      <c r="J401" s="42">
        <f t="shared" si="51"/>
        <v>5</v>
      </c>
      <c r="K401" s="15">
        <v>10464888</v>
      </c>
    </row>
    <row r="402" spans="1:11">
      <c r="A402" s="42">
        <v>401</v>
      </c>
      <c r="B402" s="15">
        <v>535400</v>
      </c>
      <c r="C402" s="42">
        <f t="shared" si="45"/>
        <v>5.3540000000000001</v>
      </c>
      <c r="D402" s="42">
        <f t="shared" si="46"/>
        <v>1009.1156666666656</v>
      </c>
      <c r="E402" s="42">
        <f t="shared" si="47"/>
        <v>107.08</v>
      </c>
      <c r="F402" s="42">
        <f t="shared" si="48"/>
        <v>53.54</v>
      </c>
      <c r="G402" s="42">
        <f t="shared" si="49"/>
        <v>26.77</v>
      </c>
      <c r="H402" s="42">
        <v>20</v>
      </c>
      <c r="I402" s="42">
        <f t="shared" si="50"/>
        <v>10</v>
      </c>
      <c r="J402" s="42">
        <f t="shared" si="51"/>
        <v>5</v>
      </c>
      <c r="K402" s="15">
        <v>10516173</v>
      </c>
    </row>
    <row r="403" spans="1:11">
      <c r="A403" s="42">
        <v>402</v>
      </c>
      <c r="B403" s="15">
        <v>536800</v>
      </c>
      <c r="C403" s="42">
        <f t="shared" si="45"/>
        <v>5.3680000000000003</v>
      </c>
      <c r="D403" s="42">
        <f t="shared" si="46"/>
        <v>1014.4836666666656</v>
      </c>
      <c r="E403" s="42">
        <f t="shared" si="47"/>
        <v>107.36</v>
      </c>
      <c r="F403" s="42">
        <f t="shared" si="48"/>
        <v>53.68</v>
      </c>
      <c r="G403" s="42">
        <f t="shared" si="49"/>
        <v>26.84</v>
      </c>
      <c r="H403" s="42">
        <v>20</v>
      </c>
      <c r="I403" s="42">
        <f t="shared" si="50"/>
        <v>10</v>
      </c>
      <c r="J403" s="42">
        <f t="shared" si="51"/>
        <v>5</v>
      </c>
      <c r="K403" s="15">
        <v>10567589</v>
      </c>
    </row>
    <row r="404" spans="1:11">
      <c r="A404" s="42">
        <v>403</v>
      </c>
      <c r="B404" s="15">
        <v>538300</v>
      </c>
      <c r="C404" s="42">
        <f t="shared" si="45"/>
        <v>5.383</v>
      </c>
      <c r="D404" s="42">
        <f t="shared" si="46"/>
        <v>1019.8666666666657</v>
      </c>
      <c r="E404" s="42">
        <f t="shared" si="47"/>
        <v>107.66</v>
      </c>
      <c r="F404" s="42">
        <f t="shared" si="48"/>
        <v>53.83</v>
      </c>
      <c r="G404" s="42">
        <f t="shared" si="49"/>
        <v>26.914999999999999</v>
      </c>
      <c r="H404" s="42">
        <v>20</v>
      </c>
      <c r="I404" s="42">
        <f t="shared" si="50"/>
        <v>10</v>
      </c>
      <c r="J404" s="42">
        <f t="shared" si="51"/>
        <v>5</v>
      </c>
      <c r="K404" s="15">
        <v>10619136</v>
      </c>
    </row>
    <row r="405" spans="1:11">
      <c r="A405" s="42">
        <v>404</v>
      </c>
      <c r="B405" s="15">
        <v>539800</v>
      </c>
      <c r="C405" s="42">
        <f t="shared" si="45"/>
        <v>5.3979999999999997</v>
      </c>
      <c r="D405" s="42">
        <f t="shared" si="46"/>
        <v>1025.2646666666656</v>
      </c>
      <c r="E405" s="42">
        <f t="shared" si="47"/>
        <v>107.96</v>
      </c>
      <c r="F405" s="42">
        <f t="shared" si="48"/>
        <v>53.98</v>
      </c>
      <c r="G405" s="42">
        <f t="shared" si="49"/>
        <v>26.99</v>
      </c>
      <c r="H405" s="42">
        <v>20</v>
      </c>
      <c r="I405" s="42">
        <f t="shared" si="50"/>
        <v>10</v>
      </c>
      <c r="J405" s="42">
        <f t="shared" si="51"/>
        <v>5</v>
      </c>
      <c r="K405" s="15">
        <v>10670812</v>
      </c>
    </row>
    <row r="406" spans="1:11">
      <c r="A406" s="42">
        <v>405</v>
      </c>
      <c r="B406" s="15">
        <v>541300</v>
      </c>
      <c r="C406" s="42">
        <f t="shared" si="45"/>
        <v>5.4130000000000003</v>
      </c>
      <c r="D406" s="42">
        <f t="shared" si="46"/>
        <v>1030.6776666666656</v>
      </c>
      <c r="E406" s="42">
        <f t="shared" si="47"/>
        <v>108.26</v>
      </c>
      <c r="F406" s="42">
        <f t="shared" si="48"/>
        <v>54.13</v>
      </c>
      <c r="G406" s="42">
        <f t="shared" si="49"/>
        <v>27.065000000000001</v>
      </c>
      <c r="H406" s="42">
        <v>20</v>
      </c>
      <c r="I406" s="42">
        <f t="shared" si="50"/>
        <v>10</v>
      </c>
      <c r="J406" s="42">
        <f t="shared" si="51"/>
        <v>5</v>
      </c>
      <c r="K406" s="15">
        <v>10722618</v>
      </c>
    </row>
    <row r="407" spans="1:11">
      <c r="A407" s="42">
        <v>406</v>
      </c>
      <c r="B407" s="15">
        <v>542800</v>
      </c>
      <c r="C407" s="42">
        <f t="shared" si="45"/>
        <v>5.4279999999999999</v>
      </c>
      <c r="D407" s="42">
        <f t="shared" si="46"/>
        <v>1036.1056666666657</v>
      </c>
      <c r="E407" s="42">
        <f t="shared" si="47"/>
        <v>108.56</v>
      </c>
      <c r="F407" s="42">
        <f t="shared" si="48"/>
        <v>54.28</v>
      </c>
      <c r="G407" s="42">
        <f t="shared" si="49"/>
        <v>27.14</v>
      </c>
      <c r="H407" s="42">
        <v>20</v>
      </c>
      <c r="I407" s="42">
        <f t="shared" si="50"/>
        <v>10</v>
      </c>
      <c r="J407" s="42">
        <f t="shared" si="51"/>
        <v>5</v>
      </c>
      <c r="K407" s="15">
        <v>10774555</v>
      </c>
    </row>
    <row r="408" spans="1:11">
      <c r="A408" s="42">
        <v>407</v>
      </c>
      <c r="B408" s="15">
        <v>544300</v>
      </c>
      <c r="C408" s="42">
        <f t="shared" si="45"/>
        <v>5.4429999999999996</v>
      </c>
      <c r="D408" s="42">
        <f t="shared" si="46"/>
        <v>1041.5486666666657</v>
      </c>
      <c r="E408" s="42">
        <f t="shared" si="47"/>
        <v>108.86</v>
      </c>
      <c r="F408" s="42">
        <f t="shared" si="48"/>
        <v>54.43</v>
      </c>
      <c r="G408" s="42">
        <f t="shared" si="49"/>
        <v>27.215</v>
      </c>
      <c r="H408" s="42">
        <v>20</v>
      </c>
      <c r="I408" s="42">
        <f t="shared" si="50"/>
        <v>10</v>
      </c>
      <c r="J408" s="42">
        <f t="shared" si="51"/>
        <v>5</v>
      </c>
      <c r="K408" s="15">
        <v>10826622</v>
      </c>
    </row>
    <row r="409" spans="1:11">
      <c r="A409" s="42">
        <v>408</v>
      </c>
      <c r="B409" s="15">
        <v>545700</v>
      </c>
      <c r="C409" s="42">
        <f t="shared" si="45"/>
        <v>5.4569999999999999</v>
      </c>
      <c r="D409" s="42">
        <f t="shared" si="46"/>
        <v>1047.0056666666658</v>
      </c>
      <c r="E409" s="42">
        <f t="shared" si="47"/>
        <v>109.14</v>
      </c>
      <c r="F409" s="42">
        <f t="shared" si="48"/>
        <v>54.57</v>
      </c>
      <c r="G409" s="42">
        <f t="shared" si="49"/>
        <v>27.285</v>
      </c>
      <c r="H409" s="42">
        <v>20</v>
      </c>
      <c r="I409" s="42">
        <f t="shared" si="50"/>
        <v>10</v>
      </c>
      <c r="J409" s="42">
        <f t="shared" si="51"/>
        <v>5</v>
      </c>
      <c r="K409" s="15">
        <v>10878820</v>
      </c>
    </row>
    <row r="410" spans="1:11">
      <c r="A410" s="42">
        <v>409</v>
      </c>
      <c r="B410" s="15">
        <v>547200</v>
      </c>
      <c r="C410" s="42">
        <f t="shared" si="45"/>
        <v>5.4719999999999995</v>
      </c>
      <c r="D410" s="42">
        <f t="shared" si="46"/>
        <v>1052.4776666666658</v>
      </c>
      <c r="E410" s="42">
        <f t="shared" si="47"/>
        <v>109.44</v>
      </c>
      <c r="F410" s="42">
        <f t="shared" si="48"/>
        <v>54.72</v>
      </c>
      <c r="G410" s="42">
        <f t="shared" si="49"/>
        <v>27.36</v>
      </c>
      <c r="H410" s="42">
        <v>20</v>
      </c>
      <c r="I410" s="42">
        <f t="shared" si="50"/>
        <v>10</v>
      </c>
      <c r="J410" s="42">
        <f t="shared" si="51"/>
        <v>5</v>
      </c>
      <c r="K410" s="15">
        <v>10931148</v>
      </c>
    </row>
    <row r="411" spans="1:11">
      <c r="A411" s="42">
        <v>410</v>
      </c>
      <c r="B411" s="15">
        <v>548700</v>
      </c>
      <c r="C411" s="42">
        <f t="shared" si="45"/>
        <v>5.4870000000000001</v>
      </c>
      <c r="D411" s="42">
        <f t="shared" si="46"/>
        <v>1057.9646666666658</v>
      </c>
      <c r="E411" s="42">
        <f t="shared" si="47"/>
        <v>109.74</v>
      </c>
      <c r="F411" s="42">
        <f t="shared" si="48"/>
        <v>54.87</v>
      </c>
      <c r="G411" s="42">
        <f t="shared" si="49"/>
        <v>27.434999999999999</v>
      </c>
      <c r="H411" s="42">
        <v>20</v>
      </c>
      <c r="I411" s="42">
        <f t="shared" si="50"/>
        <v>10</v>
      </c>
      <c r="J411" s="42">
        <f t="shared" si="51"/>
        <v>5</v>
      </c>
      <c r="K411" s="15">
        <v>10983606</v>
      </c>
    </row>
    <row r="412" spans="1:11">
      <c r="A412" s="42">
        <v>411</v>
      </c>
      <c r="B412" s="15">
        <v>550200</v>
      </c>
      <c r="C412" s="42">
        <f t="shared" si="45"/>
        <v>5.5020000000000007</v>
      </c>
      <c r="D412" s="42">
        <f t="shared" si="46"/>
        <v>1063.4666666666658</v>
      </c>
      <c r="E412" s="42">
        <f t="shared" si="47"/>
        <v>110.04</v>
      </c>
      <c r="F412" s="42">
        <f t="shared" si="48"/>
        <v>55.02</v>
      </c>
      <c r="G412" s="42">
        <f t="shared" si="49"/>
        <v>27.51</v>
      </c>
      <c r="H412" s="42">
        <v>20</v>
      </c>
      <c r="I412" s="42">
        <f t="shared" si="50"/>
        <v>10</v>
      </c>
      <c r="J412" s="42">
        <f t="shared" si="51"/>
        <v>5</v>
      </c>
      <c r="K412" s="15">
        <v>11036194</v>
      </c>
    </row>
    <row r="413" spans="1:11">
      <c r="A413" s="42">
        <v>412</v>
      </c>
      <c r="B413" s="15">
        <v>551700</v>
      </c>
      <c r="C413" s="42">
        <f t="shared" si="45"/>
        <v>5.5170000000000003</v>
      </c>
      <c r="D413" s="42">
        <f t="shared" si="46"/>
        <v>1068.9836666666658</v>
      </c>
      <c r="E413" s="42">
        <f t="shared" si="47"/>
        <v>110.34</v>
      </c>
      <c r="F413" s="42">
        <f t="shared" si="48"/>
        <v>55.17</v>
      </c>
      <c r="G413" s="42">
        <f t="shared" si="49"/>
        <v>27.585000000000001</v>
      </c>
      <c r="H413" s="42">
        <v>20</v>
      </c>
      <c r="I413" s="42">
        <f t="shared" si="50"/>
        <v>10</v>
      </c>
      <c r="J413" s="42">
        <f t="shared" si="51"/>
        <v>5</v>
      </c>
      <c r="K413" s="15">
        <v>11088913</v>
      </c>
    </row>
    <row r="414" spans="1:11">
      <c r="A414" s="42">
        <v>413</v>
      </c>
      <c r="B414" s="15">
        <v>553200</v>
      </c>
      <c r="C414" s="42">
        <f t="shared" si="45"/>
        <v>5.532</v>
      </c>
      <c r="D414" s="42">
        <f t="shared" si="46"/>
        <v>1074.5156666666658</v>
      </c>
      <c r="E414" s="42">
        <f t="shared" si="47"/>
        <v>110.64</v>
      </c>
      <c r="F414" s="42">
        <f t="shared" si="48"/>
        <v>55.32</v>
      </c>
      <c r="G414" s="42">
        <f t="shared" si="49"/>
        <v>27.66</v>
      </c>
      <c r="H414" s="42">
        <v>20</v>
      </c>
      <c r="I414" s="42">
        <f t="shared" si="50"/>
        <v>10</v>
      </c>
      <c r="J414" s="42">
        <f t="shared" si="51"/>
        <v>5</v>
      </c>
      <c r="K414" s="15">
        <v>11141763</v>
      </c>
    </row>
    <row r="415" spans="1:11">
      <c r="A415" s="42">
        <v>414</v>
      </c>
      <c r="B415" s="15">
        <v>554700</v>
      </c>
      <c r="C415" s="42">
        <f t="shared" si="45"/>
        <v>5.5469999999999997</v>
      </c>
      <c r="D415" s="42">
        <f t="shared" si="46"/>
        <v>1080.0626666666658</v>
      </c>
      <c r="E415" s="42">
        <f t="shared" si="47"/>
        <v>110.94</v>
      </c>
      <c r="F415" s="42">
        <f t="shared" si="48"/>
        <v>55.47</v>
      </c>
      <c r="G415" s="42">
        <f t="shared" si="49"/>
        <v>27.734999999999999</v>
      </c>
      <c r="H415" s="42">
        <v>20</v>
      </c>
      <c r="I415" s="42">
        <f t="shared" si="50"/>
        <v>10</v>
      </c>
      <c r="J415" s="42">
        <f t="shared" si="51"/>
        <v>5</v>
      </c>
      <c r="K415" s="15">
        <v>11194742</v>
      </c>
    </row>
    <row r="416" spans="1:11">
      <c r="A416" s="42">
        <v>415</v>
      </c>
      <c r="B416" s="15">
        <v>556200</v>
      </c>
      <c r="C416" s="42">
        <f t="shared" si="45"/>
        <v>5.5619999999999994</v>
      </c>
      <c r="D416" s="42">
        <f t="shared" si="46"/>
        <v>1085.6246666666657</v>
      </c>
      <c r="E416" s="42">
        <f t="shared" si="47"/>
        <v>111.24</v>
      </c>
      <c r="F416" s="42">
        <f t="shared" si="48"/>
        <v>55.62</v>
      </c>
      <c r="G416" s="42">
        <f t="shared" si="49"/>
        <v>27.81</v>
      </c>
      <c r="H416" s="42">
        <v>20</v>
      </c>
      <c r="I416" s="42">
        <f t="shared" si="50"/>
        <v>10</v>
      </c>
      <c r="J416" s="42">
        <f t="shared" si="51"/>
        <v>5</v>
      </c>
      <c r="K416" s="15">
        <v>11247853</v>
      </c>
    </row>
    <row r="417" spans="1:11">
      <c r="A417" s="42">
        <v>416</v>
      </c>
      <c r="B417" s="15">
        <v>557600</v>
      </c>
      <c r="C417" s="42">
        <f t="shared" si="45"/>
        <v>5.5759999999999996</v>
      </c>
      <c r="D417" s="42">
        <f t="shared" si="46"/>
        <v>1091.2006666666657</v>
      </c>
      <c r="E417" s="42">
        <f t="shared" si="47"/>
        <v>111.52</v>
      </c>
      <c r="F417" s="42">
        <f t="shared" si="48"/>
        <v>55.76</v>
      </c>
      <c r="G417" s="42">
        <f t="shared" si="49"/>
        <v>27.88</v>
      </c>
      <c r="H417" s="42">
        <v>20</v>
      </c>
      <c r="I417" s="42">
        <f t="shared" si="50"/>
        <v>10</v>
      </c>
      <c r="J417" s="42">
        <f t="shared" si="51"/>
        <v>5</v>
      </c>
      <c r="K417" s="15">
        <v>11301093</v>
      </c>
    </row>
    <row r="418" spans="1:11">
      <c r="A418" s="42">
        <v>417</v>
      </c>
      <c r="B418" s="15">
        <v>559100</v>
      </c>
      <c r="C418" s="42">
        <f t="shared" si="45"/>
        <v>5.5909999999999993</v>
      </c>
      <c r="D418" s="42">
        <f t="shared" si="46"/>
        <v>1096.7916666666656</v>
      </c>
      <c r="E418" s="42">
        <f t="shared" si="47"/>
        <v>111.82</v>
      </c>
      <c r="F418" s="42">
        <f t="shared" si="48"/>
        <v>55.91</v>
      </c>
      <c r="G418" s="42">
        <f t="shared" si="49"/>
        <v>27.954999999999998</v>
      </c>
      <c r="H418" s="42">
        <v>20</v>
      </c>
      <c r="I418" s="42">
        <f t="shared" si="50"/>
        <v>10</v>
      </c>
      <c r="J418" s="42">
        <f t="shared" si="51"/>
        <v>5</v>
      </c>
      <c r="K418" s="15">
        <v>11354465</v>
      </c>
    </row>
    <row r="419" spans="1:11">
      <c r="A419" s="42">
        <v>418</v>
      </c>
      <c r="B419" s="15">
        <v>560600</v>
      </c>
      <c r="C419" s="42">
        <f t="shared" si="45"/>
        <v>5.6059999999999999</v>
      </c>
      <c r="D419" s="42">
        <f t="shared" si="46"/>
        <v>1102.3976666666656</v>
      </c>
      <c r="E419" s="42">
        <f t="shared" si="47"/>
        <v>112.12</v>
      </c>
      <c r="F419" s="42">
        <f t="shared" si="48"/>
        <v>56.06</v>
      </c>
      <c r="G419" s="42">
        <f t="shared" si="49"/>
        <v>28.03</v>
      </c>
      <c r="H419" s="42">
        <v>20</v>
      </c>
      <c r="I419" s="42">
        <f t="shared" si="50"/>
        <v>10</v>
      </c>
      <c r="J419" s="42">
        <f t="shared" si="51"/>
        <v>5</v>
      </c>
      <c r="K419" s="15">
        <v>11407966</v>
      </c>
    </row>
    <row r="420" spans="1:11">
      <c r="A420" s="42">
        <v>419</v>
      </c>
      <c r="B420" s="15">
        <v>562100</v>
      </c>
      <c r="C420" s="42">
        <f t="shared" si="45"/>
        <v>5.6210000000000004</v>
      </c>
      <c r="D420" s="42">
        <f t="shared" si="46"/>
        <v>1108.0186666666657</v>
      </c>
      <c r="E420" s="42">
        <f t="shared" si="47"/>
        <v>112.42</v>
      </c>
      <c r="F420" s="42">
        <f t="shared" si="48"/>
        <v>56.21</v>
      </c>
      <c r="G420" s="42">
        <f t="shared" si="49"/>
        <v>28.105</v>
      </c>
      <c r="H420" s="42">
        <v>20</v>
      </c>
      <c r="I420" s="42">
        <f t="shared" si="50"/>
        <v>10</v>
      </c>
      <c r="J420" s="42">
        <f t="shared" si="51"/>
        <v>5</v>
      </c>
      <c r="K420" s="15">
        <v>11461599</v>
      </c>
    </row>
    <row r="421" spans="1:11">
      <c r="A421" s="42">
        <v>420</v>
      </c>
      <c r="B421" s="15">
        <v>563600</v>
      </c>
      <c r="C421" s="42">
        <f t="shared" si="45"/>
        <v>5.6360000000000001</v>
      </c>
      <c r="D421" s="42">
        <f t="shared" si="46"/>
        <v>1113.6546666666657</v>
      </c>
      <c r="E421" s="42">
        <f t="shared" si="47"/>
        <v>112.72</v>
      </c>
      <c r="F421" s="42">
        <f t="shared" si="48"/>
        <v>56.36</v>
      </c>
      <c r="G421" s="42">
        <f t="shared" si="49"/>
        <v>28.18</v>
      </c>
      <c r="H421" s="42">
        <v>20</v>
      </c>
      <c r="I421" s="42">
        <f t="shared" si="50"/>
        <v>10</v>
      </c>
      <c r="J421" s="42">
        <f t="shared" si="51"/>
        <v>5</v>
      </c>
      <c r="K421" s="15">
        <v>11515362</v>
      </c>
    </row>
    <row r="422" spans="1:11">
      <c r="A422" s="42">
        <v>421</v>
      </c>
      <c r="B422" s="15">
        <v>565100</v>
      </c>
      <c r="C422" s="42">
        <f t="shared" ref="C422:C485" si="52">E422/H422</f>
        <v>5.6509999999999998</v>
      </c>
      <c r="D422" s="42">
        <f t="shared" ref="D422:D485" si="53">C422+D421</f>
        <v>1119.3056666666657</v>
      </c>
      <c r="E422" s="42">
        <f t="shared" ref="E422:E485" si="54">B422/$N$2</f>
        <v>113.02</v>
      </c>
      <c r="F422" s="42">
        <f t="shared" ref="F422:F485" si="55">B422/$N$3</f>
        <v>56.51</v>
      </c>
      <c r="G422" s="42">
        <f t="shared" ref="G422:G485" si="56">B422/$N$4</f>
        <v>28.254999999999999</v>
      </c>
      <c r="H422" s="42">
        <v>20</v>
      </c>
      <c r="I422" s="42">
        <f t="shared" ref="I422:I485" si="57">H422/2</f>
        <v>10</v>
      </c>
      <c r="J422" s="42">
        <f t="shared" ref="J422:J485" si="58">H422/4</f>
        <v>5</v>
      </c>
      <c r="K422" s="15">
        <v>11569255</v>
      </c>
    </row>
    <row r="423" spans="1:11">
      <c r="A423" s="42">
        <v>422</v>
      </c>
      <c r="B423" s="15">
        <v>566600</v>
      </c>
      <c r="C423" s="42">
        <f t="shared" si="52"/>
        <v>5.6659999999999995</v>
      </c>
      <c r="D423" s="42">
        <f t="shared" si="53"/>
        <v>1124.9716666666657</v>
      </c>
      <c r="E423" s="42">
        <f t="shared" si="54"/>
        <v>113.32</v>
      </c>
      <c r="F423" s="42">
        <f t="shared" si="55"/>
        <v>56.66</v>
      </c>
      <c r="G423" s="42">
        <f t="shared" si="56"/>
        <v>28.33</v>
      </c>
      <c r="H423" s="42">
        <v>20</v>
      </c>
      <c r="I423" s="42">
        <f t="shared" si="57"/>
        <v>10</v>
      </c>
      <c r="J423" s="42">
        <f t="shared" si="58"/>
        <v>5</v>
      </c>
      <c r="K423" s="15">
        <v>11623280</v>
      </c>
    </row>
    <row r="424" spans="1:11">
      <c r="A424" s="42">
        <v>423</v>
      </c>
      <c r="B424" s="15">
        <v>568100</v>
      </c>
      <c r="C424" s="42">
        <f t="shared" si="52"/>
        <v>5.681</v>
      </c>
      <c r="D424" s="42">
        <f t="shared" si="53"/>
        <v>1130.6526666666657</v>
      </c>
      <c r="E424" s="42">
        <f t="shared" si="54"/>
        <v>113.62</v>
      </c>
      <c r="F424" s="42">
        <f t="shared" si="55"/>
        <v>56.81</v>
      </c>
      <c r="G424" s="42">
        <f t="shared" si="56"/>
        <v>28.405000000000001</v>
      </c>
      <c r="H424" s="42">
        <v>20</v>
      </c>
      <c r="I424" s="42">
        <f t="shared" si="57"/>
        <v>10</v>
      </c>
      <c r="J424" s="42">
        <f t="shared" si="58"/>
        <v>5</v>
      </c>
      <c r="K424" s="15">
        <v>11677434</v>
      </c>
    </row>
    <row r="425" spans="1:11">
      <c r="A425" s="42">
        <v>424</v>
      </c>
      <c r="B425" s="15">
        <v>569600</v>
      </c>
      <c r="C425" s="42">
        <f t="shared" si="52"/>
        <v>5.6959999999999997</v>
      </c>
      <c r="D425" s="42">
        <f t="shared" si="53"/>
        <v>1136.3486666666656</v>
      </c>
      <c r="E425" s="42">
        <f t="shared" si="54"/>
        <v>113.92</v>
      </c>
      <c r="F425" s="42">
        <f t="shared" si="55"/>
        <v>56.96</v>
      </c>
      <c r="G425" s="42">
        <f t="shared" si="56"/>
        <v>28.48</v>
      </c>
      <c r="H425" s="42">
        <v>20</v>
      </c>
      <c r="I425" s="42">
        <f t="shared" si="57"/>
        <v>10</v>
      </c>
      <c r="J425" s="42">
        <f t="shared" si="58"/>
        <v>5</v>
      </c>
      <c r="K425" s="15">
        <v>11731720</v>
      </c>
    </row>
    <row r="426" spans="1:11">
      <c r="A426" s="42">
        <v>425</v>
      </c>
      <c r="B426" s="15">
        <v>571100</v>
      </c>
      <c r="C426" s="42">
        <f t="shared" si="52"/>
        <v>5.7110000000000003</v>
      </c>
      <c r="D426" s="42">
        <f t="shared" si="53"/>
        <v>1142.0596666666656</v>
      </c>
      <c r="E426" s="42">
        <f t="shared" si="54"/>
        <v>114.22</v>
      </c>
      <c r="F426" s="42">
        <f t="shared" si="55"/>
        <v>57.11</v>
      </c>
      <c r="G426" s="42">
        <f t="shared" si="56"/>
        <v>28.555</v>
      </c>
      <c r="H426" s="42">
        <v>20</v>
      </c>
      <c r="I426" s="42">
        <f t="shared" si="57"/>
        <v>10</v>
      </c>
      <c r="J426" s="42">
        <f t="shared" si="58"/>
        <v>5</v>
      </c>
      <c r="K426" s="15">
        <v>11786136</v>
      </c>
    </row>
    <row r="427" spans="1:11">
      <c r="A427" s="42">
        <v>426</v>
      </c>
      <c r="B427" s="15">
        <v>572600</v>
      </c>
      <c r="C427" s="42">
        <f t="shared" si="52"/>
        <v>5.726</v>
      </c>
      <c r="D427" s="42">
        <f t="shared" si="53"/>
        <v>1147.7856666666657</v>
      </c>
      <c r="E427" s="42">
        <f t="shared" si="54"/>
        <v>114.52</v>
      </c>
      <c r="F427" s="42">
        <f t="shared" si="55"/>
        <v>57.26</v>
      </c>
      <c r="G427" s="42">
        <f t="shared" si="56"/>
        <v>28.63</v>
      </c>
      <c r="H427" s="42">
        <v>20</v>
      </c>
      <c r="I427" s="42">
        <f t="shared" si="57"/>
        <v>10</v>
      </c>
      <c r="J427" s="42">
        <f t="shared" si="58"/>
        <v>5</v>
      </c>
      <c r="K427" s="15">
        <v>11840683</v>
      </c>
    </row>
    <row r="428" spans="1:11">
      <c r="A428" s="42">
        <v>427</v>
      </c>
      <c r="B428" s="15">
        <v>574100</v>
      </c>
      <c r="C428" s="42">
        <f t="shared" si="52"/>
        <v>5.7409999999999997</v>
      </c>
      <c r="D428" s="42">
        <f t="shared" si="53"/>
        <v>1153.5266666666657</v>
      </c>
      <c r="E428" s="42">
        <f t="shared" si="54"/>
        <v>114.82</v>
      </c>
      <c r="F428" s="42">
        <f t="shared" si="55"/>
        <v>57.41</v>
      </c>
      <c r="G428" s="42">
        <f t="shared" si="56"/>
        <v>28.704999999999998</v>
      </c>
      <c r="H428" s="42">
        <v>20</v>
      </c>
      <c r="I428" s="42">
        <f t="shared" si="57"/>
        <v>10</v>
      </c>
      <c r="J428" s="42">
        <f t="shared" si="58"/>
        <v>5</v>
      </c>
      <c r="K428" s="15">
        <v>11895361</v>
      </c>
    </row>
    <row r="429" spans="1:11">
      <c r="A429" s="42">
        <v>428</v>
      </c>
      <c r="B429" s="15">
        <v>575500</v>
      </c>
      <c r="C429" s="42">
        <f t="shared" si="52"/>
        <v>5.7549999999999999</v>
      </c>
      <c r="D429" s="42">
        <f t="shared" si="53"/>
        <v>1159.2816666666658</v>
      </c>
      <c r="E429" s="42">
        <f t="shared" si="54"/>
        <v>115.1</v>
      </c>
      <c r="F429" s="42">
        <f t="shared" si="55"/>
        <v>57.55</v>
      </c>
      <c r="G429" s="42">
        <f t="shared" si="56"/>
        <v>28.774999999999999</v>
      </c>
      <c r="H429" s="42">
        <v>20</v>
      </c>
      <c r="I429" s="42">
        <f t="shared" si="57"/>
        <v>10</v>
      </c>
      <c r="J429" s="42">
        <f t="shared" si="58"/>
        <v>5</v>
      </c>
      <c r="K429" s="15">
        <v>11950169</v>
      </c>
    </row>
    <row r="430" spans="1:11">
      <c r="A430" s="42">
        <v>429</v>
      </c>
      <c r="B430" s="15">
        <v>577000</v>
      </c>
      <c r="C430" s="42">
        <f t="shared" si="52"/>
        <v>5.7700000000000005</v>
      </c>
      <c r="D430" s="42">
        <f t="shared" si="53"/>
        <v>1165.0516666666658</v>
      </c>
      <c r="E430" s="42">
        <f t="shared" si="54"/>
        <v>115.4</v>
      </c>
      <c r="F430" s="42">
        <f t="shared" si="55"/>
        <v>57.7</v>
      </c>
      <c r="G430" s="42">
        <f t="shared" si="56"/>
        <v>28.85</v>
      </c>
      <c r="H430" s="42">
        <v>20</v>
      </c>
      <c r="I430" s="42">
        <f t="shared" si="57"/>
        <v>10</v>
      </c>
      <c r="J430" s="42">
        <f t="shared" si="58"/>
        <v>5</v>
      </c>
      <c r="K430" s="15">
        <v>12005109</v>
      </c>
    </row>
    <row r="431" spans="1:11">
      <c r="A431" s="42">
        <v>430</v>
      </c>
      <c r="B431" s="15">
        <v>578500</v>
      </c>
      <c r="C431" s="42">
        <f t="shared" si="52"/>
        <v>5.7850000000000001</v>
      </c>
      <c r="D431" s="42">
        <f t="shared" si="53"/>
        <v>1170.8366666666659</v>
      </c>
      <c r="E431" s="42">
        <f t="shared" si="54"/>
        <v>115.7</v>
      </c>
      <c r="F431" s="42">
        <f t="shared" si="55"/>
        <v>57.85</v>
      </c>
      <c r="G431" s="42">
        <f t="shared" si="56"/>
        <v>28.925000000000001</v>
      </c>
      <c r="H431" s="42">
        <v>20</v>
      </c>
      <c r="I431" s="42">
        <f t="shared" si="57"/>
        <v>10</v>
      </c>
      <c r="J431" s="42">
        <f t="shared" si="58"/>
        <v>5</v>
      </c>
      <c r="K431" s="15">
        <v>12060179</v>
      </c>
    </row>
    <row r="432" spans="1:11">
      <c r="A432" s="42">
        <v>431</v>
      </c>
      <c r="B432" s="15">
        <v>580000</v>
      </c>
      <c r="C432" s="42">
        <f t="shared" si="52"/>
        <v>5.8</v>
      </c>
      <c r="D432" s="42">
        <f t="shared" si="53"/>
        <v>1176.6366666666659</v>
      </c>
      <c r="E432" s="42">
        <f t="shared" si="54"/>
        <v>116</v>
      </c>
      <c r="F432" s="42">
        <f t="shared" si="55"/>
        <v>58</v>
      </c>
      <c r="G432" s="42">
        <f t="shared" si="56"/>
        <v>29</v>
      </c>
      <c r="H432" s="42">
        <v>20</v>
      </c>
      <c r="I432" s="42">
        <f t="shared" si="57"/>
        <v>10</v>
      </c>
      <c r="J432" s="42">
        <f t="shared" si="58"/>
        <v>5</v>
      </c>
      <c r="K432" s="15">
        <v>12115380</v>
      </c>
    </row>
    <row r="433" spans="1:11">
      <c r="A433" s="42">
        <v>432</v>
      </c>
      <c r="B433" s="15">
        <v>581500</v>
      </c>
      <c r="C433" s="42">
        <f t="shared" si="52"/>
        <v>5.8149999999999995</v>
      </c>
      <c r="D433" s="42">
        <f t="shared" si="53"/>
        <v>1182.4516666666659</v>
      </c>
      <c r="E433" s="42">
        <f t="shared" si="54"/>
        <v>116.3</v>
      </c>
      <c r="F433" s="42">
        <f t="shared" si="55"/>
        <v>58.15</v>
      </c>
      <c r="G433" s="42">
        <f t="shared" si="56"/>
        <v>29.074999999999999</v>
      </c>
      <c r="H433" s="42">
        <v>20</v>
      </c>
      <c r="I433" s="42">
        <f t="shared" si="57"/>
        <v>10</v>
      </c>
      <c r="J433" s="42">
        <f t="shared" si="58"/>
        <v>5</v>
      </c>
      <c r="K433" s="15">
        <v>12170712</v>
      </c>
    </row>
    <row r="434" spans="1:11">
      <c r="A434" s="42">
        <v>433</v>
      </c>
      <c r="B434" s="15">
        <v>583000</v>
      </c>
      <c r="C434" s="42">
        <f t="shared" si="52"/>
        <v>5.83</v>
      </c>
      <c r="D434" s="42">
        <f t="shared" si="53"/>
        <v>1188.2816666666658</v>
      </c>
      <c r="E434" s="42">
        <f t="shared" si="54"/>
        <v>116.6</v>
      </c>
      <c r="F434" s="42">
        <f t="shared" si="55"/>
        <v>58.3</v>
      </c>
      <c r="G434" s="42">
        <f t="shared" si="56"/>
        <v>29.15</v>
      </c>
      <c r="H434" s="42">
        <v>20</v>
      </c>
      <c r="I434" s="42">
        <f t="shared" si="57"/>
        <v>10</v>
      </c>
      <c r="J434" s="42">
        <f t="shared" si="58"/>
        <v>5</v>
      </c>
      <c r="K434" s="15">
        <v>12226174</v>
      </c>
    </row>
    <row r="435" spans="1:11">
      <c r="A435" s="42">
        <v>434</v>
      </c>
      <c r="B435" s="15">
        <v>584500</v>
      </c>
      <c r="C435" s="42">
        <f t="shared" si="52"/>
        <v>5.8450000000000006</v>
      </c>
      <c r="D435" s="42">
        <f t="shared" si="53"/>
        <v>1194.1266666666659</v>
      </c>
      <c r="E435" s="42">
        <f t="shared" si="54"/>
        <v>116.9</v>
      </c>
      <c r="F435" s="42">
        <f t="shared" si="55"/>
        <v>58.45</v>
      </c>
      <c r="G435" s="42">
        <f t="shared" si="56"/>
        <v>29.225000000000001</v>
      </c>
      <c r="H435" s="42">
        <v>20</v>
      </c>
      <c r="I435" s="42">
        <f t="shared" si="57"/>
        <v>10</v>
      </c>
      <c r="J435" s="42">
        <f t="shared" si="58"/>
        <v>5</v>
      </c>
      <c r="K435" s="15">
        <v>12281768</v>
      </c>
    </row>
    <row r="436" spans="1:11">
      <c r="A436" s="42">
        <v>435</v>
      </c>
      <c r="B436" s="15">
        <v>586000</v>
      </c>
      <c r="C436" s="42">
        <f t="shared" si="52"/>
        <v>5.86</v>
      </c>
      <c r="D436" s="42">
        <f t="shared" si="53"/>
        <v>1199.9866666666658</v>
      </c>
      <c r="E436" s="42">
        <f t="shared" si="54"/>
        <v>117.2</v>
      </c>
      <c r="F436" s="42">
        <f t="shared" si="55"/>
        <v>58.6</v>
      </c>
      <c r="G436" s="42">
        <f t="shared" si="56"/>
        <v>29.3</v>
      </c>
      <c r="H436" s="42">
        <v>20</v>
      </c>
      <c r="I436" s="42">
        <f t="shared" si="57"/>
        <v>10</v>
      </c>
      <c r="J436" s="42">
        <f t="shared" si="58"/>
        <v>5</v>
      </c>
      <c r="K436" s="15">
        <v>12337492</v>
      </c>
    </row>
    <row r="437" spans="1:11">
      <c r="A437" s="42">
        <v>436</v>
      </c>
      <c r="B437" s="15">
        <v>587500</v>
      </c>
      <c r="C437" s="42">
        <f t="shared" si="52"/>
        <v>5.875</v>
      </c>
      <c r="D437" s="42">
        <f t="shared" si="53"/>
        <v>1205.8616666666658</v>
      </c>
      <c r="E437" s="42">
        <f t="shared" si="54"/>
        <v>117.5</v>
      </c>
      <c r="F437" s="42">
        <f t="shared" si="55"/>
        <v>58.75</v>
      </c>
      <c r="G437" s="42">
        <f t="shared" si="56"/>
        <v>29.375</v>
      </c>
      <c r="H437" s="42">
        <v>20</v>
      </c>
      <c r="I437" s="42">
        <f t="shared" si="57"/>
        <v>10</v>
      </c>
      <c r="J437" s="42">
        <f t="shared" si="58"/>
        <v>5</v>
      </c>
      <c r="K437" s="15">
        <v>12393348</v>
      </c>
    </row>
    <row r="438" spans="1:11">
      <c r="A438" s="42">
        <v>437</v>
      </c>
      <c r="B438" s="15">
        <v>589000</v>
      </c>
      <c r="C438" s="42">
        <f t="shared" si="52"/>
        <v>5.89</v>
      </c>
      <c r="D438" s="42">
        <f t="shared" si="53"/>
        <v>1211.7516666666659</v>
      </c>
      <c r="E438" s="42">
        <f t="shared" si="54"/>
        <v>117.8</v>
      </c>
      <c r="F438" s="42">
        <f t="shared" si="55"/>
        <v>58.9</v>
      </c>
      <c r="G438" s="42">
        <f t="shared" si="56"/>
        <v>29.45</v>
      </c>
      <c r="H438" s="42">
        <v>20</v>
      </c>
      <c r="I438" s="42">
        <f t="shared" si="57"/>
        <v>10</v>
      </c>
      <c r="J438" s="42">
        <f t="shared" si="58"/>
        <v>5</v>
      </c>
      <c r="K438" s="15">
        <v>12449334</v>
      </c>
    </row>
    <row r="439" spans="1:11">
      <c r="A439" s="42">
        <v>438</v>
      </c>
      <c r="B439" s="15">
        <v>590500</v>
      </c>
      <c r="C439" s="42">
        <f t="shared" si="52"/>
        <v>5.9049999999999994</v>
      </c>
      <c r="D439" s="42">
        <f t="shared" si="53"/>
        <v>1217.6566666666658</v>
      </c>
      <c r="E439" s="42">
        <f t="shared" si="54"/>
        <v>118.1</v>
      </c>
      <c r="F439" s="42">
        <f t="shared" si="55"/>
        <v>59.05</v>
      </c>
      <c r="G439" s="42">
        <f t="shared" si="56"/>
        <v>29.524999999999999</v>
      </c>
      <c r="H439" s="42">
        <v>20</v>
      </c>
      <c r="I439" s="42">
        <f t="shared" si="57"/>
        <v>10</v>
      </c>
      <c r="J439" s="42">
        <f t="shared" si="58"/>
        <v>5</v>
      </c>
      <c r="K439" s="15">
        <v>12505452</v>
      </c>
    </row>
    <row r="440" spans="1:11">
      <c r="A440" s="42">
        <v>439</v>
      </c>
      <c r="B440" s="15">
        <v>592000</v>
      </c>
      <c r="C440" s="42">
        <f t="shared" si="52"/>
        <v>5.92</v>
      </c>
      <c r="D440" s="42">
        <f t="shared" si="53"/>
        <v>1223.5766666666659</v>
      </c>
      <c r="E440" s="42">
        <f t="shared" si="54"/>
        <v>118.4</v>
      </c>
      <c r="F440" s="42">
        <f t="shared" si="55"/>
        <v>59.2</v>
      </c>
      <c r="G440" s="42">
        <f t="shared" si="56"/>
        <v>29.6</v>
      </c>
      <c r="H440" s="42">
        <v>20</v>
      </c>
      <c r="I440" s="42">
        <f t="shared" si="57"/>
        <v>10</v>
      </c>
      <c r="J440" s="42">
        <f t="shared" si="58"/>
        <v>5</v>
      </c>
      <c r="K440" s="15">
        <v>12561700</v>
      </c>
    </row>
    <row r="441" spans="1:11">
      <c r="A441" s="42">
        <v>440</v>
      </c>
      <c r="B441" s="15">
        <v>593500</v>
      </c>
      <c r="C441" s="42">
        <f t="shared" si="52"/>
        <v>5.9350000000000005</v>
      </c>
      <c r="D441" s="42">
        <f t="shared" si="53"/>
        <v>1229.5116666666659</v>
      </c>
      <c r="E441" s="42">
        <f t="shared" si="54"/>
        <v>118.7</v>
      </c>
      <c r="F441" s="42">
        <f t="shared" si="55"/>
        <v>59.35</v>
      </c>
      <c r="G441" s="42">
        <f t="shared" si="56"/>
        <v>29.675000000000001</v>
      </c>
      <c r="H441" s="42">
        <v>20</v>
      </c>
      <c r="I441" s="42">
        <f t="shared" si="57"/>
        <v>10</v>
      </c>
      <c r="J441" s="42">
        <f t="shared" si="58"/>
        <v>5</v>
      </c>
      <c r="K441" s="15">
        <v>12618080</v>
      </c>
    </row>
    <row r="442" spans="1:11">
      <c r="A442" s="42">
        <v>441</v>
      </c>
      <c r="B442" s="15">
        <v>595000</v>
      </c>
      <c r="C442" s="42">
        <f t="shared" si="52"/>
        <v>5.95</v>
      </c>
      <c r="D442" s="42">
        <f t="shared" si="53"/>
        <v>1235.4616666666659</v>
      </c>
      <c r="E442" s="42">
        <f t="shared" si="54"/>
        <v>119</v>
      </c>
      <c r="F442" s="42">
        <f t="shared" si="55"/>
        <v>59.5</v>
      </c>
      <c r="G442" s="42">
        <f t="shared" si="56"/>
        <v>29.75</v>
      </c>
      <c r="H442" s="42">
        <v>20</v>
      </c>
      <c r="I442" s="42">
        <f t="shared" si="57"/>
        <v>10</v>
      </c>
      <c r="J442" s="42">
        <f t="shared" si="58"/>
        <v>5</v>
      </c>
      <c r="K442" s="15">
        <v>12674590</v>
      </c>
    </row>
    <row r="443" spans="1:11">
      <c r="A443" s="42">
        <v>442</v>
      </c>
      <c r="B443" s="15">
        <v>596500</v>
      </c>
      <c r="C443" s="42">
        <f t="shared" si="52"/>
        <v>5.9649999999999999</v>
      </c>
      <c r="D443" s="42">
        <f t="shared" si="53"/>
        <v>1241.4266666666658</v>
      </c>
      <c r="E443" s="42">
        <f t="shared" si="54"/>
        <v>119.3</v>
      </c>
      <c r="F443" s="42">
        <f t="shared" si="55"/>
        <v>59.65</v>
      </c>
      <c r="G443" s="42">
        <f t="shared" si="56"/>
        <v>29.824999999999999</v>
      </c>
      <c r="H443" s="42">
        <v>20</v>
      </c>
      <c r="I443" s="42">
        <f t="shared" si="57"/>
        <v>10</v>
      </c>
      <c r="J443" s="42">
        <f t="shared" si="58"/>
        <v>5</v>
      </c>
      <c r="K443" s="15">
        <v>12731232</v>
      </c>
    </row>
    <row r="444" spans="1:11">
      <c r="A444" s="42">
        <v>443</v>
      </c>
      <c r="B444" s="15">
        <v>598000</v>
      </c>
      <c r="C444" s="42">
        <f t="shared" si="52"/>
        <v>5.9799999999999995</v>
      </c>
      <c r="D444" s="42">
        <f t="shared" si="53"/>
        <v>1247.4066666666658</v>
      </c>
      <c r="E444" s="42">
        <f t="shared" si="54"/>
        <v>119.6</v>
      </c>
      <c r="F444" s="42">
        <f t="shared" si="55"/>
        <v>59.8</v>
      </c>
      <c r="G444" s="42">
        <f t="shared" si="56"/>
        <v>29.9</v>
      </c>
      <c r="H444" s="42">
        <v>20</v>
      </c>
      <c r="I444" s="42">
        <f t="shared" si="57"/>
        <v>10</v>
      </c>
      <c r="J444" s="42">
        <f t="shared" si="58"/>
        <v>5</v>
      </c>
      <c r="K444" s="15">
        <v>12788005</v>
      </c>
    </row>
    <row r="445" spans="1:11">
      <c r="A445" s="42">
        <v>444</v>
      </c>
      <c r="B445" s="15">
        <v>599500</v>
      </c>
      <c r="C445" s="42">
        <f t="shared" si="52"/>
        <v>5.9950000000000001</v>
      </c>
      <c r="D445" s="42">
        <f t="shared" si="53"/>
        <v>1253.4016666666657</v>
      </c>
      <c r="E445" s="42">
        <f t="shared" si="54"/>
        <v>119.9</v>
      </c>
      <c r="F445" s="42">
        <f t="shared" si="55"/>
        <v>59.95</v>
      </c>
      <c r="G445" s="42">
        <f t="shared" si="56"/>
        <v>29.975000000000001</v>
      </c>
      <c r="H445" s="42">
        <v>20</v>
      </c>
      <c r="I445" s="42">
        <f t="shared" si="57"/>
        <v>10</v>
      </c>
      <c r="J445" s="42">
        <f t="shared" si="58"/>
        <v>5</v>
      </c>
      <c r="K445" s="15">
        <v>12844908</v>
      </c>
    </row>
    <row r="446" spans="1:11">
      <c r="A446" s="42">
        <v>445</v>
      </c>
      <c r="B446" s="15">
        <v>601000</v>
      </c>
      <c r="C446" s="42">
        <f t="shared" si="52"/>
        <v>6.01</v>
      </c>
      <c r="D446" s="42">
        <f t="shared" si="53"/>
        <v>1259.4116666666657</v>
      </c>
      <c r="E446" s="42">
        <f t="shared" si="54"/>
        <v>120.2</v>
      </c>
      <c r="F446" s="42">
        <f t="shared" si="55"/>
        <v>60.1</v>
      </c>
      <c r="G446" s="42">
        <f t="shared" si="56"/>
        <v>30.05</v>
      </c>
      <c r="H446" s="42">
        <v>20</v>
      </c>
      <c r="I446" s="42">
        <f t="shared" si="57"/>
        <v>10</v>
      </c>
      <c r="J446" s="42">
        <f t="shared" si="58"/>
        <v>5</v>
      </c>
      <c r="K446" s="15">
        <v>12901944</v>
      </c>
    </row>
    <row r="447" spans="1:11">
      <c r="A447" s="42">
        <v>446</v>
      </c>
      <c r="B447" s="15">
        <v>602500</v>
      </c>
      <c r="C447" s="42">
        <f t="shared" si="52"/>
        <v>6.0250000000000004</v>
      </c>
      <c r="D447" s="42">
        <f t="shared" si="53"/>
        <v>1265.4366666666658</v>
      </c>
      <c r="E447" s="42">
        <f t="shared" si="54"/>
        <v>120.5</v>
      </c>
      <c r="F447" s="42">
        <f t="shared" si="55"/>
        <v>60.25</v>
      </c>
      <c r="G447" s="42">
        <f t="shared" si="56"/>
        <v>30.125</v>
      </c>
      <c r="H447" s="42">
        <v>20</v>
      </c>
      <c r="I447" s="42">
        <f t="shared" si="57"/>
        <v>10</v>
      </c>
      <c r="J447" s="42">
        <f t="shared" si="58"/>
        <v>5</v>
      </c>
      <c r="K447" s="15">
        <v>12959110</v>
      </c>
    </row>
    <row r="448" spans="1:11">
      <c r="A448" s="42">
        <v>447</v>
      </c>
      <c r="B448" s="15">
        <v>604000</v>
      </c>
      <c r="C448" s="42">
        <f t="shared" si="52"/>
        <v>6.04</v>
      </c>
      <c r="D448" s="42">
        <f t="shared" si="53"/>
        <v>1271.4766666666658</v>
      </c>
      <c r="E448" s="42">
        <f t="shared" si="54"/>
        <v>120.8</v>
      </c>
      <c r="F448" s="42">
        <f t="shared" si="55"/>
        <v>60.4</v>
      </c>
      <c r="G448" s="42">
        <f t="shared" si="56"/>
        <v>30.2</v>
      </c>
      <c r="H448" s="42">
        <v>20</v>
      </c>
      <c r="I448" s="42">
        <f t="shared" si="57"/>
        <v>10</v>
      </c>
      <c r="J448" s="42">
        <f t="shared" si="58"/>
        <v>5</v>
      </c>
      <c r="K448" s="15">
        <v>13016407</v>
      </c>
    </row>
    <row r="449" spans="1:11">
      <c r="A449" s="42">
        <v>448</v>
      </c>
      <c r="B449" s="15">
        <v>605500</v>
      </c>
      <c r="C449" s="42">
        <f t="shared" si="52"/>
        <v>6.0549999999999997</v>
      </c>
      <c r="D449" s="42">
        <f t="shared" si="53"/>
        <v>1277.5316666666658</v>
      </c>
      <c r="E449" s="42">
        <f t="shared" si="54"/>
        <v>121.1</v>
      </c>
      <c r="F449" s="42">
        <f t="shared" si="55"/>
        <v>60.55</v>
      </c>
      <c r="G449" s="42">
        <f t="shared" si="56"/>
        <v>30.274999999999999</v>
      </c>
      <c r="H449" s="42">
        <v>20</v>
      </c>
      <c r="I449" s="42">
        <f t="shared" si="57"/>
        <v>10</v>
      </c>
      <c r="J449" s="42">
        <f t="shared" si="58"/>
        <v>5</v>
      </c>
      <c r="K449" s="15">
        <v>13073836</v>
      </c>
    </row>
    <row r="450" spans="1:11">
      <c r="A450" s="42">
        <v>449</v>
      </c>
      <c r="B450" s="15">
        <v>607000</v>
      </c>
      <c r="C450" s="42">
        <f t="shared" si="52"/>
        <v>6.07</v>
      </c>
      <c r="D450" s="42">
        <f t="shared" si="53"/>
        <v>1283.6016666666658</v>
      </c>
      <c r="E450" s="42">
        <f t="shared" si="54"/>
        <v>121.4</v>
      </c>
      <c r="F450" s="42">
        <f t="shared" si="55"/>
        <v>60.7</v>
      </c>
      <c r="G450" s="42">
        <f t="shared" si="56"/>
        <v>30.35</v>
      </c>
      <c r="H450" s="42">
        <v>20</v>
      </c>
      <c r="I450" s="42">
        <f t="shared" si="57"/>
        <v>10</v>
      </c>
      <c r="J450" s="42">
        <f t="shared" si="58"/>
        <v>5</v>
      </c>
      <c r="K450" s="15">
        <v>13131395</v>
      </c>
    </row>
    <row r="451" spans="1:11">
      <c r="A451" s="42">
        <v>450</v>
      </c>
      <c r="B451" s="15">
        <v>608500</v>
      </c>
      <c r="C451" s="42">
        <f t="shared" si="52"/>
        <v>6.085</v>
      </c>
      <c r="D451" s="42">
        <f t="shared" si="53"/>
        <v>1289.6866666666658</v>
      </c>
      <c r="E451" s="42">
        <f t="shared" si="54"/>
        <v>121.7</v>
      </c>
      <c r="F451" s="42">
        <f t="shared" si="55"/>
        <v>60.85</v>
      </c>
      <c r="G451" s="42">
        <f t="shared" si="56"/>
        <v>30.425000000000001</v>
      </c>
      <c r="H451" s="42">
        <v>20</v>
      </c>
      <c r="I451" s="42">
        <f t="shared" si="57"/>
        <v>10</v>
      </c>
      <c r="J451" s="42">
        <f t="shared" si="58"/>
        <v>5</v>
      </c>
      <c r="K451" s="15">
        <v>13189087</v>
      </c>
    </row>
    <row r="452" spans="1:11">
      <c r="A452" s="42">
        <v>451</v>
      </c>
      <c r="B452" s="15">
        <v>610000</v>
      </c>
      <c r="C452" s="42">
        <f t="shared" si="52"/>
        <v>6.1</v>
      </c>
      <c r="D452" s="42">
        <f t="shared" si="53"/>
        <v>1295.7866666666657</v>
      </c>
      <c r="E452" s="42">
        <f t="shared" si="54"/>
        <v>122</v>
      </c>
      <c r="F452" s="42">
        <f t="shared" si="55"/>
        <v>61</v>
      </c>
      <c r="G452" s="42">
        <f t="shared" si="56"/>
        <v>30.5</v>
      </c>
      <c r="H452" s="42">
        <v>20</v>
      </c>
      <c r="I452" s="42">
        <f t="shared" si="57"/>
        <v>10</v>
      </c>
      <c r="J452" s="42">
        <f t="shared" si="58"/>
        <v>5</v>
      </c>
      <c r="K452" s="15">
        <v>13246909</v>
      </c>
    </row>
    <row r="453" spans="1:11">
      <c r="A453" s="42">
        <v>452</v>
      </c>
      <c r="B453" s="15">
        <v>611500</v>
      </c>
      <c r="C453" s="42">
        <f t="shared" si="52"/>
        <v>6.1150000000000002</v>
      </c>
      <c r="D453" s="42">
        <f t="shared" si="53"/>
        <v>1301.9016666666657</v>
      </c>
      <c r="E453" s="42">
        <f t="shared" si="54"/>
        <v>122.3</v>
      </c>
      <c r="F453" s="42">
        <f t="shared" si="55"/>
        <v>61.15</v>
      </c>
      <c r="G453" s="42">
        <f t="shared" si="56"/>
        <v>30.574999999999999</v>
      </c>
      <c r="H453" s="42">
        <v>20</v>
      </c>
      <c r="I453" s="42">
        <f t="shared" si="57"/>
        <v>10</v>
      </c>
      <c r="J453" s="42">
        <f t="shared" si="58"/>
        <v>5</v>
      </c>
      <c r="K453" s="15">
        <v>13304863</v>
      </c>
    </row>
    <row r="454" spans="1:11">
      <c r="A454" s="42">
        <v>453</v>
      </c>
      <c r="B454" s="15">
        <v>613000</v>
      </c>
      <c r="C454" s="42">
        <f t="shared" si="52"/>
        <v>6.13</v>
      </c>
      <c r="D454" s="42">
        <f t="shared" si="53"/>
        <v>1308.0316666666658</v>
      </c>
      <c r="E454" s="42">
        <f t="shared" si="54"/>
        <v>122.6</v>
      </c>
      <c r="F454" s="42">
        <f t="shared" si="55"/>
        <v>61.3</v>
      </c>
      <c r="G454" s="42">
        <f t="shared" si="56"/>
        <v>30.65</v>
      </c>
      <c r="H454" s="42">
        <v>20</v>
      </c>
      <c r="I454" s="42">
        <f t="shared" si="57"/>
        <v>10</v>
      </c>
      <c r="J454" s="42">
        <f t="shared" si="58"/>
        <v>5</v>
      </c>
      <c r="K454" s="15">
        <v>13362948</v>
      </c>
    </row>
    <row r="455" spans="1:11">
      <c r="A455" s="42">
        <v>454</v>
      </c>
      <c r="B455" s="15">
        <v>614600</v>
      </c>
      <c r="C455" s="42">
        <f t="shared" si="52"/>
        <v>6.1459999999999999</v>
      </c>
      <c r="D455" s="42">
        <f t="shared" si="53"/>
        <v>1314.1776666666658</v>
      </c>
      <c r="E455" s="42">
        <f t="shared" si="54"/>
        <v>122.92</v>
      </c>
      <c r="F455" s="42">
        <f t="shared" si="55"/>
        <v>61.46</v>
      </c>
      <c r="G455" s="42">
        <f t="shared" si="56"/>
        <v>30.73</v>
      </c>
      <c r="H455" s="42">
        <v>20</v>
      </c>
      <c r="I455" s="42">
        <f t="shared" si="57"/>
        <v>10</v>
      </c>
      <c r="J455" s="42">
        <f t="shared" si="58"/>
        <v>5</v>
      </c>
      <c r="K455" s="15">
        <v>13421164</v>
      </c>
    </row>
    <row r="456" spans="1:11">
      <c r="A456" s="42">
        <v>455</v>
      </c>
      <c r="B456" s="15">
        <v>616100</v>
      </c>
      <c r="C456" s="42">
        <f t="shared" si="52"/>
        <v>6.1609999999999996</v>
      </c>
      <c r="D456" s="42">
        <f t="shared" si="53"/>
        <v>1320.3386666666659</v>
      </c>
      <c r="E456" s="42">
        <f t="shared" si="54"/>
        <v>123.22</v>
      </c>
      <c r="F456" s="42">
        <f t="shared" si="55"/>
        <v>61.61</v>
      </c>
      <c r="G456" s="42">
        <f t="shared" si="56"/>
        <v>30.805</v>
      </c>
      <c r="H456" s="42">
        <v>20</v>
      </c>
      <c r="I456" s="42">
        <f t="shared" si="57"/>
        <v>10</v>
      </c>
      <c r="J456" s="42">
        <f t="shared" si="58"/>
        <v>5</v>
      </c>
      <c r="K456" s="15">
        <v>13479512</v>
      </c>
    </row>
    <row r="457" spans="1:11">
      <c r="A457" s="42">
        <v>456</v>
      </c>
      <c r="B457" s="15">
        <v>617600</v>
      </c>
      <c r="C457" s="42">
        <f t="shared" si="52"/>
        <v>6.1760000000000002</v>
      </c>
      <c r="D457" s="42">
        <f t="shared" si="53"/>
        <v>1326.5146666666658</v>
      </c>
      <c r="E457" s="42">
        <f t="shared" si="54"/>
        <v>123.52</v>
      </c>
      <c r="F457" s="42">
        <f t="shared" si="55"/>
        <v>61.76</v>
      </c>
      <c r="G457" s="42">
        <f t="shared" si="56"/>
        <v>30.88</v>
      </c>
      <c r="H457" s="42">
        <v>20</v>
      </c>
      <c r="I457" s="42">
        <f t="shared" si="57"/>
        <v>10</v>
      </c>
      <c r="J457" s="42">
        <f t="shared" si="58"/>
        <v>5</v>
      </c>
      <c r="K457" s="15">
        <v>13537991</v>
      </c>
    </row>
    <row r="458" spans="1:11">
      <c r="A458" s="42">
        <v>457</v>
      </c>
      <c r="B458" s="15">
        <v>619100</v>
      </c>
      <c r="C458" s="42">
        <f t="shared" si="52"/>
        <v>6.1909999999999998</v>
      </c>
      <c r="D458" s="42">
        <f t="shared" si="53"/>
        <v>1332.7056666666658</v>
      </c>
      <c r="E458" s="42">
        <f t="shared" si="54"/>
        <v>123.82</v>
      </c>
      <c r="F458" s="42">
        <f t="shared" si="55"/>
        <v>61.91</v>
      </c>
      <c r="G458" s="42">
        <f t="shared" si="56"/>
        <v>30.954999999999998</v>
      </c>
      <c r="H458" s="42">
        <v>20</v>
      </c>
      <c r="I458" s="42">
        <f t="shared" si="57"/>
        <v>10</v>
      </c>
      <c r="J458" s="42">
        <f t="shared" si="58"/>
        <v>5</v>
      </c>
      <c r="K458" s="15">
        <v>13596601</v>
      </c>
    </row>
    <row r="459" spans="1:11">
      <c r="A459" s="42">
        <v>458</v>
      </c>
      <c r="B459" s="15">
        <v>620600</v>
      </c>
      <c r="C459" s="42">
        <f t="shared" si="52"/>
        <v>6.2060000000000004</v>
      </c>
      <c r="D459" s="42">
        <f t="shared" si="53"/>
        <v>1338.9116666666657</v>
      </c>
      <c r="E459" s="42">
        <f t="shared" si="54"/>
        <v>124.12</v>
      </c>
      <c r="F459" s="42">
        <f t="shared" si="55"/>
        <v>62.06</v>
      </c>
      <c r="G459" s="42">
        <f t="shared" si="56"/>
        <v>31.03</v>
      </c>
      <c r="H459" s="42">
        <v>20</v>
      </c>
      <c r="I459" s="42">
        <f t="shared" si="57"/>
        <v>10</v>
      </c>
      <c r="J459" s="42">
        <f t="shared" si="58"/>
        <v>5</v>
      </c>
      <c r="K459" s="15">
        <v>13655343</v>
      </c>
    </row>
    <row r="460" spans="1:11">
      <c r="A460" s="42">
        <v>459</v>
      </c>
      <c r="B460" s="15">
        <v>622100</v>
      </c>
      <c r="C460" s="42">
        <f t="shared" si="52"/>
        <v>6.2210000000000001</v>
      </c>
      <c r="D460" s="42">
        <f t="shared" si="53"/>
        <v>1345.1326666666657</v>
      </c>
      <c r="E460" s="42">
        <f t="shared" si="54"/>
        <v>124.42</v>
      </c>
      <c r="F460" s="42">
        <f t="shared" si="55"/>
        <v>62.21</v>
      </c>
      <c r="G460" s="42">
        <f t="shared" si="56"/>
        <v>31.105</v>
      </c>
      <c r="H460" s="42">
        <v>20</v>
      </c>
      <c r="I460" s="42">
        <f t="shared" si="57"/>
        <v>10</v>
      </c>
      <c r="J460" s="42">
        <f t="shared" si="58"/>
        <v>5</v>
      </c>
      <c r="K460" s="15">
        <v>13714217</v>
      </c>
    </row>
    <row r="461" spans="1:11">
      <c r="A461" s="42">
        <v>460</v>
      </c>
      <c r="B461" s="15">
        <v>623600</v>
      </c>
      <c r="C461" s="42">
        <f t="shared" si="52"/>
        <v>6.2359999999999998</v>
      </c>
      <c r="D461" s="42">
        <f t="shared" si="53"/>
        <v>1351.3686666666658</v>
      </c>
      <c r="E461" s="42">
        <f t="shared" si="54"/>
        <v>124.72</v>
      </c>
      <c r="F461" s="42">
        <f t="shared" si="55"/>
        <v>62.36</v>
      </c>
      <c r="G461" s="42">
        <f t="shared" si="56"/>
        <v>31.18</v>
      </c>
      <c r="H461" s="42">
        <v>20</v>
      </c>
      <c r="I461" s="42">
        <f t="shared" si="57"/>
        <v>10</v>
      </c>
      <c r="J461" s="42">
        <f t="shared" si="58"/>
        <v>5</v>
      </c>
      <c r="K461" s="15">
        <v>13773221</v>
      </c>
    </row>
    <row r="462" spans="1:11">
      <c r="A462" s="42">
        <v>461</v>
      </c>
      <c r="B462" s="15">
        <v>625100</v>
      </c>
      <c r="C462" s="42">
        <f t="shared" si="52"/>
        <v>6.2509999999999994</v>
      </c>
      <c r="D462" s="42">
        <f t="shared" si="53"/>
        <v>1357.6196666666658</v>
      </c>
      <c r="E462" s="42">
        <f t="shared" si="54"/>
        <v>125.02</v>
      </c>
      <c r="F462" s="42">
        <f t="shared" si="55"/>
        <v>62.51</v>
      </c>
      <c r="G462" s="42">
        <f t="shared" si="56"/>
        <v>31.254999999999999</v>
      </c>
      <c r="H462" s="42">
        <v>20</v>
      </c>
      <c r="I462" s="42">
        <f t="shared" si="57"/>
        <v>10</v>
      </c>
      <c r="J462" s="42">
        <f t="shared" si="58"/>
        <v>5</v>
      </c>
      <c r="K462" s="15">
        <v>13832358</v>
      </c>
    </row>
    <row r="463" spans="1:11">
      <c r="A463" s="42">
        <v>462</v>
      </c>
      <c r="B463" s="15">
        <v>626600</v>
      </c>
      <c r="C463" s="42">
        <f t="shared" si="52"/>
        <v>6.266</v>
      </c>
      <c r="D463" s="42">
        <f t="shared" si="53"/>
        <v>1363.8856666666659</v>
      </c>
      <c r="E463" s="42">
        <f t="shared" si="54"/>
        <v>125.32</v>
      </c>
      <c r="F463" s="42">
        <f t="shared" si="55"/>
        <v>62.66</v>
      </c>
      <c r="G463" s="42">
        <f t="shared" si="56"/>
        <v>31.33</v>
      </c>
      <c r="H463" s="42">
        <v>20</v>
      </c>
      <c r="I463" s="42">
        <f t="shared" si="57"/>
        <v>10</v>
      </c>
      <c r="J463" s="42">
        <f t="shared" si="58"/>
        <v>5</v>
      </c>
      <c r="K463" s="15">
        <v>13891626</v>
      </c>
    </row>
    <row r="464" spans="1:11">
      <c r="A464" s="42">
        <v>463</v>
      </c>
      <c r="B464" s="15">
        <v>628100</v>
      </c>
      <c r="C464" s="42">
        <f t="shared" si="52"/>
        <v>6.2810000000000006</v>
      </c>
      <c r="D464" s="42">
        <f t="shared" si="53"/>
        <v>1370.1666666666658</v>
      </c>
      <c r="E464" s="42">
        <f t="shared" si="54"/>
        <v>125.62</v>
      </c>
      <c r="F464" s="42">
        <f t="shared" si="55"/>
        <v>62.81</v>
      </c>
      <c r="G464" s="42">
        <f t="shared" si="56"/>
        <v>31.405000000000001</v>
      </c>
      <c r="H464" s="42">
        <v>20</v>
      </c>
      <c r="I464" s="42">
        <f t="shared" si="57"/>
        <v>10</v>
      </c>
      <c r="J464" s="42">
        <f t="shared" si="58"/>
        <v>5</v>
      </c>
      <c r="K464" s="15">
        <v>13951025</v>
      </c>
    </row>
    <row r="465" spans="1:11">
      <c r="A465" s="42">
        <v>464</v>
      </c>
      <c r="B465" s="15">
        <v>629600</v>
      </c>
      <c r="C465" s="42">
        <f t="shared" si="52"/>
        <v>6.2960000000000003</v>
      </c>
      <c r="D465" s="42">
        <f t="shared" si="53"/>
        <v>1376.4626666666659</v>
      </c>
      <c r="E465" s="42">
        <f t="shared" si="54"/>
        <v>125.92</v>
      </c>
      <c r="F465" s="42">
        <f t="shared" si="55"/>
        <v>62.96</v>
      </c>
      <c r="G465" s="42">
        <f t="shared" si="56"/>
        <v>31.48</v>
      </c>
      <c r="H465" s="42">
        <v>20</v>
      </c>
      <c r="I465" s="42">
        <f t="shared" si="57"/>
        <v>10</v>
      </c>
      <c r="J465" s="42">
        <f t="shared" si="58"/>
        <v>5</v>
      </c>
      <c r="K465" s="15">
        <v>14010556</v>
      </c>
    </row>
    <row r="466" spans="1:11">
      <c r="A466" s="42">
        <v>465</v>
      </c>
      <c r="B466" s="15">
        <v>631100</v>
      </c>
      <c r="C466" s="42">
        <f t="shared" si="52"/>
        <v>6.3109999999999999</v>
      </c>
      <c r="D466" s="42">
        <f t="shared" si="53"/>
        <v>1382.7736666666658</v>
      </c>
      <c r="E466" s="42">
        <f t="shared" si="54"/>
        <v>126.22</v>
      </c>
      <c r="F466" s="42">
        <f t="shared" si="55"/>
        <v>63.11</v>
      </c>
      <c r="G466" s="42">
        <f t="shared" si="56"/>
        <v>31.555</v>
      </c>
      <c r="H466" s="42">
        <v>20</v>
      </c>
      <c r="I466" s="42">
        <f t="shared" si="57"/>
        <v>10</v>
      </c>
      <c r="J466" s="42">
        <f t="shared" si="58"/>
        <v>5</v>
      </c>
      <c r="K466" s="15">
        <v>14070218</v>
      </c>
    </row>
    <row r="467" spans="1:11">
      <c r="A467" s="42">
        <v>466</v>
      </c>
      <c r="B467" s="15">
        <v>632700</v>
      </c>
      <c r="C467" s="42">
        <f t="shared" si="52"/>
        <v>6.327</v>
      </c>
      <c r="D467" s="42">
        <f t="shared" si="53"/>
        <v>1389.1006666666658</v>
      </c>
      <c r="E467" s="42">
        <f t="shared" si="54"/>
        <v>126.54</v>
      </c>
      <c r="F467" s="42">
        <f t="shared" si="55"/>
        <v>63.27</v>
      </c>
      <c r="G467" s="42">
        <f t="shared" si="56"/>
        <v>31.635000000000002</v>
      </c>
      <c r="H467" s="42">
        <v>20</v>
      </c>
      <c r="I467" s="42">
        <f t="shared" si="57"/>
        <v>10</v>
      </c>
      <c r="J467" s="42">
        <f t="shared" si="58"/>
        <v>5</v>
      </c>
      <c r="K467" s="15">
        <v>14130013</v>
      </c>
    </row>
    <row r="468" spans="1:11">
      <c r="A468" s="42">
        <v>467</v>
      </c>
      <c r="B468" s="15">
        <v>634200</v>
      </c>
      <c r="C468" s="42">
        <f t="shared" si="52"/>
        <v>6.3420000000000005</v>
      </c>
      <c r="D468" s="42">
        <f t="shared" si="53"/>
        <v>1395.4426666666659</v>
      </c>
      <c r="E468" s="42">
        <f t="shared" si="54"/>
        <v>126.84</v>
      </c>
      <c r="F468" s="42">
        <f t="shared" si="55"/>
        <v>63.42</v>
      </c>
      <c r="G468" s="42">
        <f t="shared" si="56"/>
        <v>31.71</v>
      </c>
      <c r="H468" s="42">
        <v>20</v>
      </c>
      <c r="I468" s="42">
        <f t="shared" si="57"/>
        <v>10</v>
      </c>
      <c r="J468" s="42">
        <f t="shared" si="58"/>
        <v>5</v>
      </c>
      <c r="K468" s="15">
        <v>14189938</v>
      </c>
    </row>
    <row r="469" spans="1:11">
      <c r="A469" s="42">
        <v>468</v>
      </c>
      <c r="B469" s="15">
        <v>635700</v>
      </c>
      <c r="C469" s="42">
        <f t="shared" si="52"/>
        <v>6.3570000000000002</v>
      </c>
      <c r="D469" s="42">
        <f t="shared" si="53"/>
        <v>1401.7996666666659</v>
      </c>
      <c r="E469" s="42">
        <f t="shared" si="54"/>
        <v>127.14</v>
      </c>
      <c r="F469" s="42">
        <f t="shared" si="55"/>
        <v>63.57</v>
      </c>
      <c r="G469" s="42">
        <f t="shared" si="56"/>
        <v>31.785</v>
      </c>
      <c r="H469" s="42">
        <v>20</v>
      </c>
      <c r="I469" s="42">
        <f t="shared" si="57"/>
        <v>10</v>
      </c>
      <c r="J469" s="42">
        <f t="shared" si="58"/>
        <v>5</v>
      </c>
      <c r="K469" s="15">
        <v>14249996</v>
      </c>
    </row>
    <row r="470" spans="1:11">
      <c r="A470" s="42">
        <v>469</v>
      </c>
      <c r="B470" s="15">
        <v>637200</v>
      </c>
      <c r="C470" s="42">
        <f t="shared" si="52"/>
        <v>6.3719999999999999</v>
      </c>
      <c r="D470" s="42">
        <f t="shared" si="53"/>
        <v>1408.1716666666659</v>
      </c>
      <c r="E470" s="42">
        <f t="shared" si="54"/>
        <v>127.44</v>
      </c>
      <c r="F470" s="42">
        <f t="shared" si="55"/>
        <v>63.72</v>
      </c>
      <c r="G470" s="42">
        <f t="shared" si="56"/>
        <v>31.86</v>
      </c>
      <c r="H470" s="42">
        <v>20</v>
      </c>
      <c r="I470" s="42">
        <f t="shared" si="57"/>
        <v>10</v>
      </c>
      <c r="J470" s="42">
        <f t="shared" si="58"/>
        <v>5</v>
      </c>
      <c r="K470" s="15">
        <v>14310185</v>
      </c>
    </row>
    <row r="471" spans="1:11">
      <c r="A471" s="42">
        <v>470</v>
      </c>
      <c r="B471" s="15">
        <v>638700</v>
      </c>
      <c r="C471" s="42">
        <f t="shared" si="52"/>
        <v>6.3869999999999996</v>
      </c>
      <c r="D471" s="42">
        <f t="shared" si="53"/>
        <v>1414.5586666666659</v>
      </c>
      <c r="E471" s="42">
        <f t="shared" si="54"/>
        <v>127.74</v>
      </c>
      <c r="F471" s="42">
        <f t="shared" si="55"/>
        <v>63.87</v>
      </c>
      <c r="G471" s="42">
        <f t="shared" si="56"/>
        <v>31.934999999999999</v>
      </c>
      <c r="H471" s="42">
        <v>20</v>
      </c>
      <c r="I471" s="42">
        <f t="shared" si="57"/>
        <v>10</v>
      </c>
      <c r="J471" s="42">
        <f t="shared" si="58"/>
        <v>5</v>
      </c>
      <c r="K471" s="15">
        <v>14370505</v>
      </c>
    </row>
    <row r="472" spans="1:11">
      <c r="A472" s="42">
        <v>471</v>
      </c>
      <c r="B472" s="15">
        <v>640200</v>
      </c>
      <c r="C472" s="42">
        <f t="shared" si="52"/>
        <v>6.4019999999999992</v>
      </c>
      <c r="D472" s="42">
        <f t="shared" si="53"/>
        <v>1420.9606666666659</v>
      </c>
      <c r="E472" s="42">
        <f t="shared" si="54"/>
        <v>128.04</v>
      </c>
      <c r="F472" s="42">
        <f t="shared" si="55"/>
        <v>64.02</v>
      </c>
      <c r="G472" s="42">
        <f t="shared" si="56"/>
        <v>32.01</v>
      </c>
      <c r="H472" s="42">
        <v>20</v>
      </c>
      <c r="I472" s="42">
        <f t="shared" si="57"/>
        <v>10</v>
      </c>
      <c r="J472" s="42">
        <f t="shared" si="58"/>
        <v>5</v>
      </c>
      <c r="K472" s="15">
        <v>14430958</v>
      </c>
    </row>
    <row r="473" spans="1:11">
      <c r="A473" s="42">
        <v>472</v>
      </c>
      <c r="B473" s="15">
        <v>641700</v>
      </c>
      <c r="C473" s="42">
        <f t="shared" si="52"/>
        <v>6.4169999999999998</v>
      </c>
      <c r="D473" s="42">
        <f t="shared" si="53"/>
        <v>1427.3776666666658</v>
      </c>
      <c r="E473" s="42">
        <f t="shared" si="54"/>
        <v>128.34</v>
      </c>
      <c r="F473" s="42">
        <f t="shared" si="55"/>
        <v>64.17</v>
      </c>
      <c r="G473" s="42">
        <f t="shared" si="56"/>
        <v>32.085000000000001</v>
      </c>
      <c r="H473" s="42">
        <v>20</v>
      </c>
      <c r="I473" s="42">
        <f t="shared" si="57"/>
        <v>10</v>
      </c>
      <c r="J473" s="42">
        <f t="shared" si="58"/>
        <v>5</v>
      </c>
      <c r="K473" s="15">
        <v>14491542</v>
      </c>
    </row>
    <row r="474" spans="1:11">
      <c r="A474" s="42">
        <v>473</v>
      </c>
      <c r="B474" s="15">
        <v>643200</v>
      </c>
      <c r="C474" s="42">
        <f t="shared" si="52"/>
        <v>6.4319999999999995</v>
      </c>
      <c r="D474" s="42">
        <f t="shared" si="53"/>
        <v>1433.8096666666659</v>
      </c>
      <c r="E474" s="42">
        <f t="shared" si="54"/>
        <v>128.63999999999999</v>
      </c>
      <c r="F474" s="42">
        <f t="shared" si="55"/>
        <v>64.319999999999993</v>
      </c>
      <c r="G474" s="42">
        <f t="shared" si="56"/>
        <v>32.159999999999997</v>
      </c>
      <c r="H474" s="42">
        <v>20</v>
      </c>
      <c r="I474" s="42">
        <f t="shared" si="57"/>
        <v>10</v>
      </c>
      <c r="J474" s="42">
        <f t="shared" si="58"/>
        <v>5</v>
      </c>
      <c r="K474" s="15">
        <v>14552258</v>
      </c>
    </row>
    <row r="475" spans="1:11">
      <c r="A475" s="42">
        <v>474</v>
      </c>
      <c r="B475" s="15">
        <v>644700</v>
      </c>
      <c r="C475" s="42">
        <f t="shared" si="52"/>
        <v>6.4470000000000001</v>
      </c>
      <c r="D475" s="42">
        <f t="shared" si="53"/>
        <v>1440.2566666666658</v>
      </c>
      <c r="E475" s="42">
        <f t="shared" si="54"/>
        <v>128.94</v>
      </c>
      <c r="F475" s="42">
        <f t="shared" si="55"/>
        <v>64.47</v>
      </c>
      <c r="G475" s="42">
        <f t="shared" si="56"/>
        <v>32.234999999999999</v>
      </c>
      <c r="H475" s="42">
        <v>20</v>
      </c>
      <c r="I475" s="42">
        <f t="shared" si="57"/>
        <v>10</v>
      </c>
      <c r="J475" s="42">
        <f t="shared" si="58"/>
        <v>5</v>
      </c>
      <c r="K475" s="15">
        <v>14613105</v>
      </c>
    </row>
    <row r="476" spans="1:11">
      <c r="A476" s="42">
        <v>475</v>
      </c>
      <c r="B476" s="15">
        <v>646300</v>
      </c>
      <c r="C476" s="42">
        <f t="shared" si="52"/>
        <v>6.4629999999999992</v>
      </c>
      <c r="D476" s="42">
        <f t="shared" si="53"/>
        <v>1446.7196666666657</v>
      </c>
      <c r="E476" s="42">
        <f t="shared" si="54"/>
        <v>129.26</v>
      </c>
      <c r="F476" s="42">
        <f t="shared" si="55"/>
        <v>64.63</v>
      </c>
      <c r="G476" s="42">
        <f t="shared" si="56"/>
        <v>32.314999999999998</v>
      </c>
      <c r="H476" s="42">
        <v>20</v>
      </c>
      <c r="I476" s="42">
        <f t="shared" si="57"/>
        <v>10</v>
      </c>
      <c r="J476" s="42">
        <f t="shared" si="58"/>
        <v>5</v>
      </c>
      <c r="K476" s="15">
        <v>14674085</v>
      </c>
    </row>
    <row r="477" spans="1:11">
      <c r="A477" s="42">
        <v>476</v>
      </c>
      <c r="B477" s="15">
        <v>647800</v>
      </c>
      <c r="C477" s="42">
        <f t="shared" si="52"/>
        <v>6.4779999999999998</v>
      </c>
      <c r="D477" s="42">
        <f t="shared" si="53"/>
        <v>1453.1976666666658</v>
      </c>
      <c r="E477" s="42">
        <f t="shared" si="54"/>
        <v>129.56</v>
      </c>
      <c r="F477" s="42">
        <f t="shared" si="55"/>
        <v>64.78</v>
      </c>
      <c r="G477" s="42">
        <f t="shared" si="56"/>
        <v>32.39</v>
      </c>
      <c r="H477" s="42">
        <v>20</v>
      </c>
      <c r="I477" s="42">
        <f t="shared" si="57"/>
        <v>10</v>
      </c>
      <c r="J477" s="42">
        <f t="shared" si="58"/>
        <v>5</v>
      </c>
      <c r="K477" s="15">
        <v>14735196</v>
      </c>
    </row>
    <row r="478" spans="1:11">
      <c r="A478" s="42">
        <v>477</v>
      </c>
      <c r="B478" s="15">
        <v>649300</v>
      </c>
      <c r="C478" s="42">
        <f t="shared" si="52"/>
        <v>6.4930000000000003</v>
      </c>
      <c r="D478" s="42">
        <f t="shared" si="53"/>
        <v>1459.6906666666657</v>
      </c>
      <c r="E478" s="42">
        <f t="shared" si="54"/>
        <v>129.86000000000001</v>
      </c>
      <c r="F478" s="42">
        <f t="shared" si="55"/>
        <v>64.930000000000007</v>
      </c>
      <c r="G478" s="42">
        <f t="shared" si="56"/>
        <v>32.465000000000003</v>
      </c>
      <c r="H478" s="42">
        <v>20</v>
      </c>
      <c r="I478" s="42">
        <f t="shared" si="57"/>
        <v>10</v>
      </c>
      <c r="J478" s="42">
        <f t="shared" si="58"/>
        <v>5</v>
      </c>
      <c r="K478" s="15">
        <v>14796439</v>
      </c>
    </row>
    <row r="479" spans="1:11">
      <c r="A479" s="42">
        <v>478</v>
      </c>
      <c r="B479" s="15">
        <v>650800</v>
      </c>
      <c r="C479" s="42">
        <f t="shared" si="52"/>
        <v>6.508</v>
      </c>
      <c r="D479" s="42">
        <f t="shared" si="53"/>
        <v>1466.1986666666658</v>
      </c>
      <c r="E479" s="42">
        <f t="shared" si="54"/>
        <v>130.16</v>
      </c>
      <c r="F479" s="42">
        <f t="shared" si="55"/>
        <v>65.08</v>
      </c>
      <c r="G479" s="42">
        <f t="shared" si="56"/>
        <v>32.54</v>
      </c>
      <c r="H479" s="42">
        <v>20</v>
      </c>
      <c r="I479" s="42">
        <f t="shared" si="57"/>
        <v>10</v>
      </c>
      <c r="J479" s="42">
        <f t="shared" si="58"/>
        <v>5</v>
      </c>
      <c r="K479" s="15">
        <v>14857814</v>
      </c>
    </row>
    <row r="480" spans="1:11">
      <c r="A480" s="42">
        <v>479</v>
      </c>
      <c r="B480" s="15">
        <v>652300</v>
      </c>
      <c r="C480" s="42">
        <f t="shared" si="52"/>
        <v>6.5230000000000006</v>
      </c>
      <c r="D480" s="42">
        <f t="shared" si="53"/>
        <v>1472.7216666666657</v>
      </c>
      <c r="E480" s="42">
        <f t="shared" si="54"/>
        <v>130.46</v>
      </c>
      <c r="F480" s="42">
        <f t="shared" si="55"/>
        <v>65.23</v>
      </c>
      <c r="G480" s="42">
        <f t="shared" si="56"/>
        <v>32.615000000000002</v>
      </c>
      <c r="H480" s="42">
        <v>20</v>
      </c>
      <c r="I480" s="42">
        <f t="shared" si="57"/>
        <v>10</v>
      </c>
      <c r="J480" s="42">
        <f t="shared" si="58"/>
        <v>5</v>
      </c>
      <c r="K480" s="15">
        <v>14919321</v>
      </c>
    </row>
    <row r="481" spans="1:11">
      <c r="A481" s="42">
        <v>480</v>
      </c>
      <c r="B481" s="15">
        <v>653800</v>
      </c>
      <c r="C481" s="42">
        <f t="shared" si="52"/>
        <v>6.5379999999999994</v>
      </c>
      <c r="D481" s="42">
        <f t="shared" si="53"/>
        <v>1479.2596666666657</v>
      </c>
      <c r="E481" s="42">
        <f t="shared" si="54"/>
        <v>130.76</v>
      </c>
      <c r="F481" s="42">
        <f t="shared" si="55"/>
        <v>65.38</v>
      </c>
      <c r="G481" s="42">
        <f t="shared" si="56"/>
        <v>32.69</v>
      </c>
      <c r="H481" s="42">
        <v>20</v>
      </c>
      <c r="I481" s="42">
        <f t="shared" si="57"/>
        <v>10</v>
      </c>
      <c r="J481" s="42">
        <f t="shared" si="58"/>
        <v>5</v>
      </c>
      <c r="K481" s="15">
        <v>14980960</v>
      </c>
    </row>
    <row r="482" spans="1:11">
      <c r="A482" s="42">
        <v>481</v>
      </c>
      <c r="B482" s="15">
        <v>655400</v>
      </c>
      <c r="C482" s="42">
        <f t="shared" si="52"/>
        <v>6.5540000000000003</v>
      </c>
      <c r="D482" s="42">
        <f t="shared" si="53"/>
        <v>1485.8136666666658</v>
      </c>
      <c r="E482" s="42">
        <f t="shared" si="54"/>
        <v>131.08000000000001</v>
      </c>
      <c r="F482" s="42">
        <f t="shared" si="55"/>
        <v>65.540000000000006</v>
      </c>
      <c r="G482" s="42">
        <f t="shared" si="56"/>
        <v>32.770000000000003</v>
      </c>
      <c r="H482" s="42">
        <v>20</v>
      </c>
      <c r="I482" s="42">
        <f t="shared" si="57"/>
        <v>10</v>
      </c>
      <c r="J482" s="42">
        <f t="shared" si="58"/>
        <v>5</v>
      </c>
      <c r="K482" s="15">
        <v>15042730</v>
      </c>
    </row>
    <row r="483" spans="1:11">
      <c r="A483" s="42">
        <v>482</v>
      </c>
      <c r="B483" s="15">
        <v>656900</v>
      </c>
      <c r="C483" s="42">
        <f t="shared" si="52"/>
        <v>6.569</v>
      </c>
      <c r="D483" s="42">
        <f t="shared" si="53"/>
        <v>1492.3826666666657</v>
      </c>
      <c r="E483" s="42">
        <f t="shared" si="54"/>
        <v>131.38</v>
      </c>
      <c r="F483" s="42">
        <f t="shared" si="55"/>
        <v>65.69</v>
      </c>
      <c r="G483" s="42">
        <f t="shared" si="56"/>
        <v>32.844999999999999</v>
      </c>
      <c r="H483" s="42">
        <v>20</v>
      </c>
      <c r="I483" s="42">
        <f t="shared" si="57"/>
        <v>10</v>
      </c>
      <c r="J483" s="42">
        <f t="shared" si="58"/>
        <v>5</v>
      </c>
      <c r="K483" s="15">
        <v>15104633</v>
      </c>
    </row>
    <row r="484" spans="1:11">
      <c r="A484" s="42">
        <v>483</v>
      </c>
      <c r="B484" s="15">
        <v>658400</v>
      </c>
      <c r="C484" s="42">
        <f t="shared" si="52"/>
        <v>6.5840000000000005</v>
      </c>
      <c r="D484" s="42">
        <f t="shared" si="53"/>
        <v>1498.9666666666658</v>
      </c>
      <c r="E484" s="42">
        <f t="shared" si="54"/>
        <v>131.68</v>
      </c>
      <c r="F484" s="42">
        <f t="shared" si="55"/>
        <v>65.84</v>
      </c>
      <c r="G484" s="42">
        <f t="shared" si="56"/>
        <v>32.92</v>
      </c>
      <c r="H484" s="42">
        <v>20</v>
      </c>
      <c r="I484" s="42">
        <f t="shared" si="57"/>
        <v>10</v>
      </c>
      <c r="J484" s="42">
        <f t="shared" si="58"/>
        <v>5</v>
      </c>
      <c r="K484" s="15">
        <v>15166667</v>
      </c>
    </row>
    <row r="485" spans="1:11">
      <c r="A485" s="42">
        <v>484</v>
      </c>
      <c r="B485" s="15">
        <v>659900</v>
      </c>
      <c r="C485" s="42">
        <f t="shared" si="52"/>
        <v>6.5989999999999993</v>
      </c>
      <c r="D485" s="42">
        <f t="shared" si="53"/>
        <v>1505.5656666666657</v>
      </c>
      <c r="E485" s="42">
        <f t="shared" si="54"/>
        <v>131.97999999999999</v>
      </c>
      <c r="F485" s="42">
        <f t="shared" si="55"/>
        <v>65.989999999999995</v>
      </c>
      <c r="G485" s="42">
        <f t="shared" si="56"/>
        <v>32.994999999999997</v>
      </c>
      <c r="H485" s="42">
        <v>20</v>
      </c>
      <c r="I485" s="42">
        <f t="shared" si="57"/>
        <v>10</v>
      </c>
      <c r="J485" s="42">
        <f t="shared" si="58"/>
        <v>5</v>
      </c>
      <c r="K485" s="15">
        <v>15228834</v>
      </c>
    </row>
    <row r="486" spans="1:11">
      <c r="A486" s="42">
        <v>485</v>
      </c>
      <c r="B486" s="15">
        <v>661400</v>
      </c>
      <c r="C486" s="42">
        <f t="shared" ref="C486:C501" si="59">E486/H486</f>
        <v>6.6139999999999999</v>
      </c>
      <c r="D486" s="42">
        <f t="shared" ref="D486:D501" si="60">C486+D485</f>
        <v>1512.1796666666658</v>
      </c>
      <c r="E486" s="42">
        <f t="shared" ref="E486:E501" si="61">B486/$N$2</f>
        <v>132.28</v>
      </c>
      <c r="F486" s="42">
        <f t="shared" ref="F486:F501" si="62">B486/$N$3</f>
        <v>66.14</v>
      </c>
      <c r="G486" s="42">
        <f t="shared" ref="G486:G501" si="63">B486/$N$4</f>
        <v>33.07</v>
      </c>
      <c r="H486" s="42">
        <v>20</v>
      </c>
      <c r="I486" s="42">
        <f t="shared" ref="I486:I501" si="64">H486/2</f>
        <v>10</v>
      </c>
      <c r="J486" s="42">
        <f t="shared" ref="J486:J501" si="65">H486/4</f>
        <v>5</v>
      </c>
      <c r="K486" s="15">
        <v>15291132</v>
      </c>
    </row>
    <row r="487" spans="1:11">
      <c r="A487" s="42">
        <v>486</v>
      </c>
      <c r="B487" s="15">
        <v>662900</v>
      </c>
      <c r="C487" s="42">
        <f t="shared" si="59"/>
        <v>6.6290000000000004</v>
      </c>
      <c r="D487" s="42">
        <f t="shared" si="60"/>
        <v>1518.8086666666657</v>
      </c>
      <c r="E487" s="42">
        <f t="shared" si="61"/>
        <v>132.58000000000001</v>
      </c>
      <c r="F487" s="42">
        <f t="shared" si="62"/>
        <v>66.290000000000006</v>
      </c>
      <c r="G487" s="42">
        <f t="shared" si="63"/>
        <v>33.145000000000003</v>
      </c>
      <c r="H487" s="42">
        <v>20</v>
      </c>
      <c r="I487" s="42">
        <f t="shared" si="64"/>
        <v>10</v>
      </c>
      <c r="J487" s="42">
        <f t="shared" si="65"/>
        <v>5</v>
      </c>
      <c r="K487" s="15">
        <v>15353562</v>
      </c>
    </row>
    <row r="488" spans="1:11">
      <c r="A488" s="42">
        <v>487</v>
      </c>
      <c r="B488" s="15">
        <v>664500</v>
      </c>
      <c r="C488" s="42">
        <f t="shared" si="59"/>
        <v>6.6450000000000005</v>
      </c>
      <c r="D488" s="42">
        <f t="shared" si="60"/>
        <v>1525.4536666666656</v>
      </c>
      <c r="E488" s="42">
        <f t="shared" si="61"/>
        <v>132.9</v>
      </c>
      <c r="F488" s="42">
        <f t="shared" si="62"/>
        <v>66.45</v>
      </c>
      <c r="G488" s="42">
        <f t="shared" si="63"/>
        <v>33.225000000000001</v>
      </c>
      <c r="H488" s="42">
        <v>20</v>
      </c>
      <c r="I488" s="42">
        <f t="shared" si="64"/>
        <v>10</v>
      </c>
      <c r="J488" s="42">
        <f t="shared" si="65"/>
        <v>5</v>
      </c>
      <c r="K488" s="15">
        <v>15416125</v>
      </c>
    </row>
    <row r="489" spans="1:11">
      <c r="A489" s="42">
        <v>488</v>
      </c>
      <c r="B489" s="15">
        <v>666000</v>
      </c>
      <c r="C489" s="42">
        <f t="shared" si="59"/>
        <v>6.6599999999999993</v>
      </c>
      <c r="D489" s="42">
        <f t="shared" si="60"/>
        <v>1532.1136666666657</v>
      </c>
      <c r="E489" s="42">
        <f t="shared" si="61"/>
        <v>133.19999999999999</v>
      </c>
      <c r="F489" s="42">
        <f t="shared" si="62"/>
        <v>66.599999999999994</v>
      </c>
      <c r="G489" s="42">
        <f t="shared" si="63"/>
        <v>33.299999999999997</v>
      </c>
      <c r="H489" s="42">
        <v>20</v>
      </c>
      <c r="I489" s="42">
        <f t="shared" si="64"/>
        <v>10</v>
      </c>
      <c r="J489" s="42">
        <f t="shared" si="65"/>
        <v>5</v>
      </c>
      <c r="K489" s="15">
        <v>15478819</v>
      </c>
    </row>
    <row r="490" spans="1:11">
      <c r="A490" s="42">
        <v>489</v>
      </c>
      <c r="B490" s="15">
        <v>667500</v>
      </c>
      <c r="C490" s="42">
        <f t="shared" si="59"/>
        <v>6.6749999999999998</v>
      </c>
      <c r="D490" s="42">
        <f t="shared" si="60"/>
        <v>1538.7886666666657</v>
      </c>
      <c r="E490" s="42">
        <f t="shared" si="61"/>
        <v>133.5</v>
      </c>
      <c r="F490" s="42">
        <f t="shared" si="62"/>
        <v>66.75</v>
      </c>
      <c r="G490" s="42">
        <f t="shared" si="63"/>
        <v>33.375</v>
      </c>
      <c r="H490" s="42">
        <v>20</v>
      </c>
      <c r="I490" s="42">
        <f t="shared" si="64"/>
        <v>10</v>
      </c>
      <c r="J490" s="42">
        <f t="shared" si="65"/>
        <v>5</v>
      </c>
      <c r="K490" s="15">
        <v>15541646</v>
      </c>
    </row>
    <row r="491" spans="1:11">
      <c r="A491" s="42">
        <v>490</v>
      </c>
      <c r="B491" s="15">
        <v>669000</v>
      </c>
      <c r="C491" s="42">
        <f t="shared" si="59"/>
        <v>6.69</v>
      </c>
      <c r="D491" s="42">
        <f t="shared" si="60"/>
        <v>1545.4786666666657</v>
      </c>
      <c r="E491" s="42">
        <f t="shared" si="61"/>
        <v>133.80000000000001</v>
      </c>
      <c r="F491" s="42">
        <f t="shared" si="62"/>
        <v>66.900000000000006</v>
      </c>
      <c r="G491" s="42">
        <f t="shared" si="63"/>
        <v>33.450000000000003</v>
      </c>
      <c r="H491" s="42">
        <v>20</v>
      </c>
      <c r="I491" s="42">
        <f t="shared" si="64"/>
        <v>10</v>
      </c>
      <c r="J491" s="42">
        <f t="shared" si="65"/>
        <v>5</v>
      </c>
      <c r="K491" s="15">
        <v>15604605</v>
      </c>
    </row>
    <row r="492" spans="1:11">
      <c r="A492" s="42">
        <v>491</v>
      </c>
      <c r="B492" s="15">
        <v>670500</v>
      </c>
      <c r="C492" s="42">
        <f t="shared" si="59"/>
        <v>6.7050000000000001</v>
      </c>
      <c r="D492" s="42">
        <f t="shared" si="60"/>
        <v>1552.1836666666657</v>
      </c>
      <c r="E492" s="42">
        <f t="shared" si="61"/>
        <v>134.1</v>
      </c>
      <c r="F492" s="42">
        <f t="shared" si="62"/>
        <v>67.05</v>
      </c>
      <c r="G492" s="42">
        <f t="shared" si="63"/>
        <v>33.524999999999999</v>
      </c>
      <c r="H492" s="42">
        <v>20</v>
      </c>
      <c r="I492" s="42">
        <f t="shared" si="64"/>
        <v>10</v>
      </c>
      <c r="J492" s="42">
        <f t="shared" si="65"/>
        <v>5</v>
      </c>
      <c r="K492" s="15">
        <v>15667695</v>
      </c>
    </row>
    <row r="493" spans="1:11">
      <c r="A493" s="42">
        <v>492</v>
      </c>
      <c r="B493" s="15">
        <v>672100</v>
      </c>
      <c r="C493" s="42">
        <f t="shared" si="59"/>
        <v>6.7209999999999992</v>
      </c>
      <c r="D493" s="42">
        <f t="shared" si="60"/>
        <v>1558.9046666666657</v>
      </c>
      <c r="E493" s="42">
        <f t="shared" si="61"/>
        <v>134.41999999999999</v>
      </c>
      <c r="F493" s="42">
        <f t="shared" si="62"/>
        <v>67.209999999999994</v>
      </c>
      <c r="G493" s="42">
        <f t="shared" si="63"/>
        <v>33.604999999999997</v>
      </c>
      <c r="H493" s="42">
        <v>20</v>
      </c>
      <c r="I493" s="42">
        <f t="shared" si="64"/>
        <v>10</v>
      </c>
      <c r="J493" s="42">
        <f t="shared" si="65"/>
        <v>5</v>
      </c>
      <c r="K493" s="15">
        <v>15730918</v>
      </c>
    </row>
    <row r="494" spans="1:11">
      <c r="A494" s="42">
        <v>493</v>
      </c>
      <c r="B494" s="15">
        <v>673600</v>
      </c>
      <c r="C494" s="42">
        <f t="shared" si="59"/>
        <v>6.7359999999999998</v>
      </c>
      <c r="D494" s="42">
        <f t="shared" si="60"/>
        <v>1565.6406666666658</v>
      </c>
      <c r="E494" s="42">
        <f t="shared" si="61"/>
        <v>134.72</v>
      </c>
      <c r="F494" s="42">
        <f t="shared" si="62"/>
        <v>67.36</v>
      </c>
      <c r="G494" s="42">
        <f t="shared" si="63"/>
        <v>33.68</v>
      </c>
      <c r="H494" s="42">
        <v>20</v>
      </c>
      <c r="I494" s="42">
        <f t="shared" si="64"/>
        <v>10</v>
      </c>
      <c r="J494" s="42">
        <f t="shared" si="65"/>
        <v>5</v>
      </c>
      <c r="K494" s="15">
        <v>15794273</v>
      </c>
    </row>
    <row r="495" spans="1:11">
      <c r="A495" s="42">
        <v>494</v>
      </c>
      <c r="B495" s="15">
        <v>675100</v>
      </c>
      <c r="C495" s="42">
        <f t="shared" si="59"/>
        <v>6.7510000000000003</v>
      </c>
      <c r="D495" s="42">
        <f t="shared" si="60"/>
        <v>1572.3916666666657</v>
      </c>
      <c r="E495" s="42">
        <f t="shared" si="61"/>
        <v>135.02000000000001</v>
      </c>
      <c r="F495" s="42">
        <f t="shared" si="62"/>
        <v>67.510000000000005</v>
      </c>
      <c r="G495" s="42">
        <f t="shared" si="63"/>
        <v>33.755000000000003</v>
      </c>
      <c r="H495" s="42">
        <v>20</v>
      </c>
      <c r="I495" s="42">
        <f t="shared" si="64"/>
        <v>10</v>
      </c>
      <c r="J495" s="42">
        <f t="shared" si="65"/>
        <v>5</v>
      </c>
      <c r="K495" s="15">
        <v>15857761</v>
      </c>
    </row>
    <row r="496" spans="1:11">
      <c r="A496" s="42">
        <v>495</v>
      </c>
      <c r="B496" s="15">
        <v>676600</v>
      </c>
      <c r="C496" s="42">
        <f t="shared" si="59"/>
        <v>6.766</v>
      </c>
      <c r="D496" s="42">
        <f t="shared" si="60"/>
        <v>1579.1576666666658</v>
      </c>
      <c r="E496" s="42">
        <f t="shared" si="61"/>
        <v>135.32</v>
      </c>
      <c r="F496" s="42">
        <f t="shared" si="62"/>
        <v>67.66</v>
      </c>
      <c r="G496" s="42">
        <f t="shared" si="63"/>
        <v>33.83</v>
      </c>
      <c r="H496" s="42">
        <v>20</v>
      </c>
      <c r="I496" s="42">
        <f t="shared" si="64"/>
        <v>10</v>
      </c>
      <c r="J496" s="42">
        <f t="shared" si="65"/>
        <v>5</v>
      </c>
      <c r="K496" s="15">
        <v>15921380</v>
      </c>
    </row>
    <row r="497" spans="1:11">
      <c r="A497" s="42">
        <v>496</v>
      </c>
      <c r="B497" s="15">
        <v>678200</v>
      </c>
      <c r="C497" s="42">
        <f t="shared" si="59"/>
        <v>6.7819999999999991</v>
      </c>
      <c r="D497" s="42">
        <f t="shared" si="60"/>
        <v>1585.9396666666657</v>
      </c>
      <c r="E497" s="42">
        <f t="shared" si="61"/>
        <v>135.63999999999999</v>
      </c>
      <c r="F497" s="42">
        <f t="shared" si="62"/>
        <v>67.819999999999993</v>
      </c>
      <c r="G497" s="42">
        <f t="shared" si="63"/>
        <v>33.909999999999997</v>
      </c>
      <c r="H497" s="42">
        <v>20</v>
      </c>
      <c r="I497" s="42">
        <f t="shared" si="64"/>
        <v>10</v>
      </c>
      <c r="J497" s="42">
        <f t="shared" si="65"/>
        <v>5</v>
      </c>
      <c r="K497" s="15">
        <v>15985132</v>
      </c>
    </row>
    <row r="498" spans="1:11">
      <c r="A498" s="42">
        <v>497</v>
      </c>
      <c r="B498" s="15">
        <v>679700</v>
      </c>
      <c r="C498" s="42">
        <f t="shared" si="59"/>
        <v>6.7969999999999997</v>
      </c>
      <c r="D498" s="42">
        <f t="shared" si="60"/>
        <v>1592.7366666666658</v>
      </c>
      <c r="E498" s="42">
        <f t="shared" si="61"/>
        <v>135.94</v>
      </c>
      <c r="F498" s="42">
        <f t="shared" si="62"/>
        <v>67.97</v>
      </c>
      <c r="G498" s="42">
        <f t="shared" si="63"/>
        <v>33.984999999999999</v>
      </c>
      <c r="H498" s="42">
        <v>20</v>
      </c>
      <c r="I498" s="42">
        <f t="shared" si="64"/>
        <v>10</v>
      </c>
      <c r="J498" s="42">
        <f t="shared" si="65"/>
        <v>5</v>
      </c>
      <c r="K498" s="15">
        <v>16049016</v>
      </c>
    </row>
    <row r="499" spans="1:11">
      <c r="A499" s="42">
        <v>498</v>
      </c>
      <c r="B499" s="15">
        <v>681200</v>
      </c>
      <c r="C499" s="42">
        <f t="shared" si="59"/>
        <v>6.8120000000000003</v>
      </c>
      <c r="D499" s="42">
        <f t="shared" si="60"/>
        <v>1599.5486666666657</v>
      </c>
      <c r="E499" s="42">
        <f t="shared" si="61"/>
        <v>136.24</v>
      </c>
      <c r="F499" s="42">
        <f t="shared" si="62"/>
        <v>68.12</v>
      </c>
      <c r="G499" s="42">
        <f t="shared" si="63"/>
        <v>34.06</v>
      </c>
      <c r="H499" s="42">
        <v>20</v>
      </c>
      <c r="I499" s="42">
        <f t="shared" si="64"/>
        <v>10</v>
      </c>
      <c r="J499" s="42">
        <f t="shared" si="65"/>
        <v>5</v>
      </c>
      <c r="K499" s="15">
        <v>16113032</v>
      </c>
    </row>
    <row r="500" spans="1:11">
      <c r="A500" s="42">
        <v>499</v>
      </c>
      <c r="B500" s="15">
        <v>682700</v>
      </c>
      <c r="C500" s="42">
        <f t="shared" si="59"/>
        <v>6.827</v>
      </c>
      <c r="D500" s="42">
        <f t="shared" si="60"/>
        <v>1606.3756666666657</v>
      </c>
      <c r="E500" s="42">
        <f t="shared" si="61"/>
        <v>136.54</v>
      </c>
      <c r="F500" s="42">
        <f t="shared" si="62"/>
        <v>68.27</v>
      </c>
      <c r="G500" s="42">
        <f t="shared" si="63"/>
        <v>34.134999999999998</v>
      </c>
      <c r="H500" s="42">
        <v>20</v>
      </c>
      <c r="I500" s="42">
        <f t="shared" si="64"/>
        <v>10</v>
      </c>
      <c r="J500" s="42">
        <f t="shared" si="65"/>
        <v>5</v>
      </c>
      <c r="K500" s="15">
        <v>16177180</v>
      </c>
    </row>
    <row r="501" spans="1:11">
      <c r="A501" s="42">
        <v>500</v>
      </c>
      <c r="B501" s="15">
        <v>684200</v>
      </c>
      <c r="C501" s="42">
        <f t="shared" si="59"/>
        <v>6.8420000000000005</v>
      </c>
      <c r="D501" s="42">
        <f t="shared" si="60"/>
        <v>1613.2176666666658</v>
      </c>
      <c r="E501" s="42">
        <f t="shared" si="61"/>
        <v>136.84</v>
      </c>
      <c r="F501" s="42">
        <f t="shared" si="62"/>
        <v>68.42</v>
      </c>
      <c r="G501" s="42">
        <f t="shared" si="63"/>
        <v>34.21</v>
      </c>
      <c r="H501" s="42">
        <v>20</v>
      </c>
      <c r="I501" s="42">
        <f t="shared" si="64"/>
        <v>10</v>
      </c>
      <c r="J501" s="42">
        <f t="shared" si="65"/>
        <v>5</v>
      </c>
      <c r="K501" s="15">
        <v>16241461</v>
      </c>
    </row>
    <row r="502" spans="1:11">
      <c r="A502" s="42">
        <v>501</v>
      </c>
      <c r="B502" s="15">
        <v>685800</v>
      </c>
      <c r="K502" s="15">
        <v>16305874</v>
      </c>
    </row>
    <row r="503" spans="1:11">
      <c r="A503" s="42">
        <v>502</v>
      </c>
      <c r="B503" s="15">
        <v>687300</v>
      </c>
      <c r="K503" s="15">
        <v>16370419</v>
      </c>
    </row>
    <row r="504" spans="1:11">
      <c r="A504" s="42">
        <v>503</v>
      </c>
      <c r="B504" s="15">
        <v>688800</v>
      </c>
      <c r="K504" s="15">
        <v>16435097</v>
      </c>
    </row>
    <row r="505" spans="1:11">
      <c r="A505" s="42">
        <v>504</v>
      </c>
      <c r="B505" s="15">
        <v>690300</v>
      </c>
      <c r="K505" s="15">
        <v>16499907</v>
      </c>
    </row>
    <row r="506" spans="1:11">
      <c r="A506" s="42">
        <v>505</v>
      </c>
      <c r="B506" s="15">
        <v>691900</v>
      </c>
      <c r="K506" s="15">
        <v>16564849</v>
      </c>
    </row>
    <row r="507" spans="1:11">
      <c r="A507" s="42">
        <v>506</v>
      </c>
      <c r="B507" s="15">
        <v>693400</v>
      </c>
      <c r="K507" s="15">
        <v>16629924</v>
      </c>
    </row>
    <row r="508" spans="1:11">
      <c r="A508" s="42">
        <v>507</v>
      </c>
      <c r="B508" s="15">
        <v>694900</v>
      </c>
      <c r="K508" s="15">
        <v>16695131</v>
      </c>
    </row>
    <row r="509" spans="1:11">
      <c r="A509" s="42">
        <v>508</v>
      </c>
      <c r="B509" s="15">
        <v>696500</v>
      </c>
      <c r="K509" s="15">
        <v>16760471</v>
      </c>
    </row>
    <row r="510" spans="1:11">
      <c r="A510" s="42">
        <v>509</v>
      </c>
      <c r="B510" s="15">
        <v>698000</v>
      </c>
      <c r="K510" s="15">
        <v>16825943</v>
      </c>
    </row>
    <row r="511" spans="1:11">
      <c r="A511" s="42">
        <v>510</v>
      </c>
      <c r="B511" s="15">
        <v>699500</v>
      </c>
      <c r="K511" s="15">
        <v>16891548</v>
      </c>
    </row>
    <row r="512" spans="1:11">
      <c r="A512" s="42">
        <v>511</v>
      </c>
      <c r="B512" s="15">
        <v>701000</v>
      </c>
      <c r="K512" s="15">
        <v>16957285</v>
      </c>
    </row>
    <row r="513" spans="1:11">
      <c r="A513" s="42">
        <v>512</v>
      </c>
      <c r="B513" s="15">
        <v>702600</v>
      </c>
      <c r="K513" s="15">
        <v>17023155</v>
      </c>
    </row>
    <row r="514" spans="1:11">
      <c r="A514" s="42">
        <v>513</v>
      </c>
      <c r="B514" s="15">
        <v>704100</v>
      </c>
      <c r="K514" s="15">
        <v>17089157</v>
      </c>
    </row>
    <row r="515" spans="1:11">
      <c r="A515" s="42">
        <v>514</v>
      </c>
      <c r="B515" s="15">
        <v>705600</v>
      </c>
      <c r="K515" s="15">
        <v>17155292</v>
      </c>
    </row>
    <row r="516" spans="1:11">
      <c r="A516" s="42">
        <v>515</v>
      </c>
      <c r="B516" s="15">
        <v>707200</v>
      </c>
      <c r="K516" s="15">
        <v>17221559</v>
      </c>
    </row>
    <row r="517" spans="1:11">
      <c r="A517" s="42">
        <v>516</v>
      </c>
      <c r="B517" s="15">
        <v>708700</v>
      </c>
      <c r="K517" s="15">
        <v>17287959</v>
      </c>
    </row>
    <row r="518" spans="1:11">
      <c r="A518" s="42">
        <v>517</v>
      </c>
      <c r="B518" s="15">
        <v>710200</v>
      </c>
      <c r="K518" s="15">
        <v>17354491</v>
      </c>
    </row>
    <row r="519" spans="1:11">
      <c r="A519" s="42">
        <v>518</v>
      </c>
      <c r="B519" s="15">
        <v>711700</v>
      </c>
      <c r="K519" s="15">
        <v>17421157</v>
      </c>
    </row>
    <row r="520" spans="1:11">
      <c r="A520" s="42">
        <v>519</v>
      </c>
      <c r="B520" s="15">
        <v>713300</v>
      </c>
      <c r="K520" s="15">
        <v>17487954</v>
      </c>
    </row>
    <row r="521" spans="1:11">
      <c r="A521" s="42">
        <v>520</v>
      </c>
      <c r="B521" s="15">
        <v>714800</v>
      </c>
      <c r="K521" s="15">
        <v>17554885</v>
      </c>
    </row>
    <row r="522" spans="1:11">
      <c r="A522" s="42">
        <v>521</v>
      </c>
      <c r="B522" s="15">
        <v>716300</v>
      </c>
      <c r="K522" s="15">
        <v>17621948</v>
      </c>
    </row>
    <row r="523" spans="1:11">
      <c r="A523" s="42">
        <v>522</v>
      </c>
      <c r="B523" s="15">
        <v>717900</v>
      </c>
      <c r="K523" s="15">
        <v>17689144</v>
      </c>
    </row>
    <row r="524" spans="1:11">
      <c r="A524" s="42">
        <v>523</v>
      </c>
      <c r="B524" s="15">
        <v>719400</v>
      </c>
      <c r="K524" s="15">
        <v>17756473</v>
      </c>
    </row>
    <row r="525" spans="1:11">
      <c r="A525" s="42">
        <v>524</v>
      </c>
      <c r="B525" s="15">
        <v>720900</v>
      </c>
      <c r="K525" s="15">
        <v>17823934</v>
      </c>
    </row>
    <row r="526" spans="1:11">
      <c r="A526" s="42">
        <v>525</v>
      </c>
      <c r="B526" s="15">
        <v>722500</v>
      </c>
      <c r="K526" s="15">
        <v>17891529</v>
      </c>
    </row>
    <row r="527" spans="1:11">
      <c r="A527" s="42">
        <v>526</v>
      </c>
      <c r="B527" s="15">
        <v>724000</v>
      </c>
      <c r="K527" s="15">
        <v>17959256</v>
      </c>
    </row>
    <row r="528" spans="1:11">
      <c r="A528" s="42">
        <v>527</v>
      </c>
      <c r="B528" s="15">
        <v>725500</v>
      </c>
      <c r="K528" s="15">
        <v>18027115</v>
      </c>
    </row>
    <row r="529" spans="1:11">
      <c r="A529" s="42">
        <v>528</v>
      </c>
      <c r="B529" s="15">
        <v>727100</v>
      </c>
      <c r="K529" s="15">
        <v>18095108</v>
      </c>
    </row>
    <row r="530" spans="1:11">
      <c r="A530" s="42">
        <v>529</v>
      </c>
      <c r="B530" s="15">
        <v>728600</v>
      </c>
      <c r="K530" s="15">
        <v>18163233</v>
      </c>
    </row>
    <row r="531" spans="1:11">
      <c r="A531" s="42">
        <v>530</v>
      </c>
      <c r="B531" s="15">
        <v>730100</v>
      </c>
      <c r="K531" s="15">
        <v>18231492</v>
      </c>
    </row>
    <row r="532" spans="1:11">
      <c r="A532" s="42">
        <v>531</v>
      </c>
      <c r="B532" s="15">
        <v>731700</v>
      </c>
      <c r="K532" s="15">
        <v>18299883</v>
      </c>
    </row>
    <row r="533" spans="1:11">
      <c r="A533" s="42">
        <v>532</v>
      </c>
      <c r="B533" s="15">
        <v>733200</v>
      </c>
      <c r="K533" s="15">
        <v>18368407</v>
      </c>
    </row>
    <row r="534" spans="1:11">
      <c r="A534" s="42">
        <v>533</v>
      </c>
      <c r="B534" s="15">
        <v>734800</v>
      </c>
      <c r="K534" s="15">
        <v>18437064</v>
      </c>
    </row>
    <row r="535" spans="1:11">
      <c r="A535" s="42">
        <v>534</v>
      </c>
      <c r="B535" s="15">
        <v>736300</v>
      </c>
      <c r="K535" s="15">
        <v>18505854</v>
      </c>
    </row>
    <row r="536" spans="1:11">
      <c r="A536" s="42">
        <v>535</v>
      </c>
      <c r="B536" s="15">
        <v>737800</v>
      </c>
      <c r="K536" s="15">
        <v>18574777</v>
      </c>
    </row>
    <row r="537" spans="1:11">
      <c r="A537" s="42">
        <v>536</v>
      </c>
      <c r="B537" s="15">
        <v>739400</v>
      </c>
      <c r="K537" s="15">
        <v>18643833</v>
      </c>
    </row>
    <row r="538" spans="1:11">
      <c r="A538" s="42">
        <v>537</v>
      </c>
      <c r="B538" s="15">
        <v>740900</v>
      </c>
      <c r="K538" s="15">
        <v>18713022</v>
      </c>
    </row>
    <row r="539" spans="1:11">
      <c r="A539" s="42">
        <v>538</v>
      </c>
      <c r="B539" s="15">
        <v>742400</v>
      </c>
      <c r="K539" s="15">
        <v>18782344</v>
      </c>
    </row>
    <row r="540" spans="1:11">
      <c r="A540" s="42">
        <v>539</v>
      </c>
      <c r="B540" s="15">
        <v>744000</v>
      </c>
      <c r="K540" s="15">
        <v>18851799</v>
      </c>
    </row>
    <row r="541" spans="1:11">
      <c r="A541" s="42">
        <v>540</v>
      </c>
      <c r="B541" s="15">
        <v>745500</v>
      </c>
      <c r="K541" s="15">
        <v>18921387</v>
      </c>
    </row>
    <row r="542" spans="1:11">
      <c r="A542" s="42">
        <v>541</v>
      </c>
      <c r="B542" s="15">
        <v>747100</v>
      </c>
      <c r="K542" s="15">
        <v>18991108</v>
      </c>
    </row>
    <row r="543" spans="1:11">
      <c r="A543" s="42">
        <v>542</v>
      </c>
      <c r="B543" s="15">
        <v>748600</v>
      </c>
      <c r="K543" s="15">
        <v>19060962</v>
      </c>
    </row>
    <row r="544" spans="1:11">
      <c r="A544" s="42">
        <v>543</v>
      </c>
      <c r="B544" s="15">
        <v>750100</v>
      </c>
      <c r="K544" s="15">
        <v>19130950</v>
      </c>
    </row>
    <row r="545" spans="1:11">
      <c r="A545" s="42">
        <v>544</v>
      </c>
      <c r="B545" s="15">
        <v>751700</v>
      </c>
      <c r="K545" s="15">
        <v>19201070</v>
      </c>
    </row>
    <row r="546" spans="1:11">
      <c r="A546" s="42">
        <v>545</v>
      </c>
      <c r="B546" s="15">
        <v>753200</v>
      </c>
      <c r="K546" s="15">
        <v>19271323</v>
      </c>
    </row>
    <row r="547" spans="1:11">
      <c r="A547" s="42">
        <v>546</v>
      </c>
      <c r="B547" s="15">
        <v>754800</v>
      </c>
      <c r="K547" s="15">
        <v>19341710</v>
      </c>
    </row>
    <row r="548" spans="1:11">
      <c r="A548" s="42">
        <v>547</v>
      </c>
      <c r="B548" s="15">
        <v>756300</v>
      </c>
      <c r="K548" s="15">
        <v>19412230</v>
      </c>
    </row>
    <row r="549" spans="1:11">
      <c r="A549" s="42">
        <v>548</v>
      </c>
      <c r="B549" s="15">
        <v>757800</v>
      </c>
      <c r="K549" s="15">
        <v>19482883</v>
      </c>
    </row>
    <row r="550" spans="1:11">
      <c r="A550" s="42">
        <v>549</v>
      </c>
      <c r="B550" s="15">
        <v>759400</v>
      </c>
      <c r="K550" s="15">
        <v>19553669</v>
      </c>
    </row>
    <row r="551" spans="1:11">
      <c r="A551" s="42">
        <v>550</v>
      </c>
      <c r="B551" s="15">
        <v>760900</v>
      </c>
      <c r="K551" s="15">
        <v>19624589</v>
      </c>
    </row>
    <row r="552" spans="1:11">
      <c r="A552" s="42">
        <v>551</v>
      </c>
      <c r="B552" s="15">
        <v>762500</v>
      </c>
      <c r="K552" s="15">
        <v>19695642</v>
      </c>
    </row>
    <row r="553" spans="1:11">
      <c r="A553" s="42">
        <v>552</v>
      </c>
      <c r="B553" s="15">
        <v>764000</v>
      </c>
      <c r="K553" s="15">
        <v>19766828</v>
      </c>
    </row>
    <row r="554" spans="1:11">
      <c r="A554" s="42">
        <v>553</v>
      </c>
      <c r="B554" s="15">
        <v>765600</v>
      </c>
      <c r="K554" s="15">
        <v>19838147</v>
      </c>
    </row>
    <row r="555" spans="1:11">
      <c r="A555" s="42">
        <v>554</v>
      </c>
      <c r="B555" s="15">
        <v>767100</v>
      </c>
      <c r="K555" s="15">
        <v>19909600</v>
      </c>
    </row>
    <row r="556" spans="1:11">
      <c r="A556" s="42">
        <v>555</v>
      </c>
      <c r="B556" s="15">
        <v>768700</v>
      </c>
      <c r="K556" s="15">
        <v>19981186</v>
      </c>
    </row>
    <row r="557" spans="1:11">
      <c r="A557" s="42">
        <v>556</v>
      </c>
      <c r="B557" s="15">
        <v>770200</v>
      </c>
      <c r="K557" s="15">
        <v>20052905</v>
      </c>
    </row>
    <row r="558" spans="1:11">
      <c r="A558" s="42">
        <v>557</v>
      </c>
      <c r="B558" s="15">
        <v>771700</v>
      </c>
      <c r="K558" s="15">
        <v>20124758</v>
      </c>
    </row>
    <row r="559" spans="1:11">
      <c r="A559" s="42">
        <v>558</v>
      </c>
      <c r="B559" s="15">
        <v>773300</v>
      </c>
      <c r="K559" s="15">
        <v>20196744</v>
      </c>
    </row>
    <row r="560" spans="1:11">
      <c r="A560" s="42">
        <v>559</v>
      </c>
      <c r="B560" s="15">
        <v>774800</v>
      </c>
      <c r="K560" s="15">
        <v>20268863</v>
      </c>
    </row>
    <row r="561" spans="1:11">
      <c r="A561" s="42">
        <v>560</v>
      </c>
      <c r="B561" s="15">
        <v>776400</v>
      </c>
      <c r="K561" s="15">
        <v>20341116</v>
      </c>
    </row>
    <row r="562" spans="1:11">
      <c r="A562" s="42">
        <v>561</v>
      </c>
      <c r="B562" s="15">
        <v>777900</v>
      </c>
      <c r="K562" s="15">
        <v>20413502</v>
      </c>
    </row>
    <row r="563" spans="1:11">
      <c r="A563" s="42">
        <v>562</v>
      </c>
      <c r="B563" s="15">
        <v>779500</v>
      </c>
      <c r="K563" s="15">
        <v>20486022</v>
      </c>
    </row>
    <row r="564" spans="1:11">
      <c r="A564" s="42">
        <v>563</v>
      </c>
      <c r="B564" s="15">
        <v>781000</v>
      </c>
      <c r="K564" s="15">
        <v>20558675</v>
      </c>
    </row>
    <row r="565" spans="1:11">
      <c r="A565" s="42">
        <v>564</v>
      </c>
      <c r="B565" s="15">
        <v>782600</v>
      </c>
      <c r="K565" s="15">
        <v>20631462</v>
      </c>
    </row>
    <row r="566" spans="1:11">
      <c r="A566" s="42">
        <v>565</v>
      </c>
      <c r="B566" s="15">
        <v>784100</v>
      </c>
      <c r="K566" s="15">
        <v>20704382</v>
      </c>
    </row>
    <row r="567" spans="1:11">
      <c r="A567" s="42">
        <v>566</v>
      </c>
      <c r="B567" s="15">
        <v>785700</v>
      </c>
      <c r="K567" s="15">
        <v>20777436</v>
      </c>
    </row>
    <row r="568" spans="1:11">
      <c r="A568" s="42">
        <v>567</v>
      </c>
      <c r="B568" s="15">
        <v>787200</v>
      </c>
      <c r="K568" s="15">
        <v>20850623</v>
      </c>
    </row>
    <row r="569" spans="1:11">
      <c r="A569" s="42">
        <v>568</v>
      </c>
      <c r="B569" s="15">
        <v>788800</v>
      </c>
      <c r="K569" s="15">
        <v>20923944</v>
      </c>
    </row>
    <row r="570" spans="1:11">
      <c r="A570" s="42">
        <v>569</v>
      </c>
      <c r="B570" s="15">
        <v>790300</v>
      </c>
      <c r="K570" s="15">
        <v>20997398</v>
      </c>
    </row>
    <row r="571" spans="1:11">
      <c r="A571" s="42">
        <v>570</v>
      </c>
      <c r="B571" s="15">
        <v>791900</v>
      </c>
      <c r="K571" s="15">
        <v>21070986</v>
      </c>
    </row>
    <row r="572" spans="1:11">
      <c r="A572" s="42">
        <v>571</v>
      </c>
      <c r="B572" s="15">
        <v>793400</v>
      </c>
      <c r="K572" s="15">
        <v>21144708</v>
      </c>
    </row>
    <row r="573" spans="1:11">
      <c r="A573" s="42">
        <v>572</v>
      </c>
      <c r="B573" s="15">
        <v>795000</v>
      </c>
      <c r="K573" s="15">
        <v>21218563</v>
      </c>
    </row>
    <row r="574" spans="1:11">
      <c r="A574" s="42">
        <v>573</v>
      </c>
      <c r="B574" s="15">
        <v>796500</v>
      </c>
      <c r="K574" s="15">
        <v>21292552</v>
      </c>
    </row>
    <row r="575" spans="1:11">
      <c r="A575" s="42">
        <v>574</v>
      </c>
      <c r="B575" s="15">
        <v>798100</v>
      </c>
      <c r="K575" s="15">
        <v>21366674</v>
      </c>
    </row>
    <row r="576" spans="1:11">
      <c r="A576" s="42">
        <v>575</v>
      </c>
      <c r="B576" s="15">
        <v>799600</v>
      </c>
      <c r="K576" s="15">
        <v>21440930</v>
      </c>
    </row>
    <row r="577" spans="1:11">
      <c r="A577" s="42">
        <v>576</v>
      </c>
      <c r="B577" s="15">
        <v>801200</v>
      </c>
      <c r="K577" s="15">
        <v>21515320</v>
      </c>
    </row>
    <row r="578" spans="1:11">
      <c r="A578" s="42">
        <v>577</v>
      </c>
      <c r="B578" s="15">
        <v>802700</v>
      </c>
      <c r="K578" s="15">
        <v>21589844</v>
      </c>
    </row>
    <row r="579" spans="1:11">
      <c r="A579" s="42">
        <v>578</v>
      </c>
      <c r="B579" s="15">
        <v>804300</v>
      </c>
      <c r="K579" s="15">
        <v>21664501</v>
      </c>
    </row>
    <row r="580" spans="1:11">
      <c r="A580" s="42">
        <v>579</v>
      </c>
      <c r="B580" s="15">
        <v>805800</v>
      </c>
      <c r="K580" s="15">
        <v>21739292</v>
      </c>
    </row>
    <row r="581" spans="1:11">
      <c r="A581" s="42">
        <v>580</v>
      </c>
      <c r="B581" s="15">
        <v>807400</v>
      </c>
      <c r="K581" s="15">
        <v>21814217</v>
      </c>
    </row>
    <row r="582" spans="1:11">
      <c r="A582" s="42">
        <v>581</v>
      </c>
      <c r="B582" s="15">
        <v>808900</v>
      </c>
      <c r="K582" s="15">
        <v>21889276</v>
      </c>
    </row>
    <row r="583" spans="1:11">
      <c r="A583" s="42">
        <v>582</v>
      </c>
      <c r="B583" s="15">
        <v>810500</v>
      </c>
      <c r="K583" s="15">
        <v>21964468</v>
      </c>
    </row>
    <row r="584" spans="1:11">
      <c r="A584" s="42">
        <v>583</v>
      </c>
      <c r="B584" s="15">
        <v>812000</v>
      </c>
      <c r="K584" s="15">
        <v>22039794</v>
      </c>
    </row>
    <row r="585" spans="1:11">
      <c r="A585" s="42">
        <v>584</v>
      </c>
      <c r="B585" s="15">
        <v>813600</v>
      </c>
      <c r="K585" s="15">
        <v>22115254</v>
      </c>
    </row>
    <row r="586" spans="1:11">
      <c r="A586" s="42">
        <v>585</v>
      </c>
      <c r="B586" s="15">
        <v>815200</v>
      </c>
      <c r="K586" s="15">
        <v>22190848</v>
      </c>
    </row>
    <row r="587" spans="1:11">
      <c r="A587" s="42">
        <v>586</v>
      </c>
      <c r="B587" s="15">
        <v>816700</v>
      </c>
      <c r="K587" s="15">
        <v>22266576</v>
      </c>
    </row>
    <row r="588" spans="1:11">
      <c r="A588" s="42">
        <v>587</v>
      </c>
      <c r="B588" s="15">
        <v>818300</v>
      </c>
      <c r="K588" s="15">
        <v>22342437</v>
      </c>
    </row>
    <row r="589" spans="1:11">
      <c r="A589" s="42">
        <v>588</v>
      </c>
      <c r="B589" s="15">
        <v>819800</v>
      </c>
      <c r="K589" s="15">
        <v>22418433</v>
      </c>
    </row>
    <row r="590" spans="1:11">
      <c r="A590" s="42">
        <v>589</v>
      </c>
      <c r="B590" s="15">
        <v>821400</v>
      </c>
      <c r="K590" s="15">
        <v>22494562</v>
      </c>
    </row>
    <row r="591" spans="1:11">
      <c r="A591" s="42">
        <v>590</v>
      </c>
      <c r="B591" s="15">
        <v>822900</v>
      </c>
      <c r="K591" s="15">
        <v>22570826</v>
      </c>
    </row>
    <row r="592" spans="1:11">
      <c r="A592" s="42">
        <v>591</v>
      </c>
      <c r="B592" s="15">
        <v>824500</v>
      </c>
      <c r="K592" s="15">
        <v>22647223</v>
      </c>
    </row>
    <row r="593" spans="1:11">
      <c r="A593" s="42">
        <v>592</v>
      </c>
      <c r="B593" s="15">
        <v>826100</v>
      </c>
      <c r="K593" s="15">
        <v>22723754</v>
      </c>
    </row>
    <row r="594" spans="1:11">
      <c r="A594" s="42">
        <v>593</v>
      </c>
      <c r="B594" s="15">
        <v>827600</v>
      </c>
      <c r="K594" s="15">
        <v>22800420</v>
      </c>
    </row>
    <row r="595" spans="1:11">
      <c r="A595" s="42">
        <v>594</v>
      </c>
      <c r="B595" s="15">
        <v>829200</v>
      </c>
      <c r="K595" s="15">
        <v>22877219</v>
      </c>
    </row>
    <row r="596" spans="1:11">
      <c r="A596" s="42">
        <v>595</v>
      </c>
      <c r="B596" s="15">
        <v>830700</v>
      </c>
      <c r="K596" s="15">
        <v>22954152</v>
      </c>
    </row>
    <row r="597" spans="1:11">
      <c r="A597" s="42">
        <v>596</v>
      </c>
      <c r="B597" s="15">
        <v>832300</v>
      </c>
      <c r="K597" s="15">
        <v>23031220</v>
      </c>
    </row>
    <row r="598" spans="1:11">
      <c r="A598" s="42">
        <v>597</v>
      </c>
      <c r="B598" s="15">
        <v>833800</v>
      </c>
      <c r="K598" s="15">
        <v>23108421</v>
      </c>
    </row>
    <row r="599" spans="1:11">
      <c r="A599" s="42">
        <v>598</v>
      </c>
      <c r="B599" s="15">
        <v>835400</v>
      </c>
      <c r="K599" s="15">
        <v>23185756</v>
      </c>
    </row>
    <row r="600" spans="1:11">
      <c r="A600" s="42">
        <v>599</v>
      </c>
      <c r="B600" s="15">
        <v>837000</v>
      </c>
      <c r="K600" s="15">
        <v>23263226</v>
      </c>
    </row>
    <row r="601" spans="1:11">
      <c r="A601" s="42">
        <v>600</v>
      </c>
      <c r="B601" s="15">
        <v>838500</v>
      </c>
      <c r="K601" s="15">
        <v>23340830</v>
      </c>
    </row>
    <row r="602" spans="1:11">
      <c r="A602" s="42">
        <v>601</v>
      </c>
      <c r="B602" s="15">
        <v>840100</v>
      </c>
      <c r="K602" s="15">
        <v>23418567</v>
      </c>
    </row>
    <row r="603" spans="1:11">
      <c r="A603" s="42">
        <v>602</v>
      </c>
      <c r="B603" s="15">
        <v>841700</v>
      </c>
      <c r="K603" s="15">
        <v>23496439</v>
      </c>
    </row>
    <row r="604" spans="1:11">
      <c r="A604" s="42">
        <v>603</v>
      </c>
      <c r="B604" s="15">
        <v>843200</v>
      </c>
      <c r="K604" s="15">
        <v>23574445</v>
      </c>
    </row>
    <row r="605" spans="1:11">
      <c r="A605" s="42">
        <v>604</v>
      </c>
      <c r="B605" s="15">
        <v>844800</v>
      </c>
      <c r="K605" s="15">
        <v>23652586</v>
      </c>
    </row>
    <row r="606" spans="1:11">
      <c r="A606" s="42">
        <v>605</v>
      </c>
      <c r="B606" s="15">
        <v>846300</v>
      </c>
      <c r="K606" s="15">
        <v>23730860</v>
      </c>
    </row>
    <row r="607" spans="1:11">
      <c r="A607" s="42">
        <v>606</v>
      </c>
      <c r="B607" s="15">
        <v>847900</v>
      </c>
      <c r="K607" s="15">
        <v>23809269</v>
      </c>
    </row>
    <row r="608" spans="1:11">
      <c r="A608" s="42">
        <v>607</v>
      </c>
      <c r="B608" s="15">
        <v>849500</v>
      </c>
      <c r="K608" s="15">
        <v>23887811</v>
      </c>
    </row>
    <row r="609" spans="1:11">
      <c r="A609" s="42">
        <v>608</v>
      </c>
      <c r="B609" s="15">
        <v>851000</v>
      </c>
      <c r="K609" s="15">
        <v>23966489</v>
      </c>
    </row>
    <row r="610" spans="1:11">
      <c r="A610" s="42">
        <v>609</v>
      </c>
      <c r="B610" s="15">
        <v>852600</v>
      </c>
      <c r="K610" s="15">
        <v>24045300</v>
      </c>
    </row>
    <row r="611" spans="1:11">
      <c r="A611" s="42">
        <v>610</v>
      </c>
      <c r="B611" s="15">
        <v>854200</v>
      </c>
      <c r="K611" s="15">
        <v>24124246</v>
      </c>
    </row>
    <row r="612" spans="1:11">
      <c r="A612" s="42">
        <v>611</v>
      </c>
      <c r="B612" s="15">
        <v>855700</v>
      </c>
      <c r="K612" s="15">
        <v>24203325</v>
      </c>
    </row>
    <row r="613" spans="1:11">
      <c r="A613" s="42">
        <v>612</v>
      </c>
      <c r="B613" s="15">
        <v>857300</v>
      </c>
      <c r="K613" s="15">
        <v>24282540</v>
      </c>
    </row>
    <row r="614" spans="1:11">
      <c r="A614" s="42">
        <v>613</v>
      </c>
      <c r="B614" s="15">
        <v>858800</v>
      </c>
      <c r="K614" s="15">
        <v>24361888</v>
      </c>
    </row>
    <row r="615" spans="1:11">
      <c r="A615" s="42">
        <v>614</v>
      </c>
      <c r="B615" s="15">
        <v>860400</v>
      </c>
      <c r="K615" s="15">
        <v>24441371</v>
      </c>
    </row>
    <row r="616" spans="1:11">
      <c r="A616" s="42">
        <v>615</v>
      </c>
      <c r="B616" s="15">
        <v>862000</v>
      </c>
      <c r="K616" s="15">
        <v>24520988</v>
      </c>
    </row>
    <row r="617" spans="1:11">
      <c r="A617" s="42">
        <v>616</v>
      </c>
      <c r="B617" s="15">
        <v>863500</v>
      </c>
      <c r="K617" s="15">
        <v>24600740</v>
      </c>
    </row>
    <row r="618" spans="1:11">
      <c r="A618" s="42">
        <v>617</v>
      </c>
      <c r="B618" s="15">
        <v>865100</v>
      </c>
      <c r="K618" s="15">
        <v>24680626</v>
      </c>
    </row>
    <row r="619" spans="1:11">
      <c r="A619" s="42">
        <v>618</v>
      </c>
      <c r="B619" s="15">
        <v>866700</v>
      </c>
      <c r="K619" s="15">
        <v>24760646</v>
      </c>
    </row>
    <row r="620" spans="1:11">
      <c r="A620" s="42">
        <v>619</v>
      </c>
      <c r="B620" s="15">
        <v>868200</v>
      </c>
      <c r="K620" s="15">
        <v>24840801</v>
      </c>
    </row>
    <row r="621" spans="1:11">
      <c r="A621" s="42">
        <v>620</v>
      </c>
      <c r="B621" s="15">
        <v>869800</v>
      </c>
      <c r="K621" s="15">
        <v>24921090</v>
      </c>
    </row>
    <row r="622" spans="1:11">
      <c r="A622" s="42">
        <v>621</v>
      </c>
      <c r="B622" s="15">
        <v>871400</v>
      </c>
      <c r="K622" s="15">
        <v>25001514</v>
      </c>
    </row>
    <row r="623" spans="1:11">
      <c r="A623" s="42">
        <v>622</v>
      </c>
      <c r="B623" s="15">
        <v>872900</v>
      </c>
      <c r="K623" s="15">
        <v>25082072</v>
      </c>
    </row>
    <row r="624" spans="1:11">
      <c r="A624" s="42">
        <v>623</v>
      </c>
      <c r="B624" s="15">
        <v>874500</v>
      </c>
      <c r="K624" s="15">
        <v>25162764</v>
      </c>
    </row>
    <row r="625" spans="1:11">
      <c r="A625" s="42">
        <v>624</v>
      </c>
      <c r="B625" s="15">
        <v>876100</v>
      </c>
      <c r="K625" s="15">
        <v>25243591</v>
      </c>
    </row>
    <row r="626" spans="1:11">
      <c r="A626" s="42">
        <v>625</v>
      </c>
      <c r="B626" s="15">
        <v>877600</v>
      </c>
      <c r="K626" s="15">
        <v>25324553</v>
      </c>
    </row>
    <row r="627" spans="1:11">
      <c r="A627" s="42">
        <v>626</v>
      </c>
      <c r="B627" s="15">
        <v>879200</v>
      </c>
      <c r="K627" s="15">
        <v>25405649</v>
      </c>
    </row>
    <row r="628" spans="1:11">
      <c r="A628" s="42">
        <v>627</v>
      </c>
      <c r="B628" s="15">
        <v>880800</v>
      </c>
      <c r="K628" s="15">
        <v>25486880</v>
      </c>
    </row>
    <row r="629" spans="1:11">
      <c r="A629" s="42">
        <v>628</v>
      </c>
      <c r="B629" s="15">
        <v>882400</v>
      </c>
      <c r="K629" s="15">
        <v>25568245</v>
      </c>
    </row>
    <row r="630" spans="1:11">
      <c r="A630" s="42">
        <v>629</v>
      </c>
      <c r="B630" s="15">
        <v>883900</v>
      </c>
      <c r="K630" s="15">
        <v>25649745</v>
      </c>
    </row>
    <row r="631" spans="1:11">
      <c r="A631" s="42">
        <v>630</v>
      </c>
      <c r="B631" s="15">
        <v>885500</v>
      </c>
      <c r="K631" s="15">
        <v>25731379</v>
      </c>
    </row>
    <row r="632" spans="1:11">
      <c r="A632" s="42">
        <v>631</v>
      </c>
      <c r="B632" s="15">
        <v>887100</v>
      </c>
      <c r="K632" s="15">
        <v>25813149</v>
      </c>
    </row>
    <row r="633" spans="1:11">
      <c r="A633" s="42">
        <v>632</v>
      </c>
      <c r="B633" s="15">
        <v>888600</v>
      </c>
      <c r="K633" s="15">
        <v>25895052</v>
      </c>
    </row>
    <row r="634" spans="1:11">
      <c r="A634" s="42">
        <v>633</v>
      </c>
      <c r="B634" s="15">
        <v>890200</v>
      </c>
      <c r="K634" s="15">
        <v>25977091</v>
      </c>
    </row>
    <row r="635" spans="1:11">
      <c r="A635" s="42">
        <v>634</v>
      </c>
      <c r="B635" s="15">
        <v>891800</v>
      </c>
      <c r="K635" s="15">
        <v>26059263</v>
      </c>
    </row>
    <row r="636" spans="1:11">
      <c r="A636" s="42">
        <v>635</v>
      </c>
      <c r="B636" s="15">
        <v>893400</v>
      </c>
      <c r="K636" s="15">
        <v>26141571</v>
      </c>
    </row>
    <row r="637" spans="1:11">
      <c r="A637" s="42">
        <v>636</v>
      </c>
      <c r="B637" s="15">
        <v>894900</v>
      </c>
      <c r="K637" s="15">
        <v>26224013</v>
      </c>
    </row>
    <row r="638" spans="1:11">
      <c r="A638" s="42">
        <v>637</v>
      </c>
      <c r="B638" s="15">
        <v>896500</v>
      </c>
      <c r="K638" s="15">
        <v>26306591</v>
      </c>
    </row>
    <row r="639" spans="1:11">
      <c r="A639" s="42">
        <v>638</v>
      </c>
      <c r="B639" s="15">
        <v>898100</v>
      </c>
      <c r="K639" s="15">
        <v>26389302</v>
      </c>
    </row>
    <row r="640" spans="1:11">
      <c r="A640" s="42">
        <v>639</v>
      </c>
      <c r="B640" s="15">
        <v>899600</v>
      </c>
      <c r="K640" s="15">
        <v>26472149</v>
      </c>
    </row>
    <row r="641" spans="1:11">
      <c r="A641" s="42">
        <v>640</v>
      </c>
      <c r="B641" s="15">
        <v>901200</v>
      </c>
      <c r="K641" s="15">
        <v>26555130</v>
      </c>
    </row>
    <row r="642" spans="1:11">
      <c r="A642" s="42">
        <v>641</v>
      </c>
      <c r="B642" s="15">
        <v>902800</v>
      </c>
      <c r="K642" s="15">
        <v>26638246</v>
      </c>
    </row>
    <row r="643" spans="1:11">
      <c r="A643" s="42">
        <v>642</v>
      </c>
      <c r="B643" s="15">
        <v>904400</v>
      </c>
      <c r="K643" s="15">
        <v>26721497</v>
      </c>
    </row>
    <row r="644" spans="1:11">
      <c r="A644" s="42">
        <v>643</v>
      </c>
      <c r="B644" s="15">
        <v>905900</v>
      </c>
      <c r="K644" s="15">
        <v>26804883</v>
      </c>
    </row>
    <row r="645" spans="1:11">
      <c r="A645" s="42">
        <v>644</v>
      </c>
      <c r="B645" s="15">
        <v>907500</v>
      </c>
      <c r="K645" s="15">
        <v>26888403</v>
      </c>
    </row>
    <row r="646" spans="1:11">
      <c r="A646" s="42">
        <v>645</v>
      </c>
      <c r="B646" s="15">
        <v>909100</v>
      </c>
      <c r="K646" s="15">
        <v>26972058</v>
      </c>
    </row>
    <row r="647" spans="1:11">
      <c r="A647" s="42">
        <v>646</v>
      </c>
      <c r="B647" s="15">
        <v>910700</v>
      </c>
      <c r="K647" s="15">
        <v>27055848</v>
      </c>
    </row>
    <row r="648" spans="1:11">
      <c r="A648" s="42">
        <v>647</v>
      </c>
      <c r="B648" s="15">
        <v>912200</v>
      </c>
      <c r="K648" s="15">
        <v>27139773</v>
      </c>
    </row>
    <row r="649" spans="1:11">
      <c r="A649" s="42">
        <v>648</v>
      </c>
      <c r="B649" s="15">
        <v>913800</v>
      </c>
      <c r="K649" s="15">
        <v>27223833</v>
      </c>
    </row>
    <row r="650" spans="1:11">
      <c r="A650" s="42">
        <v>649</v>
      </c>
      <c r="B650" s="15">
        <v>915400</v>
      </c>
      <c r="K650" s="15">
        <v>27308028</v>
      </c>
    </row>
    <row r="651" spans="1:11">
      <c r="A651" s="42">
        <v>650</v>
      </c>
      <c r="B651" s="15">
        <v>917000</v>
      </c>
      <c r="K651" s="15">
        <v>27392358</v>
      </c>
    </row>
    <row r="652" spans="1:11">
      <c r="A652" s="42">
        <v>651</v>
      </c>
      <c r="B652" s="15">
        <v>918600</v>
      </c>
      <c r="K652" s="15">
        <v>27476822</v>
      </c>
    </row>
    <row r="653" spans="1:11">
      <c r="A653" s="42">
        <v>652</v>
      </c>
      <c r="B653" s="15">
        <v>920100</v>
      </c>
      <c r="K653" s="15">
        <v>27561422</v>
      </c>
    </row>
    <row r="654" spans="1:11">
      <c r="A654" s="42">
        <v>653</v>
      </c>
      <c r="B654" s="15">
        <v>921700</v>
      </c>
      <c r="K654" s="15">
        <v>27646156</v>
      </c>
    </row>
    <row r="655" spans="1:11">
      <c r="A655" s="42">
        <v>654</v>
      </c>
      <c r="B655" s="15">
        <v>923300</v>
      </c>
      <c r="K655" s="15">
        <v>27731026</v>
      </c>
    </row>
    <row r="656" spans="1:11">
      <c r="A656" s="42">
        <v>655</v>
      </c>
      <c r="B656" s="15">
        <v>924900</v>
      </c>
      <c r="K656" s="15">
        <v>27816030</v>
      </c>
    </row>
    <row r="657" spans="1:11">
      <c r="A657" s="42">
        <v>656</v>
      </c>
      <c r="B657" s="15">
        <v>926400</v>
      </c>
      <c r="K657" s="15">
        <v>27901170</v>
      </c>
    </row>
    <row r="658" spans="1:11">
      <c r="A658" s="42">
        <v>657</v>
      </c>
      <c r="B658" s="15">
        <v>928000</v>
      </c>
      <c r="K658" s="15">
        <v>27986444</v>
      </c>
    </row>
    <row r="659" spans="1:11">
      <c r="A659" s="42">
        <v>658</v>
      </c>
      <c r="B659" s="15">
        <v>929600</v>
      </c>
      <c r="K659" s="15">
        <v>28071854</v>
      </c>
    </row>
    <row r="660" spans="1:11">
      <c r="A660" s="42">
        <v>659</v>
      </c>
      <c r="B660" s="15">
        <v>931200</v>
      </c>
      <c r="K660" s="15">
        <v>28157398</v>
      </c>
    </row>
    <row r="661" spans="1:11">
      <c r="A661" s="42">
        <v>660</v>
      </c>
      <c r="B661" s="15">
        <v>932800</v>
      </c>
      <c r="K661" s="15">
        <v>28243078</v>
      </c>
    </row>
    <row r="662" spans="1:11">
      <c r="A662" s="42">
        <v>661</v>
      </c>
      <c r="B662" s="15">
        <v>934300</v>
      </c>
      <c r="K662" s="15">
        <v>28328893</v>
      </c>
    </row>
    <row r="663" spans="1:11">
      <c r="A663" s="42">
        <v>662</v>
      </c>
      <c r="B663" s="15">
        <v>935900</v>
      </c>
      <c r="K663" s="15">
        <v>28414843</v>
      </c>
    </row>
    <row r="664" spans="1:11">
      <c r="A664" s="42">
        <v>663</v>
      </c>
      <c r="B664" s="15">
        <v>937500</v>
      </c>
      <c r="K664" s="15">
        <v>28500928</v>
      </c>
    </row>
    <row r="665" spans="1:11">
      <c r="A665" s="42">
        <v>664</v>
      </c>
      <c r="B665" s="15">
        <v>939100</v>
      </c>
      <c r="K665" s="15">
        <v>28587148</v>
      </c>
    </row>
    <row r="666" spans="1:11">
      <c r="A666" s="42">
        <v>665</v>
      </c>
      <c r="B666" s="15">
        <v>940700</v>
      </c>
      <c r="K666" s="15">
        <v>28673503</v>
      </c>
    </row>
    <row r="667" spans="1:11">
      <c r="A667" s="42">
        <v>666</v>
      </c>
      <c r="B667" s="15">
        <v>942300</v>
      </c>
      <c r="K667" s="15">
        <v>28759993</v>
      </c>
    </row>
    <row r="668" spans="1:11">
      <c r="A668" s="42">
        <v>667</v>
      </c>
      <c r="B668" s="15">
        <v>943800</v>
      </c>
      <c r="K668" s="15">
        <v>28846619</v>
      </c>
    </row>
    <row r="669" spans="1:11">
      <c r="A669" s="42">
        <v>668</v>
      </c>
      <c r="B669" s="15">
        <v>945400</v>
      </c>
      <c r="K669" s="15">
        <v>28933379</v>
      </c>
    </row>
    <row r="670" spans="1:11">
      <c r="A670" s="42">
        <v>669</v>
      </c>
      <c r="B670" s="15">
        <v>947000</v>
      </c>
      <c r="K670" s="15">
        <v>29020275</v>
      </c>
    </row>
    <row r="671" spans="1:11">
      <c r="A671" s="42">
        <v>670</v>
      </c>
      <c r="B671" s="15">
        <v>948600</v>
      </c>
      <c r="K671" s="15">
        <v>29107307</v>
      </c>
    </row>
    <row r="672" spans="1:11">
      <c r="A672" s="42">
        <v>671</v>
      </c>
      <c r="B672" s="15">
        <v>950200</v>
      </c>
      <c r="K672" s="15">
        <v>29194473</v>
      </c>
    </row>
    <row r="673" spans="1:11">
      <c r="A673" s="42">
        <v>672</v>
      </c>
      <c r="B673" s="15">
        <v>951800</v>
      </c>
      <c r="K673" s="15">
        <v>29281775</v>
      </c>
    </row>
    <row r="674" spans="1:11">
      <c r="A674" s="42">
        <v>673</v>
      </c>
      <c r="B674" s="15">
        <v>953300</v>
      </c>
      <c r="K674" s="15">
        <v>29369212</v>
      </c>
    </row>
    <row r="675" spans="1:11">
      <c r="A675" s="42">
        <v>674</v>
      </c>
      <c r="B675" s="15">
        <v>954900</v>
      </c>
      <c r="K675" s="15">
        <v>29456784</v>
      </c>
    </row>
    <row r="676" spans="1:11">
      <c r="A676" s="42">
        <v>675</v>
      </c>
      <c r="B676" s="15">
        <v>956500</v>
      </c>
      <c r="K676" s="15">
        <v>29544491</v>
      </c>
    </row>
    <row r="677" spans="1:11">
      <c r="A677" s="42">
        <v>676</v>
      </c>
      <c r="B677" s="15">
        <v>958100</v>
      </c>
      <c r="K677" s="15">
        <v>29632334</v>
      </c>
    </row>
    <row r="678" spans="1:11">
      <c r="A678" s="42">
        <v>677</v>
      </c>
      <c r="B678" s="15">
        <v>959700</v>
      </c>
      <c r="K678" s="15">
        <v>29720312</v>
      </c>
    </row>
    <row r="679" spans="1:11">
      <c r="A679" s="42">
        <v>678</v>
      </c>
      <c r="B679" s="15">
        <v>961300</v>
      </c>
      <c r="K679" s="15">
        <v>29808426</v>
      </c>
    </row>
    <row r="680" spans="1:11">
      <c r="A680" s="42">
        <v>679</v>
      </c>
      <c r="B680" s="15">
        <v>962800</v>
      </c>
      <c r="K680" s="15">
        <v>29896674</v>
      </c>
    </row>
    <row r="681" spans="1:11">
      <c r="A681" s="42">
        <v>680</v>
      </c>
      <c r="B681" s="15">
        <v>964400</v>
      </c>
      <c r="K681" s="15">
        <v>29985059</v>
      </c>
    </row>
    <row r="682" spans="1:11">
      <c r="A682" s="42">
        <v>681</v>
      </c>
      <c r="B682" s="15">
        <v>966000</v>
      </c>
      <c r="K682" s="15">
        <v>30073578</v>
      </c>
    </row>
    <row r="683" spans="1:11">
      <c r="A683" s="42">
        <v>682</v>
      </c>
      <c r="B683" s="15">
        <v>967600</v>
      </c>
      <c r="K683" s="15">
        <v>30162233</v>
      </c>
    </row>
    <row r="684" spans="1:11">
      <c r="A684" s="42">
        <v>683</v>
      </c>
      <c r="B684" s="15">
        <v>969200</v>
      </c>
      <c r="K684" s="15">
        <v>30251024</v>
      </c>
    </row>
    <row r="685" spans="1:11">
      <c r="A685" s="42">
        <v>684</v>
      </c>
      <c r="B685" s="15">
        <v>970800</v>
      </c>
      <c r="K685" s="15">
        <v>30339949</v>
      </c>
    </row>
    <row r="686" spans="1:11">
      <c r="A686" s="42">
        <v>685</v>
      </c>
      <c r="B686" s="15">
        <v>972400</v>
      </c>
      <c r="K686" s="15">
        <v>30429011</v>
      </c>
    </row>
    <row r="687" spans="1:11">
      <c r="A687" s="42">
        <v>686</v>
      </c>
      <c r="B687" s="15">
        <v>974000</v>
      </c>
      <c r="K687" s="15">
        <v>30518207</v>
      </c>
    </row>
    <row r="688" spans="1:11">
      <c r="A688" s="42">
        <v>687</v>
      </c>
      <c r="B688" s="15">
        <v>975500</v>
      </c>
      <c r="K688" s="15">
        <v>30607540</v>
      </c>
    </row>
    <row r="689" spans="1:11">
      <c r="A689" s="42">
        <v>688</v>
      </c>
      <c r="B689" s="15">
        <v>977100</v>
      </c>
      <c r="K689" s="15">
        <v>30697007</v>
      </c>
    </row>
    <row r="690" spans="1:11">
      <c r="A690" s="42">
        <v>689</v>
      </c>
      <c r="B690" s="15">
        <v>978700</v>
      </c>
      <c r="K690" s="15">
        <v>30786610</v>
      </c>
    </row>
    <row r="691" spans="1:11">
      <c r="A691" s="42">
        <v>690</v>
      </c>
      <c r="B691" s="15">
        <v>980300</v>
      </c>
      <c r="K691" s="15">
        <v>30876349</v>
      </c>
    </row>
    <row r="692" spans="1:11">
      <c r="A692" s="42">
        <v>691</v>
      </c>
      <c r="B692" s="15">
        <v>981900</v>
      </c>
      <c r="K692" s="15">
        <v>30966223</v>
      </c>
    </row>
    <row r="693" spans="1:11">
      <c r="A693" s="42">
        <v>692</v>
      </c>
      <c r="B693" s="15">
        <v>983500</v>
      </c>
      <c r="K693" s="15">
        <v>31056233</v>
      </c>
    </row>
    <row r="694" spans="1:11">
      <c r="A694" s="42">
        <v>693</v>
      </c>
      <c r="B694" s="15">
        <v>985100</v>
      </c>
      <c r="K694" s="15">
        <v>31146379</v>
      </c>
    </row>
    <row r="695" spans="1:11">
      <c r="A695" s="42">
        <v>694</v>
      </c>
      <c r="B695" s="15">
        <v>986700</v>
      </c>
      <c r="K695" s="15">
        <v>31236660</v>
      </c>
    </row>
    <row r="696" spans="1:11">
      <c r="A696" s="42">
        <v>695</v>
      </c>
      <c r="B696" s="15">
        <v>988300</v>
      </c>
      <c r="K696" s="15">
        <v>31327076</v>
      </c>
    </row>
    <row r="697" spans="1:11">
      <c r="A697" s="42">
        <v>696</v>
      </c>
      <c r="B697" s="15">
        <v>989900</v>
      </c>
      <c r="K697" s="15">
        <v>31417628</v>
      </c>
    </row>
    <row r="698" spans="1:11">
      <c r="A698" s="42">
        <v>697</v>
      </c>
      <c r="B698" s="15">
        <v>991400</v>
      </c>
      <c r="K698" s="15">
        <v>31508316</v>
      </c>
    </row>
    <row r="699" spans="1:11">
      <c r="A699" s="42">
        <v>698</v>
      </c>
      <c r="B699" s="15">
        <v>993000</v>
      </c>
      <c r="K699" s="15">
        <v>31599139</v>
      </c>
    </row>
    <row r="700" spans="1:11">
      <c r="A700" s="42">
        <v>699</v>
      </c>
      <c r="B700" s="15">
        <v>994600</v>
      </c>
      <c r="K700" s="15">
        <v>31690099</v>
      </c>
    </row>
    <row r="701" spans="1:11">
      <c r="A701" s="42">
        <v>700</v>
      </c>
      <c r="B701" s="15">
        <v>996200</v>
      </c>
      <c r="K701" s="15">
        <v>31781193</v>
      </c>
    </row>
    <row r="702" spans="1:11">
      <c r="A702" s="42">
        <v>701</v>
      </c>
      <c r="B702" s="15">
        <v>997800</v>
      </c>
      <c r="K702" s="15">
        <v>31872424</v>
      </c>
    </row>
    <row r="703" spans="1:11">
      <c r="A703" s="42">
        <v>702</v>
      </c>
      <c r="B703" s="15">
        <v>999400</v>
      </c>
      <c r="K703" s="15">
        <v>31963790</v>
      </c>
    </row>
    <row r="704" spans="1:11">
      <c r="A704" s="42">
        <v>703</v>
      </c>
      <c r="B704" s="15">
        <v>1001000</v>
      </c>
      <c r="K704" s="15">
        <v>32055292</v>
      </c>
    </row>
    <row r="705" spans="1:11">
      <c r="A705" s="42">
        <v>704</v>
      </c>
      <c r="B705" s="15">
        <v>1002600</v>
      </c>
      <c r="K705" s="15">
        <v>32146929</v>
      </c>
    </row>
    <row r="706" spans="1:11">
      <c r="A706" s="42">
        <v>705</v>
      </c>
      <c r="B706" s="15">
        <v>1004200</v>
      </c>
      <c r="K706" s="15">
        <v>32238702</v>
      </c>
    </row>
    <row r="707" spans="1:11">
      <c r="A707" s="42">
        <v>706</v>
      </c>
      <c r="B707" s="15">
        <v>1005800</v>
      </c>
      <c r="K707" s="15">
        <v>32330611</v>
      </c>
    </row>
    <row r="708" spans="1:11">
      <c r="A708" s="42">
        <v>707</v>
      </c>
      <c r="B708" s="15">
        <v>1007400</v>
      </c>
      <c r="K708" s="15">
        <v>32422656</v>
      </c>
    </row>
    <row r="709" spans="1:11">
      <c r="A709" s="42">
        <v>708</v>
      </c>
      <c r="B709" s="15">
        <v>1009000</v>
      </c>
      <c r="K709" s="15">
        <v>32514837</v>
      </c>
    </row>
    <row r="710" spans="1:11">
      <c r="A710" s="42">
        <v>709</v>
      </c>
      <c r="B710" s="15">
        <v>1010600</v>
      </c>
      <c r="K710" s="15">
        <v>32607153</v>
      </c>
    </row>
    <row r="711" spans="1:11">
      <c r="A711" s="42">
        <v>710</v>
      </c>
      <c r="B711" s="15">
        <v>1012200</v>
      </c>
      <c r="K711" s="15">
        <v>32699605</v>
      </c>
    </row>
    <row r="712" spans="1:11">
      <c r="A712" s="42">
        <v>711</v>
      </c>
      <c r="B712" s="15">
        <v>1013800</v>
      </c>
      <c r="K712" s="15">
        <v>32792194</v>
      </c>
    </row>
    <row r="713" spans="1:11">
      <c r="A713" s="42">
        <v>712</v>
      </c>
      <c r="B713" s="15">
        <v>1015400</v>
      </c>
      <c r="K713" s="15">
        <v>32884917</v>
      </c>
    </row>
    <row r="714" spans="1:11">
      <c r="A714" s="42">
        <v>713</v>
      </c>
      <c r="B714" s="15">
        <v>1017000</v>
      </c>
      <c r="K714" s="15">
        <v>32977777</v>
      </c>
    </row>
    <row r="715" spans="1:11">
      <c r="A715" s="42">
        <v>714</v>
      </c>
      <c r="B715" s="15">
        <v>1018600</v>
      </c>
      <c r="K715" s="15">
        <v>33070773</v>
      </c>
    </row>
    <row r="716" spans="1:11">
      <c r="A716" s="42">
        <v>715</v>
      </c>
      <c r="B716" s="15">
        <v>1020200</v>
      </c>
      <c r="K716" s="15">
        <v>33163904</v>
      </c>
    </row>
    <row r="717" spans="1:11">
      <c r="A717" s="42">
        <v>716</v>
      </c>
      <c r="B717" s="15">
        <v>1021700</v>
      </c>
      <c r="K717" s="15">
        <v>33257172</v>
      </c>
    </row>
    <row r="718" spans="1:11">
      <c r="A718" s="42">
        <v>717</v>
      </c>
      <c r="B718" s="15">
        <v>1023300</v>
      </c>
      <c r="K718" s="15">
        <v>33350575</v>
      </c>
    </row>
    <row r="719" spans="1:11">
      <c r="A719" s="42">
        <v>718</v>
      </c>
      <c r="B719" s="15">
        <v>1024900</v>
      </c>
      <c r="K719" s="15">
        <v>33444114</v>
      </c>
    </row>
    <row r="720" spans="1:11">
      <c r="A720" s="42">
        <v>719</v>
      </c>
      <c r="B720" s="15">
        <v>1026500</v>
      </c>
      <c r="K720" s="15">
        <v>33537789</v>
      </c>
    </row>
    <row r="721" spans="1:11">
      <c r="A721" s="42">
        <v>720</v>
      </c>
      <c r="B721" s="15">
        <v>1028100</v>
      </c>
      <c r="K721" s="15">
        <v>33631600</v>
      </c>
    </row>
    <row r="722" spans="1:11">
      <c r="A722" s="42">
        <v>721</v>
      </c>
      <c r="B722" s="15">
        <v>1029700</v>
      </c>
      <c r="K722" s="15">
        <v>33725547</v>
      </c>
    </row>
    <row r="723" spans="1:11">
      <c r="A723" s="42">
        <v>722</v>
      </c>
      <c r="B723" s="15">
        <v>1031300</v>
      </c>
      <c r="K723" s="15">
        <v>33819631</v>
      </c>
    </row>
    <row r="724" spans="1:11">
      <c r="A724" s="42">
        <v>723</v>
      </c>
      <c r="B724" s="15">
        <v>1032900</v>
      </c>
      <c r="K724" s="15">
        <v>33913850</v>
      </c>
    </row>
    <row r="725" spans="1:11">
      <c r="A725" s="42">
        <v>724</v>
      </c>
      <c r="B725" s="15">
        <v>1034500</v>
      </c>
      <c r="K725" s="15">
        <v>34008205</v>
      </c>
    </row>
    <row r="726" spans="1:11">
      <c r="A726" s="42">
        <v>725</v>
      </c>
      <c r="B726" s="15">
        <v>1036100</v>
      </c>
      <c r="K726" s="15">
        <v>34102696</v>
      </c>
    </row>
    <row r="727" spans="1:11">
      <c r="A727" s="42">
        <v>726</v>
      </c>
      <c r="B727" s="15">
        <v>1037700</v>
      </c>
      <c r="K727" s="15">
        <v>34197323</v>
      </c>
    </row>
    <row r="728" spans="1:11">
      <c r="A728" s="42">
        <v>727</v>
      </c>
      <c r="B728" s="15">
        <v>1039300</v>
      </c>
      <c r="K728" s="15">
        <v>34292086</v>
      </c>
    </row>
    <row r="729" spans="1:11">
      <c r="A729" s="42">
        <v>728</v>
      </c>
      <c r="B729" s="15">
        <v>1040900</v>
      </c>
      <c r="K729" s="15">
        <v>34386985</v>
      </c>
    </row>
    <row r="730" spans="1:11">
      <c r="A730" s="42">
        <v>729</v>
      </c>
      <c r="B730" s="15">
        <v>1042500</v>
      </c>
      <c r="K730" s="15">
        <v>34482021</v>
      </c>
    </row>
    <row r="731" spans="1:11">
      <c r="A731" s="42">
        <v>730</v>
      </c>
      <c r="B731" s="15">
        <v>1044100</v>
      </c>
      <c r="K731" s="15">
        <v>34577192</v>
      </c>
    </row>
    <row r="732" spans="1:11">
      <c r="A732" s="42">
        <v>731</v>
      </c>
      <c r="B732" s="15">
        <v>1045700</v>
      </c>
      <c r="K732" s="15">
        <v>34672500</v>
      </c>
    </row>
    <row r="733" spans="1:11">
      <c r="A733" s="42">
        <v>732</v>
      </c>
      <c r="B733" s="15">
        <v>1047300</v>
      </c>
      <c r="K733" s="15">
        <v>34767944</v>
      </c>
    </row>
    <row r="734" spans="1:11">
      <c r="A734" s="42">
        <v>733</v>
      </c>
      <c r="B734" s="15">
        <v>1048900</v>
      </c>
      <c r="K734" s="15">
        <v>34863523</v>
      </c>
    </row>
    <row r="735" spans="1:11">
      <c r="A735" s="42">
        <v>734</v>
      </c>
      <c r="B735" s="15">
        <v>1050600</v>
      </c>
      <c r="K735" s="15">
        <v>34959239</v>
      </c>
    </row>
    <row r="736" spans="1:11">
      <c r="A736" s="42">
        <v>735</v>
      </c>
      <c r="B736" s="15">
        <v>1052200</v>
      </c>
      <c r="K736" s="15">
        <v>35055091</v>
      </c>
    </row>
    <row r="737" spans="1:11">
      <c r="A737" s="42">
        <v>736</v>
      </c>
      <c r="B737" s="15">
        <v>1053800</v>
      </c>
      <c r="K737" s="15">
        <v>35151080</v>
      </c>
    </row>
    <row r="738" spans="1:11">
      <c r="A738" s="42">
        <v>737</v>
      </c>
      <c r="B738" s="15">
        <v>1055400</v>
      </c>
      <c r="K738" s="15">
        <v>35247204</v>
      </c>
    </row>
    <row r="739" spans="1:11">
      <c r="A739" s="42">
        <v>738</v>
      </c>
      <c r="B739" s="15">
        <v>1057000</v>
      </c>
      <c r="K739" s="15">
        <v>35343465</v>
      </c>
    </row>
    <row r="740" spans="1:11">
      <c r="A740" s="42">
        <v>739</v>
      </c>
      <c r="B740" s="15">
        <v>1058600</v>
      </c>
      <c r="K740" s="15">
        <v>35439862</v>
      </c>
    </row>
    <row r="741" spans="1:11">
      <c r="A741" s="42">
        <v>740</v>
      </c>
      <c r="B741" s="15">
        <v>1060200</v>
      </c>
      <c r="K741" s="15">
        <v>35536395</v>
      </c>
    </row>
    <row r="742" spans="1:11">
      <c r="A742" s="42">
        <v>741</v>
      </c>
      <c r="B742" s="15">
        <v>1061800</v>
      </c>
      <c r="K742" s="15">
        <v>35633065</v>
      </c>
    </row>
    <row r="743" spans="1:11">
      <c r="A743" s="42">
        <v>742</v>
      </c>
      <c r="B743" s="15">
        <v>1063400</v>
      </c>
      <c r="K743" s="15">
        <v>35729870</v>
      </c>
    </row>
    <row r="744" spans="1:11">
      <c r="A744" s="42">
        <v>743</v>
      </c>
      <c r="B744" s="15">
        <v>1065000</v>
      </c>
      <c r="K744" s="15">
        <v>35826812</v>
      </c>
    </row>
    <row r="745" spans="1:11">
      <c r="A745" s="42">
        <v>744</v>
      </c>
      <c r="B745" s="15">
        <v>1066600</v>
      </c>
      <c r="K745" s="15">
        <v>35923891</v>
      </c>
    </row>
    <row r="746" spans="1:11">
      <c r="A746" s="42">
        <v>745</v>
      </c>
      <c r="B746" s="15">
        <v>1068200</v>
      </c>
      <c r="K746" s="15">
        <v>36021105</v>
      </c>
    </row>
    <row r="747" spans="1:11">
      <c r="A747" s="42">
        <v>746</v>
      </c>
      <c r="B747" s="15">
        <v>1069800</v>
      </c>
      <c r="K747" s="15">
        <v>36118456</v>
      </c>
    </row>
    <row r="748" spans="1:11">
      <c r="A748" s="42">
        <v>747</v>
      </c>
      <c r="B748" s="15">
        <v>1071400</v>
      </c>
      <c r="K748" s="15">
        <v>36215944</v>
      </c>
    </row>
    <row r="749" spans="1:11">
      <c r="A749" s="42">
        <v>748</v>
      </c>
      <c r="B749" s="15">
        <v>1073000</v>
      </c>
      <c r="K749" s="15">
        <v>36313567</v>
      </c>
    </row>
    <row r="750" spans="1:11">
      <c r="A750" s="42">
        <v>749</v>
      </c>
      <c r="B750" s="15">
        <v>1074600</v>
      </c>
      <c r="K750" s="15">
        <v>36411327</v>
      </c>
    </row>
    <row r="751" spans="1:11">
      <c r="A751" s="42">
        <v>750</v>
      </c>
      <c r="B751" s="15">
        <v>1076200</v>
      </c>
      <c r="K751" s="15">
        <v>36509223</v>
      </c>
    </row>
    <row r="752" spans="1:11">
      <c r="A752" s="42">
        <v>751</v>
      </c>
      <c r="B752" s="15">
        <v>1077800</v>
      </c>
      <c r="K752" s="15">
        <v>36607256</v>
      </c>
    </row>
    <row r="753" spans="1:11">
      <c r="A753" s="42">
        <v>752</v>
      </c>
      <c r="B753" s="15">
        <v>1079400</v>
      </c>
      <c r="K753" s="15">
        <v>36705425</v>
      </c>
    </row>
    <row r="754" spans="1:11">
      <c r="A754" s="42">
        <v>753</v>
      </c>
      <c r="B754" s="15">
        <v>1081100</v>
      </c>
      <c r="K754" s="15">
        <v>36803731</v>
      </c>
    </row>
    <row r="755" spans="1:11">
      <c r="A755" s="42">
        <v>754</v>
      </c>
      <c r="B755" s="15">
        <v>1082700</v>
      </c>
      <c r="K755" s="15">
        <v>36902173</v>
      </c>
    </row>
    <row r="756" spans="1:11">
      <c r="A756" s="42">
        <v>755</v>
      </c>
      <c r="B756" s="15">
        <v>1084300</v>
      </c>
      <c r="K756" s="15">
        <v>37000751</v>
      </c>
    </row>
    <row r="757" spans="1:11">
      <c r="A757" s="42">
        <v>756</v>
      </c>
      <c r="B757" s="15">
        <v>1085900</v>
      </c>
      <c r="K757" s="15">
        <v>37099466</v>
      </c>
    </row>
    <row r="758" spans="1:11">
      <c r="A758" s="42">
        <v>757</v>
      </c>
      <c r="B758" s="15">
        <v>1087500</v>
      </c>
      <c r="K758" s="15">
        <v>37198318</v>
      </c>
    </row>
    <row r="759" spans="1:11">
      <c r="A759" s="42">
        <v>758</v>
      </c>
      <c r="B759" s="15">
        <v>1089100</v>
      </c>
      <c r="K759" s="15">
        <v>37297305</v>
      </c>
    </row>
    <row r="760" spans="1:11">
      <c r="A760" s="42">
        <v>759</v>
      </c>
      <c r="B760" s="15">
        <v>1090700</v>
      </c>
      <c r="K760" s="15">
        <v>37396430</v>
      </c>
    </row>
    <row r="761" spans="1:11">
      <c r="A761" s="42">
        <v>760</v>
      </c>
      <c r="B761" s="15">
        <v>1092300</v>
      </c>
      <c r="K761" s="15">
        <v>37495691</v>
      </c>
    </row>
    <row r="762" spans="1:11">
      <c r="A762" s="42">
        <v>761</v>
      </c>
      <c r="B762" s="15">
        <v>1093900</v>
      </c>
      <c r="K762" s="15">
        <v>37595088</v>
      </c>
    </row>
    <row r="763" spans="1:11">
      <c r="A763" s="42">
        <v>762</v>
      </c>
      <c r="B763" s="15">
        <v>1095500</v>
      </c>
      <c r="K763" s="15">
        <v>37694622</v>
      </c>
    </row>
    <row r="764" spans="1:11">
      <c r="A764" s="42">
        <v>763</v>
      </c>
      <c r="B764" s="15">
        <v>1097200</v>
      </c>
      <c r="K764" s="15">
        <v>37794292</v>
      </c>
    </row>
    <row r="765" spans="1:11">
      <c r="A765" s="42">
        <v>764</v>
      </c>
      <c r="B765" s="15">
        <v>1098800</v>
      </c>
      <c r="K765" s="15">
        <v>37894100</v>
      </c>
    </row>
    <row r="766" spans="1:11">
      <c r="A766" s="42">
        <v>765</v>
      </c>
      <c r="B766" s="15">
        <v>1100400</v>
      </c>
      <c r="K766" s="15">
        <v>37994043</v>
      </c>
    </row>
    <row r="767" spans="1:11">
      <c r="A767" s="42">
        <v>766</v>
      </c>
      <c r="B767" s="15">
        <v>1102000</v>
      </c>
      <c r="K767" s="15">
        <v>38094123</v>
      </c>
    </row>
    <row r="768" spans="1:11">
      <c r="A768" s="42">
        <v>767</v>
      </c>
      <c r="B768" s="15">
        <v>1103600</v>
      </c>
      <c r="K768" s="15">
        <v>38194340</v>
      </c>
    </row>
    <row r="769" spans="1:11">
      <c r="A769" s="42">
        <v>768</v>
      </c>
      <c r="B769" s="15">
        <v>1105200</v>
      </c>
      <c r="K769" s="15">
        <v>38294694</v>
      </c>
    </row>
    <row r="770" spans="1:11">
      <c r="A770" s="42">
        <v>769</v>
      </c>
      <c r="B770" s="15">
        <v>1106800</v>
      </c>
      <c r="K770" s="15">
        <v>38395184</v>
      </c>
    </row>
    <row r="771" spans="1:11">
      <c r="A771" s="42">
        <v>770</v>
      </c>
      <c r="B771" s="15">
        <v>1108400</v>
      </c>
      <c r="K771" s="15">
        <v>38495810</v>
      </c>
    </row>
    <row r="772" spans="1:11">
      <c r="A772" s="42">
        <v>771</v>
      </c>
      <c r="B772" s="15">
        <v>1110100</v>
      </c>
      <c r="K772" s="15">
        <v>38596574</v>
      </c>
    </row>
    <row r="773" spans="1:11">
      <c r="A773" s="42">
        <v>772</v>
      </c>
      <c r="B773" s="15">
        <v>1111700</v>
      </c>
      <c r="K773" s="15">
        <v>38697474</v>
      </c>
    </row>
    <row r="774" spans="1:11">
      <c r="A774" s="42">
        <v>773</v>
      </c>
      <c r="B774" s="15">
        <v>1113300</v>
      </c>
      <c r="K774" s="15">
        <v>38798511</v>
      </c>
    </row>
    <row r="775" spans="1:11">
      <c r="A775" s="42">
        <v>774</v>
      </c>
      <c r="B775" s="15">
        <v>1114900</v>
      </c>
      <c r="K775" s="15">
        <v>38899684</v>
      </c>
    </row>
    <row r="776" spans="1:11">
      <c r="A776" s="42">
        <v>775</v>
      </c>
      <c r="B776" s="15">
        <v>1116500</v>
      </c>
      <c r="K776" s="15">
        <v>39000994</v>
      </c>
    </row>
    <row r="777" spans="1:11">
      <c r="A777" s="42">
        <v>776</v>
      </c>
      <c r="B777" s="15">
        <v>1118100</v>
      </c>
      <c r="K777" s="15">
        <v>39102441</v>
      </c>
    </row>
    <row r="778" spans="1:11">
      <c r="A778" s="42">
        <v>777</v>
      </c>
      <c r="B778" s="15">
        <v>1119700</v>
      </c>
      <c r="K778" s="15">
        <v>39204025</v>
      </c>
    </row>
    <row r="779" spans="1:11">
      <c r="A779" s="42">
        <v>778</v>
      </c>
      <c r="B779" s="15">
        <v>1121400</v>
      </c>
      <c r="K779" s="15">
        <v>39305745</v>
      </c>
    </row>
    <row r="780" spans="1:11">
      <c r="A780" s="42">
        <v>779</v>
      </c>
      <c r="B780" s="15">
        <v>1123000</v>
      </c>
      <c r="K780" s="15">
        <v>39407603</v>
      </c>
    </row>
    <row r="781" spans="1:11">
      <c r="A781" s="42">
        <v>780</v>
      </c>
      <c r="B781" s="15">
        <v>1124600</v>
      </c>
      <c r="K781" s="15">
        <v>39509596</v>
      </c>
    </row>
    <row r="782" spans="1:11">
      <c r="A782" s="42">
        <v>781</v>
      </c>
      <c r="B782" s="15">
        <v>1126200</v>
      </c>
      <c r="K782" s="15">
        <v>39611727</v>
      </c>
    </row>
    <row r="783" spans="1:11">
      <c r="A783" s="42">
        <v>782</v>
      </c>
      <c r="B783" s="15">
        <v>1127800</v>
      </c>
      <c r="K783" s="15">
        <v>39713995</v>
      </c>
    </row>
    <row r="784" spans="1:11">
      <c r="A784" s="42">
        <v>783</v>
      </c>
      <c r="B784" s="15">
        <v>1129400</v>
      </c>
      <c r="K784" s="15">
        <v>39816399</v>
      </c>
    </row>
    <row r="785" spans="1:11">
      <c r="A785" s="42">
        <v>784</v>
      </c>
      <c r="B785" s="15">
        <v>1131100</v>
      </c>
      <c r="K785" s="15">
        <v>39918940</v>
      </c>
    </row>
    <row r="786" spans="1:11">
      <c r="A786" s="42">
        <v>785</v>
      </c>
      <c r="B786" s="15">
        <v>1132700</v>
      </c>
      <c r="K786" s="15">
        <v>40021618</v>
      </c>
    </row>
    <row r="787" spans="1:11">
      <c r="A787" s="42">
        <v>786</v>
      </c>
      <c r="B787" s="15">
        <v>1134300</v>
      </c>
      <c r="K787" s="15">
        <v>40124433</v>
      </c>
    </row>
    <row r="788" spans="1:11">
      <c r="A788" s="42">
        <v>787</v>
      </c>
      <c r="B788" s="15">
        <v>1135900</v>
      </c>
      <c r="K788" s="15">
        <v>40227385</v>
      </c>
    </row>
    <row r="789" spans="1:11">
      <c r="A789" s="42">
        <v>788</v>
      </c>
      <c r="B789" s="15">
        <v>1137500</v>
      </c>
      <c r="K789" s="15">
        <v>40330474</v>
      </c>
    </row>
    <row r="790" spans="1:11">
      <c r="A790" s="42">
        <v>789</v>
      </c>
      <c r="B790" s="15">
        <v>1139100</v>
      </c>
      <c r="K790" s="15">
        <v>40433699</v>
      </c>
    </row>
    <row r="791" spans="1:11">
      <c r="A791" s="42">
        <v>790</v>
      </c>
      <c r="B791" s="15">
        <v>1140800</v>
      </c>
      <c r="K791" s="15">
        <v>40537062</v>
      </c>
    </row>
    <row r="792" spans="1:11">
      <c r="A792" s="42">
        <v>791</v>
      </c>
      <c r="B792" s="15">
        <v>1142400</v>
      </c>
      <c r="K792" s="15">
        <v>40640561</v>
      </c>
    </row>
    <row r="793" spans="1:11">
      <c r="A793" s="42">
        <v>792</v>
      </c>
      <c r="B793" s="15">
        <v>1144000</v>
      </c>
      <c r="K793" s="15">
        <v>40744198</v>
      </c>
    </row>
    <row r="794" spans="1:11">
      <c r="A794" s="42">
        <v>793</v>
      </c>
      <c r="B794" s="15">
        <v>1145600</v>
      </c>
      <c r="K794" s="15">
        <v>40847971</v>
      </c>
    </row>
    <row r="795" spans="1:11">
      <c r="A795" s="42">
        <v>794</v>
      </c>
      <c r="B795" s="15">
        <v>1147200</v>
      </c>
      <c r="K795" s="15">
        <v>40951881</v>
      </c>
    </row>
    <row r="796" spans="1:11">
      <c r="A796" s="42">
        <v>795</v>
      </c>
      <c r="B796" s="15">
        <v>1148900</v>
      </c>
      <c r="K796" s="15">
        <v>41055929</v>
      </c>
    </row>
    <row r="797" spans="1:11">
      <c r="A797" s="42">
        <v>796</v>
      </c>
      <c r="B797" s="15">
        <v>1150500</v>
      </c>
      <c r="K797" s="15">
        <v>41160113</v>
      </c>
    </row>
    <row r="798" spans="1:11">
      <c r="A798" s="42">
        <v>797</v>
      </c>
      <c r="B798" s="15">
        <v>1152100</v>
      </c>
      <c r="K798" s="15">
        <v>41264434</v>
      </c>
    </row>
    <row r="799" spans="1:11">
      <c r="A799" s="42">
        <v>798</v>
      </c>
      <c r="B799" s="15">
        <v>1153700</v>
      </c>
      <c r="K799" s="15">
        <v>41368892</v>
      </c>
    </row>
    <row r="800" spans="1:11">
      <c r="A800" s="42">
        <v>799</v>
      </c>
      <c r="B800" s="15">
        <v>1155300</v>
      </c>
      <c r="K800" s="15">
        <v>41473488</v>
      </c>
    </row>
    <row r="801" spans="1:11">
      <c r="A801" s="42">
        <v>800</v>
      </c>
      <c r="B801" s="15">
        <v>1157000</v>
      </c>
      <c r="K801" s="15">
        <v>41578220</v>
      </c>
    </row>
    <row r="802" spans="1:11">
      <c r="A802" s="42">
        <v>801</v>
      </c>
      <c r="B802" s="15">
        <v>1158600</v>
      </c>
      <c r="K802" s="15">
        <v>41683090</v>
      </c>
    </row>
    <row r="803" spans="1:11">
      <c r="A803" s="42">
        <v>802</v>
      </c>
      <c r="B803" s="15">
        <v>1160200</v>
      </c>
      <c r="K803" s="15">
        <v>41788096</v>
      </c>
    </row>
    <row r="804" spans="1:11">
      <c r="A804" s="42">
        <v>803</v>
      </c>
      <c r="B804" s="15">
        <v>1161800</v>
      </c>
      <c r="K804" s="15">
        <v>41893240</v>
      </c>
    </row>
    <row r="805" spans="1:11">
      <c r="A805" s="42">
        <v>804</v>
      </c>
      <c r="B805" s="15">
        <v>1163500</v>
      </c>
      <c r="K805" s="15">
        <v>41998520</v>
      </c>
    </row>
    <row r="806" spans="1:11">
      <c r="A806" s="42">
        <v>805</v>
      </c>
      <c r="B806" s="15">
        <v>1165100</v>
      </c>
      <c r="K806" s="15">
        <v>42103938</v>
      </c>
    </row>
    <row r="807" spans="1:11">
      <c r="A807" s="42">
        <v>806</v>
      </c>
      <c r="B807" s="15">
        <v>1166700</v>
      </c>
      <c r="K807" s="15">
        <v>42209493</v>
      </c>
    </row>
    <row r="808" spans="1:11">
      <c r="A808" s="42">
        <v>807</v>
      </c>
      <c r="B808" s="15">
        <v>1168300</v>
      </c>
      <c r="K808" s="15">
        <v>42315185</v>
      </c>
    </row>
    <row r="809" spans="1:11">
      <c r="A809" s="42">
        <v>808</v>
      </c>
      <c r="B809" s="15">
        <v>1169900</v>
      </c>
      <c r="K809" s="15">
        <v>42421014</v>
      </c>
    </row>
    <row r="810" spans="1:11">
      <c r="A810" s="42">
        <v>809</v>
      </c>
      <c r="B810" s="15">
        <v>1171600</v>
      </c>
      <c r="K810" s="15">
        <v>42526981</v>
      </c>
    </row>
    <row r="811" spans="1:11">
      <c r="A811" s="42">
        <v>810</v>
      </c>
      <c r="B811" s="15">
        <v>1173200</v>
      </c>
      <c r="K811" s="15">
        <v>42633084</v>
      </c>
    </row>
    <row r="812" spans="1:11">
      <c r="A812" s="42">
        <v>811</v>
      </c>
      <c r="B812" s="15">
        <v>1174800</v>
      </c>
      <c r="K812" s="15">
        <v>42739325</v>
      </c>
    </row>
    <row r="813" spans="1:11">
      <c r="A813" s="42">
        <v>812</v>
      </c>
      <c r="B813" s="15">
        <v>1176400</v>
      </c>
      <c r="K813" s="15">
        <v>42845703</v>
      </c>
    </row>
    <row r="814" spans="1:11">
      <c r="A814" s="42">
        <v>813</v>
      </c>
      <c r="B814" s="15">
        <v>1178100</v>
      </c>
      <c r="K814" s="15">
        <v>42952218</v>
      </c>
    </row>
    <row r="815" spans="1:11">
      <c r="A815" s="42">
        <v>814</v>
      </c>
      <c r="B815" s="15">
        <v>1179700</v>
      </c>
      <c r="K815" s="15">
        <v>43058870</v>
      </c>
    </row>
    <row r="816" spans="1:11">
      <c r="A816" s="42">
        <v>815</v>
      </c>
      <c r="B816" s="15">
        <v>1181300</v>
      </c>
      <c r="K816" s="15">
        <v>43165660</v>
      </c>
    </row>
    <row r="817" spans="1:11">
      <c r="A817" s="42">
        <v>816</v>
      </c>
      <c r="B817" s="15">
        <v>1182900</v>
      </c>
      <c r="K817" s="15">
        <v>43272587</v>
      </c>
    </row>
    <row r="818" spans="1:11">
      <c r="A818" s="42">
        <v>817</v>
      </c>
      <c r="B818" s="15">
        <v>1184600</v>
      </c>
      <c r="K818" s="15">
        <v>43379651</v>
      </c>
    </row>
    <row r="819" spans="1:11">
      <c r="A819" s="42">
        <v>818</v>
      </c>
      <c r="B819" s="15">
        <v>1186200</v>
      </c>
      <c r="K819" s="15">
        <v>43486852</v>
      </c>
    </row>
    <row r="820" spans="1:11">
      <c r="A820" s="42">
        <v>819</v>
      </c>
      <c r="B820" s="15">
        <v>1187800</v>
      </c>
      <c r="K820" s="15">
        <v>43594191</v>
      </c>
    </row>
    <row r="821" spans="1:11">
      <c r="A821" s="42">
        <v>820</v>
      </c>
      <c r="B821" s="15">
        <v>1189400</v>
      </c>
      <c r="K821" s="15">
        <v>43701667</v>
      </c>
    </row>
    <row r="822" spans="1:11">
      <c r="A822" s="42">
        <v>821</v>
      </c>
      <c r="B822" s="15">
        <v>1191100</v>
      </c>
      <c r="K822" s="15">
        <v>43809280</v>
      </c>
    </row>
    <row r="823" spans="1:11">
      <c r="A823" s="42">
        <v>822</v>
      </c>
      <c r="B823" s="15">
        <v>1192700</v>
      </c>
      <c r="K823" s="15">
        <v>43917031</v>
      </c>
    </row>
    <row r="824" spans="1:11">
      <c r="A824" s="42">
        <v>823</v>
      </c>
      <c r="B824" s="15">
        <v>1194300</v>
      </c>
      <c r="K824" s="15">
        <v>44024919</v>
      </c>
    </row>
    <row r="825" spans="1:11">
      <c r="A825" s="42">
        <v>824</v>
      </c>
      <c r="B825" s="15">
        <v>1196000</v>
      </c>
      <c r="K825" s="15">
        <v>44132944</v>
      </c>
    </row>
    <row r="826" spans="1:11">
      <c r="A826" s="42">
        <v>825</v>
      </c>
      <c r="B826" s="15">
        <v>1197600</v>
      </c>
      <c r="K826" s="15">
        <v>44241107</v>
      </c>
    </row>
    <row r="827" spans="1:11">
      <c r="A827" s="42">
        <v>826</v>
      </c>
      <c r="B827" s="15">
        <v>1199200</v>
      </c>
      <c r="K827" s="15">
        <v>44349407</v>
      </c>
    </row>
    <row r="828" spans="1:11">
      <c r="A828" s="42">
        <v>827</v>
      </c>
      <c r="B828" s="15">
        <v>1200800</v>
      </c>
      <c r="K828" s="15">
        <v>44457844</v>
      </c>
    </row>
    <row r="829" spans="1:11">
      <c r="A829" s="42">
        <v>828</v>
      </c>
      <c r="B829" s="15">
        <v>1202500</v>
      </c>
      <c r="K829" s="15">
        <v>44566419</v>
      </c>
    </row>
    <row r="830" spans="1:11">
      <c r="A830" s="42">
        <v>829</v>
      </c>
      <c r="B830" s="15">
        <v>1204100</v>
      </c>
      <c r="K830" s="15">
        <v>44675131</v>
      </c>
    </row>
    <row r="831" spans="1:11">
      <c r="A831" s="42">
        <v>830</v>
      </c>
      <c r="B831" s="15">
        <v>1205700</v>
      </c>
      <c r="K831" s="15">
        <v>44783981</v>
      </c>
    </row>
    <row r="832" spans="1:11">
      <c r="A832" s="42">
        <v>831</v>
      </c>
      <c r="B832" s="15">
        <v>1207400</v>
      </c>
      <c r="K832" s="15">
        <v>44892968</v>
      </c>
    </row>
    <row r="833" spans="1:11">
      <c r="A833" s="42">
        <v>832</v>
      </c>
      <c r="B833" s="15">
        <v>1209000</v>
      </c>
      <c r="K833" s="15">
        <v>45002093</v>
      </c>
    </row>
    <row r="834" spans="1:11">
      <c r="A834" s="42">
        <v>833</v>
      </c>
      <c r="B834" s="15">
        <v>1210600</v>
      </c>
      <c r="K834" s="15">
        <v>45111355</v>
      </c>
    </row>
    <row r="835" spans="1:11">
      <c r="A835" s="42">
        <v>834</v>
      </c>
      <c r="B835" s="15">
        <v>1212300</v>
      </c>
      <c r="K835" s="15">
        <v>45220754</v>
      </c>
    </row>
    <row r="836" spans="1:11">
      <c r="A836" s="42">
        <v>835</v>
      </c>
      <c r="B836" s="15">
        <v>1213900</v>
      </c>
      <c r="K836" s="15">
        <v>45330291</v>
      </c>
    </row>
    <row r="837" spans="1:11">
      <c r="A837" s="42">
        <v>836</v>
      </c>
      <c r="B837" s="15">
        <v>1215500</v>
      </c>
      <c r="K837" s="15">
        <v>45439966</v>
      </c>
    </row>
    <row r="838" spans="1:11">
      <c r="A838" s="42">
        <v>837</v>
      </c>
      <c r="B838" s="15">
        <v>1217100</v>
      </c>
      <c r="K838" s="15">
        <v>45549778</v>
      </c>
    </row>
    <row r="839" spans="1:11">
      <c r="A839" s="42">
        <v>838</v>
      </c>
      <c r="B839" s="15">
        <v>1218800</v>
      </c>
      <c r="K839" s="15">
        <v>45659727</v>
      </c>
    </row>
    <row r="840" spans="1:11">
      <c r="A840" s="42">
        <v>839</v>
      </c>
      <c r="B840" s="15">
        <v>1220400</v>
      </c>
      <c r="K840" s="15">
        <v>45769815</v>
      </c>
    </row>
    <row r="841" spans="1:11">
      <c r="A841" s="42">
        <v>840</v>
      </c>
      <c r="B841" s="15">
        <v>1222000</v>
      </c>
      <c r="K841" s="15">
        <v>45880039</v>
      </c>
    </row>
    <row r="842" spans="1:11">
      <c r="A842" s="42">
        <v>841</v>
      </c>
      <c r="B842" s="15">
        <v>1223700</v>
      </c>
      <c r="K842" s="15">
        <v>45990401</v>
      </c>
    </row>
    <row r="843" spans="1:11">
      <c r="A843" s="42">
        <v>842</v>
      </c>
      <c r="B843" s="15">
        <v>1225300</v>
      </c>
      <c r="K843" s="15">
        <v>46100901</v>
      </c>
    </row>
    <row r="844" spans="1:11">
      <c r="A844" s="42">
        <v>843</v>
      </c>
      <c r="B844" s="15">
        <v>1226900</v>
      </c>
      <c r="K844" s="15">
        <v>46211539</v>
      </c>
    </row>
    <row r="845" spans="1:11">
      <c r="A845" s="42">
        <v>844</v>
      </c>
      <c r="B845" s="15">
        <v>1228600</v>
      </c>
      <c r="K845" s="15">
        <v>46322314</v>
      </c>
    </row>
    <row r="846" spans="1:11">
      <c r="A846" s="42">
        <v>845</v>
      </c>
      <c r="B846" s="15">
        <v>1230200</v>
      </c>
      <c r="K846" s="15">
        <v>46433226</v>
      </c>
    </row>
    <row r="847" spans="1:11">
      <c r="A847" s="42">
        <v>846</v>
      </c>
      <c r="B847" s="15">
        <v>1231800</v>
      </c>
      <c r="K847" s="15">
        <v>46544277</v>
      </c>
    </row>
    <row r="848" spans="1:11">
      <c r="A848" s="42">
        <v>847</v>
      </c>
      <c r="B848" s="15">
        <v>1233500</v>
      </c>
      <c r="K848" s="15">
        <v>46655464</v>
      </c>
    </row>
    <row r="849" spans="1:11">
      <c r="A849" s="42">
        <v>848</v>
      </c>
      <c r="B849" s="15">
        <v>1235100</v>
      </c>
      <c r="K849" s="15">
        <v>46766790</v>
      </c>
    </row>
    <row r="850" spans="1:11">
      <c r="A850" s="42">
        <v>849</v>
      </c>
      <c r="B850" s="15">
        <v>1236700</v>
      </c>
      <c r="K850" s="15">
        <v>46878253</v>
      </c>
    </row>
    <row r="851" spans="1:11">
      <c r="A851" s="42">
        <v>850</v>
      </c>
      <c r="B851" s="15">
        <v>1238400</v>
      </c>
      <c r="K851" s="15">
        <v>46989854</v>
      </c>
    </row>
    <row r="852" spans="1:11">
      <c r="A852" s="42">
        <v>851</v>
      </c>
      <c r="B852" s="15">
        <v>1240000</v>
      </c>
      <c r="K852" s="15">
        <v>47101593</v>
      </c>
    </row>
    <row r="853" spans="1:11">
      <c r="A853" s="42">
        <v>852</v>
      </c>
      <c r="B853" s="15">
        <v>1241600</v>
      </c>
      <c r="K853" s="15">
        <v>47213469</v>
      </c>
    </row>
    <row r="854" spans="1:11">
      <c r="A854" s="42">
        <v>853</v>
      </c>
      <c r="B854" s="15">
        <v>1243300</v>
      </c>
      <c r="K854" s="15">
        <v>47325483</v>
      </c>
    </row>
    <row r="855" spans="1:11">
      <c r="A855" s="42">
        <v>854</v>
      </c>
      <c r="B855" s="15">
        <v>1244900</v>
      </c>
      <c r="K855" s="15">
        <v>47437635</v>
      </c>
    </row>
    <row r="856" spans="1:11">
      <c r="A856" s="42">
        <v>855</v>
      </c>
      <c r="B856" s="15">
        <v>1246600</v>
      </c>
      <c r="K856" s="15">
        <v>47549924</v>
      </c>
    </row>
    <row r="857" spans="1:11">
      <c r="A857" s="42">
        <v>856</v>
      </c>
      <c r="B857" s="15">
        <v>1248200</v>
      </c>
      <c r="K857" s="15">
        <v>47662351</v>
      </c>
    </row>
    <row r="858" spans="1:11">
      <c r="A858" s="42">
        <v>857</v>
      </c>
      <c r="B858" s="15">
        <v>1249800</v>
      </c>
      <c r="K858" s="15">
        <v>47774916</v>
      </c>
    </row>
    <row r="859" spans="1:11">
      <c r="A859" s="42">
        <v>858</v>
      </c>
      <c r="B859" s="15">
        <v>1251500</v>
      </c>
      <c r="K859" s="15">
        <v>47887619</v>
      </c>
    </row>
    <row r="860" spans="1:11">
      <c r="A860" s="42">
        <v>859</v>
      </c>
      <c r="B860" s="15">
        <v>1253100</v>
      </c>
      <c r="K860" s="15">
        <v>48000460</v>
      </c>
    </row>
    <row r="861" spans="1:11">
      <c r="A861" s="42">
        <v>860</v>
      </c>
      <c r="B861" s="15">
        <v>1254700</v>
      </c>
      <c r="K861" s="15">
        <v>48113438</v>
      </c>
    </row>
    <row r="862" spans="1:11">
      <c r="A862" s="42">
        <v>861</v>
      </c>
      <c r="B862" s="15">
        <v>1256400</v>
      </c>
      <c r="K862" s="15">
        <v>48226554</v>
      </c>
    </row>
    <row r="863" spans="1:11">
      <c r="A863" s="42">
        <v>862</v>
      </c>
      <c r="B863" s="15">
        <v>1258000</v>
      </c>
      <c r="K863" s="15">
        <v>48339808</v>
      </c>
    </row>
    <row r="864" spans="1:11">
      <c r="A864" s="42">
        <v>863</v>
      </c>
      <c r="B864" s="15">
        <v>1259700</v>
      </c>
      <c r="K864" s="15">
        <v>48453200</v>
      </c>
    </row>
    <row r="865" spans="1:11">
      <c r="A865" s="42">
        <v>864</v>
      </c>
      <c r="B865" s="15">
        <v>1261300</v>
      </c>
      <c r="K865" s="15">
        <v>48566730</v>
      </c>
    </row>
    <row r="866" spans="1:11">
      <c r="A866" s="42">
        <v>865</v>
      </c>
      <c r="B866" s="15">
        <v>1262900</v>
      </c>
      <c r="K866" s="15">
        <v>48680397</v>
      </c>
    </row>
    <row r="867" spans="1:11">
      <c r="A867" s="42">
        <v>866</v>
      </c>
      <c r="B867" s="15">
        <v>1264600</v>
      </c>
      <c r="K867" s="15">
        <v>48794203</v>
      </c>
    </row>
    <row r="868" spans="1:11">
      <c r="A868" s="42">
        <v>867</v>
      </c>
      <c r="B868" s="15">
        <v>1266200</v>
      </c>
      <c r="K868" s="15">
        <v>48908146</v>
      </c>
    </row>
    <row r="869" spans="1:11">
      <c r="A869" s="42">
        <v>868</v>
      </c>
      <c r="B869" s="15">
        <v>1267800</v>
      </c>
      <c r="K869" s="15">
        <v>49022227</v>
      </c>
    </row>
    <row r="870" spans="1:11">
      <c r="A870" s="42">
        <v>869</v>
      </c>
      <c r="B870" s="15">
        <v>1269500</v>
      </c>
      <c r="K870" s="15">
        <v>49136446</v>
      </c>
    </row>
    <row r="871" spans="1:11">
      <c r="A871" s="42">
        <v>870</v>
      </c>
      <c r="B871" s="15">
        <v>1271100</v>
      </c>
      <c r="K871" s="15">
        <v>49250803</v>
      </c>
    </row>
    <row r="872" spans="1:11">
      <c r="A872" s="42">
        <v>871</v>
      </c>
      <c r="B872" s="15">
        <v>1272800</v>
      </c>
      <c r="K872" s="15">
        <v>49365298</v>
      </c>
    </row>
    <row r="873" spans="1:11">
      <c r="A873" s="42">
        <v>872</v>
      </c>
      <c r="B873" s="15">
        <v>1274400</v>
      </c>
      <c r="K873" s="15">
        <v>49479931</v>
      </c>
    </row>
    <row r="874" spans="1:11">
      <c r="A874" s="42">
        <v>873</v>
      </c>
      <c r="B874" s="15">
        <v>1276000</v>
      </c>
      <c r="K874" s="15">
        <v>49594702</v>
      </c>
    </row>
    <row r="875" spans="1:11">
      <c r="A875" s="42">
        <v>874</v>
      </c>
      <c r="B875" s="15">
        <v>1277700</v>
      </c>
      <c r="K875" s="15">
        <v>49709611</v>
      </c>
    </row>
    <row r="876" spans="1:11">
      <c r="A876" s="42">
        <v>875</v>
      </c>
      <c r="B876" s="15">
        <v>1279300</v>
      </c>
      <c r="K876" s="15">
        <v>49824658</v>
      </c>
    </row>
    <row r="877" spans="1:11">
      <c r="A877" s="42">
        <v>876</v>
      </c>
      <c r="B877" s="15">
        <v>1281000</v>
      </c>
      <c r="K877" s="15">
        <v>49939842</v>
      </c>
    </row>
    <row r="878" spans="1:11">
      <c r="A878" s="42">
        <v>877</v>
      </c>
      <c r="B878" s="15">
        <v>1282600</v>
      </c>
      <c r="K878" s="15">
        <v>50055165</v>
      </c>
    </row>
    <row r="879" spans="1:11">
      <c r="A879" s="42">
        <v>878</v>
      </c>
      <c r="B879" s="15">
        <v>1284300</v>
      </c>
      <c r="K879" s="15">
        <v>50170626</v>
      </c>
    </row>
    <row r="880" spans="1:11">
      <c r="A880" s="42">
        <v>879</v>
      </c>
      <c r="B880" s="15">
        <v>1285900</v>
      </c>
      <c r="K880" s="15">
        <v>50286225</v>
      </c>
    </row>
    <row r="881" spans="1:11">
      <c r="A881" s="42">
        <v>880</v>
      </c>
      <c r="B881" s="15">
        <v>1287500</v>
      </c>
      <c r="K881" s="15">
        <v>50401962</v>
      </c>
    </row>
    <row r="882" spans="1:11">
      <c r="A882" s="42">
        <v>881</v>
      </c>
      <c r="B882" s="15">
        <v>1289200</v>
      </c>
      <c r="K882" s="15">
        <v>50517837</v>
      </c>
    </row>
    <row r="883" spans="1:11">
      <c r="A883" s="42">
        <v>882</v>
      </c>
      <c r="B883" s="15">
        <v>1290800</v>
      </c>
      <c r="K883" s="15">
        <v>50633850</v>
      </c>
    </row>
    <row r="884" spans="1:11">
      <c r="A884" s="42">
        <v>883</v>
      </c>
      <c r="B884" s="15">
        <v>1292500</v>
      </c>
      <c r="K884" s="15">
        <v>50750001</v>
      </c>
    </row>
    <row r="885" spans="1:11">
      <c r="A885" s="42">
        <v>884</v>
      </c>
      <c r="B885" s="15">
        <v>1294100</v>
      </c>
      <c r="K885" s="15">
        <v>50866290</v>
      </c>
    </row>
    <row r="886" spans="1:11">
      <c r="A886" s="42">
        <v>885</v>
      </c>
      <c r="B886" s="15">
        <v>1295800</v>
      </c>
      <c r="K886" s="15">
        <v>50982717</v>
      </c>
    </row>
    <row r="887" spans="1:11">
      <c r="A887" s="42">
        <v>886</v>
      </c>
      <c r="B887" s="15">
        <v>1297400</v>
      </c>
      <c r="K887" s="15">
        <v>51099283</v>
      </c>
    </row>
    <row r="888" spans="1:11">
      <c r="A888" s="42">
        <v>887</v>
      </c>
      <c r="B888" s="15">
        <v>1299000</v>
      </c>
      <c r="K888" s="15">
        <v>51215986</v>
      </c>
    </row>
    <row r="889" spans="1:11">
      <c r="A889" s="42">
        <v>888</v>
      </c>
      <c r="B889" s="15">
        <v>1300700</v>
      </c>
      <c r="K889" s="15">
        <v>51332828</v>
      </c>
    </row>
    <row r="890" spans="1:11">
      <c r="A890" s="42">
        <v>889</v>
      </c>
      <c r="B890" s="15">
        <v>1302300</v>
      </c>
      <c r="K890" s="15">
        <v>51449808</v>
      </c>
    </row>
    <row r="891" spans="1:11">
      <c r="A891" s="42">
        <v>890</v>
      </c>
      <c r="B891" s="15">
        <v>1304000</v>
      </c>
      <c r="K891" s="15">
        <v>51566926</v>
      </c>
    </row>
    <row r="892" spans="1:11">
      <c r="A892" s="42">
        <v>891</v>
      </c>
      <c r="B892" s="15">
        <v>1305600</v>
      </c>
      <c r="K892" s="15">
        <v>51684182</v>
      </c>
    </row>
    <row r="893" spans="1:11">
      <c r="A893" s="42">
        <v>892</v>
      </c>
      <c r="B893" s="15">
        <v>1307300</v>
      </c>
      <c r="K893" s="15">
        <v>51801576</v>
      </c>
    </row>
    <row r="894" spans="1:11">
      <c r="A894" s="42">
        <v>893</v>
      </c>
      <c r="B894" s="15">
        <v>1308900</v>
      </c>
      <c r="K894" s="15">
        <v>51919109</v>
      </c>
    </row>
    <row r="895" spans="1:11">
      <c r="A895" s="42">
        <v>894</v>
      </c>
      <c r="B895" s="15">
        <v>1310600</v>
      </c>
      <c r="K895" s="15">
        <v>52036779</v>
      </c>
    </row>
    <row r="896" spans="1:11">
      <c r="A896" s="42">
        <v>895</v>
      </c>
      <c r="B896" s="15">
        <v>1312200</v>
      </c>
      <c r="K896" s="15">
        <v>52154588</v>
      </c>
    </row>
    <row r="897" spans="1:11">
      <c r="A897" s="42">
        <v>896</v>
      </c>
      <c r="B897" s="15">
        <v>1313900</v>
      </c>
      <c r="K897" s="15">
        <v>52272536</v>
      </c>
    </row>
    <row r="898" spans="1:11">
      <c r="A898" s="42">
        <v>897</v>
      </c>
      <c r="B898" s="15">
        <v>1315500</v>
      </c>
      <c r="K898" s="15">
        <v>52390621</v>
      </c>
    </row>
    <row r="899" spans="1:11">
      <c r="A899" s="42">
        <v>898</v>
      </c>
      <c r="B899" s="15">
        <v>1317100</v>
      </c>
      <c r="K899" s="15">
        <v>52508845</v>
      </c>
    </row>
    <row r="900" spans="1:11">
      <c r="A900" s="42">
        <v>899</v>
      </c>
      <c r="B900" s="15">
        <v>1318800</v>
      </c>
      <c r="K900" s="15">
        <v>52627207</v>
      </c>
    </row>
    <row r="901" spans="1:11">
      <c r="A901" s="42">
        <v>900</v>
      </c>
      <c r="B901" s="15">
        <v>1320400</v>
      </c>
      <c r="K901" s="15">
        <v>52745707</v>
      </c>
    </row>
    <row r="902" spans="1:11">
      <c r="A902" s="42">
        <v>901</v>
      </c>
      <c r="B902" s="15">
        <v>1322100</v>
      </c>
      <c r="K902" s="15">
        <v>52864345</v>
      </c>
    </row>
    <row r="903" spans="1:11">
      <c r="A903" s="42">
        <v>902</v>
      </c>
      <c r="B903" s="15">
        <v>1323700</v>
      </c>
      <c r="K903" s="15">
        <v>52983122</v>
      </c>
    </row>
    <row r="904" spans="1:11">
      <c r="A904" s="42">
        <v>903</v>
      </c>
      <c r="B904" s="15">
        <v>1325400</v>
      </c>
      <c r="K904" s="15">
        <v>53102037</v>
      </c>
    </row>
    <row r="905" spans="1:11">
      <c r="A905" s="42">
        <v>904</v>
      </c>
      <c r="B905" s="15">
        <v>1327000</v>
      </c>
      <c r="K905" s="15">
        <v>53221091</v>
      </c>
    </row>
    <row r="906" spans="1:11">
      <c r="A906" s="42">
        <v>905</v>
      </c>
      <c r="B906" s="15">
        <v>1328700</v>
      </c>
      <c r="K906" s="15">
        <v>53340283</v>
      </c>
    </row>
    <row r="907" spans="1:11">
      <c r="A907" s="42">
        <v>906</v>
      </c>
      <c r="B907" s="15">
        <v>1330300</v>
      </c>
      <c r="K907" s="15">
        <v>53459613</v>
      </c>
    </row>
    <row r="908" spans="1:11">
      <c r="A908" s="42">
        <v>907</v>
      </c>
      <c r="B908" s="15">
        <v>1332000</v>
      </c>
      <c r="K908" s="15">
        <v>53579081</v>
      </c>
    </row>
    <row r="909" spans="1:11">
      <c r="A909" s="42">
        <v>908</v>
      </c>
      <c r="B909" s="15">
        <v>1333600</v>
      </c>
      <c r="K909" s="15">
        <v>53698688</v>
      </c>
    </row>
    <row r="910" spans="1:11">
      <c r="A910" s="42">
        <v>909</v>
      </c>
      <c r="B910" s="15">
        <v>1335300</v>
      </c>
      <c r="K910" s="15">
        <v>53818434</v>
      </c>
    </row>
    <row r="911" spans="1:11">
      <c r="A911" s="42">
        <v>910</v>
      </c>
      <c r="B911" s="15">
        <v>1336900</v>
      </c>
      <c r="K911" s="15">
        <v>53938317</v>
      </c>
    </row>
    <row r="912" spans="1:11">
      <c r="A912" s="42">
        <v>911</v>
      </c>
      <c r="B912" s="15">
        <v>1338600</v>
      </c>
      <c r="K912" s="15">
        <v>54058339</v>
      </c>
    </row>
    <row r="913" spans="1:11">
      <c r="A913" s="42">
        <v>912</v>
      </c>
      <c r="B913" s="15">
        <v>1340200</v>
      </c>
      <c r="K913" s="15">
        <v>54178500</v>
      </c>
    </row>
    <row r="914" spans="1:11">
      <c r="A914" s="42">
        <v>913</v>
      </c>
      <c r="B914" s="15">
        <v>1341900</v>
      </c>
      <c r="K914" s="15">
        <v>54298799</v>
      </c>
    </row>
    <row r="915" spans="1:11">
      <c r="A915" s="42">
        <v>914</v>
      </c>
      <c r="B915" s="15">
        <v>1343500</v>
      </c>
      <c r="K915" s="15">
        <v>54419236</v>
      </c>
    </row>
    <row r="916" spans="1:11">
      <c r="A916" s="42">
        <v>915</v>
      </c>
      <c r="B916" s="15">
        <v>1345200</v>
      </c>
      <c r="K916" s="15">
        <v>54539812</v>
      </c>
    </row>
    <row r="917" spans="1:11">
      <c r="A917" s="42">
        <v>916</v>
      </c>
      <c r="B917" s="15">
        <v>1346800</v>
      </c>
      <c r="K917" s="15">
        <v>54660526</v>
      </c>
    </row>
    <row r="918" spans="1:11">
      <c r="A918" s="42">
        <v>917</v>
      </c>
      <c r="B918" s="15">
        <v>1348500</v>
      </c>
      <c r="K918" s="15">
        <v>54781379</v>
      </c>
    </row>
    <row r="919" spans="1:11">
      <c r="A919" s="42">
        <v>918</v>
      </c>
      <c r="B919" s="15">
        <v>1350100</v>
      </c>
      <c r="K919" s="15">
        <v>54902370</v>
      </c>
    </row>
    <row r="920" spans="1:11">
      <c r="A920" s="42">
        <v>919</v>
      </c>
      <c r="B920" s="15">
        <v>1351800</v>
      </c>
      <c r="K920" s="15">
        <v>55023500</v>
      </c>
    </row>
    <row r="921" spans="1:11">
      <c r="A921" s="42">
        <v>920</v>
      </c>
      <c r="B921" s="15">
        <v>1353400</v>
      </c>
      <c r="K921" s="15">
        <v>55144768</v>
      </c>
    </row>
    <row r="922" spans="1:11">
      <c r="A922" s="42">
        <v>921</v>
      </c>
      <c r="B922" s="15">
        <v>1355100</v>
      </c>
      <c r="K922" s="15">
        <v>55266175</v>
      </c>
    </row>
    <row r="923" spans="1:11">
      <c r="A923" s="42">
        <v>922</v>
      </c>
      <c r="B923" s="15">
        <v>1356800</v>
      </c>
      <c r="K923" s="15">
        <v>55387720</v>
      </c>
    </row>
    <row r="924" spans="1:11">
      <c r="A924" s="42">
        <v>923</v>
      </c>
      <c r="B924" s="15">
        <v>1358400</v>
      </c>
      <c r="K924" s="15">
        <v>55509404</v>
      </c>
    </row>
    <row r="925" spans="1:11">
      <c r="A925" s="42">
        <v>924</v>
      </c>
      <c r="B925" s="15">
        <v>1360100</v>
      </c>
      <c r="K925" s="15">
        <v>55631227</v>
      </c>
    </row>
    <row r="926" spans="1:11">
      <c r="A926" s="42">
        <v>925</v>
      </c>
      <c r="B926" s="15">
        <v>1361700</v>
      </c>
      <c r="K926" s="15">
        <v>55753188</v>
      </c>
    </row>
    <row r="927" spans="1:11">
      <c r="A927" s="42">
        <v>926</v>
      </c>
      <c r="B927" s="15">
        <v>1363400</v>
      </c>
      <c r="K927" s="15">
        <v>55875287</v>
      </c>
    </row>
    <row r="928" spans="1:11">
      <c r="A928" s="42">
        <v>927</v>
      </c>
      <c r="B928" s="15">
        <v>1365000</v>
      </c>
      <c r="K928" s="15">
        <v>55997525</v>
      </c>
    </row>
    <row r="929" spans="1:11">
      <c r="A929" s="42">
        <v>928</v>
      </c>
      <c r="B929" s="15">
        <v>1366700</v>
      </c>
      <c r="K929" s="15">
        <v>56119902</v>
      </c>
    </row>
    <row r="930" spans="1:11">
      <c r="A930" s="42">
        <v>929</v>
      </c>
      <c r="B930" s="15">
        <v>1368300</v>
      </c>
      <c r="K930" s="15">
        <v>56242418</v>
      </c>
    </row>
    <row r="931" spans="1:11">
      <c r="A931" s="42">
        <v>930</v>
      </c>
      <c r="B931" s="15">
        <v>1370000</v>
      </c>
      <c r="K931" s="15">
        <v>56365072</v>
      </c>
    </row>
    <row r="932" spans="1:11">
      <c r="A932" s="42">
        <v>931</v>
      </c>
      <c r="B932" s="15">
        <v>1371600</v>
      </c>
      <c r="K932" s="15">
        <v>56487864</v>
      </c>
    </row>
    <row r="933" spans="1:11">
      <c r="A933" s="42">
        <v>932</v>
      </c>
      <c r="B933" s="15">
        <v>1373300</v>
      </c>
      <c r="K933" s="15">
        <v>56610796</v>
      </c>
    </row>
    <row r="934" spans="1:11">
      <c r="A934" s="42">
        <v>933</v>
      </c>
      <c r="B934" s="15">
        <v>1375000</v>
      </c>
      <c r="K934" s="15">
        <v>56733865</v>
      </c>
    </row>
    <row r="935" spans="1:11">
      <c r="A935" s="42">
        <v>934</v>
      </c>
      <c r="B935" s="15">
        <v>1376600</v>
      </c>
      <c r="K935" s="15">
        <v>56857074</v>
      </c>
    </row>
    <row r="936" spans="1:11">
      <c r="A936" s="42">
        <v>935</v>
      </c>
      <c r="B936" s="15">
        <v>1378300</v>
      </c>
      <c r="K936" s="15">
        <v>56980421</v>
      </c>
    </row>
    <row r="937" spans="1:11">
      <c r="A937" s="42">
        <v>936</v>
      </c>
      <c r="B937" s="15">
        <v>1379900</v>
      </c>
      <c r="K937" s="15">
        <v>57103907</v>
      </c>
    </row>
    <row r="938" spans="1:11">
      <c r="A938" s="42">
        <v>937</v>
      </c>
      <c r="B938" s="15">
        <v>1381600</v>
      </c>
      <c r="K938" s="15">
        <v>57227532</v>
      </c>
    </row>
    <row r="939" spans="1:11">
      <c r="A939" s="42">
        <v>938</v>
      </c>
      <c r="B939" s="15">
        <v>1383200</v>
      </c>
      <c r="K939" s="15">
        <v>57351296</v>
      </c>
    </row>
    <row r="940" spans="1:11">
      <c r="A940" s="42">
        <v>939</v>
      </c>
      <c r="B940" s="15">
        <v>1384900</v>
      </c>
      <c r="K940" s="15">
        <v>57475198</v>
      </c>
    </row>
    <row r="941" spans="1:11">
      <c r="A941" s="42">
        <v>940</v>
      </c>
      <c r="B941" s="15">
        <v>1386600</v>
      </c>
      <c r="K941" s="15">
        <v>57599239</v>
      </c>
    </row>
    <row r="942" spans="1:11">
      <c r="A942" s="42">
        <v>941</v>
      </c>
      <c r="B942" s="15">
        <v>1388200</v>
      </c>
      <c r="K942" s="15">
        <v>57723418</v>
      </c>
    </row>
    <row r="943" spans="1:11">
      <c r="A943" s="42">
        <v>942</v>
      </c>
      <c r="B943" s="15">
        <v>1389900</v>
      </c>
      <c r="K943" s="15">
        <v>57847737</v>
      </c>
    </row>
    <row r="944" spans="1:11">
      <c r="A944" s="42">
        <v>943</v>
      </c>
      <c r="B944" s="15">
        <v>1391500</v>
      </c>
      <c r="K944" s="15">
        <v>57972194</v>
      </c>
    </row>
    <row r="945" spans="1:11">
      <c r="A945" s="42">
        <v>944</v>
      </c>
      <c r="B945" s="15">
        <v>1393200</v>
      </c>
      <c r="K945" s="15">
        <v>58096790</v>
      </c>
    </row>
    <row r="946" spans="1:11">
      <c r="A946" s="42">
        <v>945</v>
      </c>
      <c r="B946" s="15">
        <v>1394800</v>
      </c>
      <c r="K946" s="15">
        <v>58221525</v>
      </c>
    </row>
    <row r="947" spans="1:11">
      <c r="A947" s="42">
        <v>946</v>
      </c>
      <c r="B947" s="15">
        <v>1396500</v>
      </c>
      <c r="K947" s="15">
        <v>58346398</v>
      </c>
    </row>
    <row r="948" spans="1:11">
      <c r="A948" s="42">
        <v>947</v>
      </c>
      <c r="B948" s="15">
        <v>1398200</v>
      </c>
      <c r="K948" s="15">
        <v>58471410</v>
      </c>
    </row>
    <row r="949" spans="1:11">
      <c r="A949" s="42">
        <v>948</v>
      </c>
      <c r="B949" s="15">
        <v>1399800</v>
      </c>
      <c r="K949" s="15">
        <v>58596562</v>
      </c>
    </row>
    <row r="950" spans="1:11">
      <c r="A950" s="42">
        <v>949</v>
      </c>
      <c r="B950" s="15">
        <v>1401500</v>
      </c>
      <c r="K950" s="15">
        <v>58721852</v>
      </c>
    </row>
    <row r="951" spans="1:11">
      <c r="A951" s="42">
        <v>950</v>
      </c>
      <c r="B951" s="15">
        <v>1403100</v>
      </c>
      <c r="K951" s="15">
        <v>58847281</v>
      </c>
    </row>
    <row r="952" spans="1:11">
      <c r="A952" s="42">
        <v>951</v>
      </c>
      <c r="B952" s="15">
        <v>1404800</v>
      </c>
      <c r="K952" s="15">
        <v>58972848</v>
      </c>
    </row>
    <row r="953" spans="1:11">
      <c r="A953" s="42">
        <v>952</v>
      </c>
      <c r="B953" s="15">
        <v>1406500</v>
      </c>
      <c r="K953" s="15">
        <v>59098555</v>
      </c>
    </row>
    <row r="954" spans="1:11">
      <c r="A954" s="42">
        <v>953</v>
      </c>
      <c r="B954" s="15">
        <v>1408100</v>
      </c>
      <c r="K954" s="15">
        <v>59224401</v>
      </c>
    </row>
    <row r="955" spans="1:11">
      <c r="A955" s="42">
        <v>954</v>
      </c>
      <c r="B955" s="15">
        <v>1409800</v>
      </c>
      <c r="K955" s="15">
        <v>59350385</v>
      </c>
    </row>
    <row r="956" spans="1:11">
      <c r="A956" s="42">
        <v>955</v>
      </c>
      <c r="B956" s="15">
        <v>1411400</v>
      </c>
      <c r="K956" s="15">
        <v>59476508</v>
      </c>
    </row>
    <row r="957" spans="1:11">
      <c r="A957" s="42">
        <v>956</v>
      </c>
      <c r="B957" s="15">
        <v>1413100</v>
      </c>
      <c r="K957" s="15">
        <v>59602771</v>
      </c>
    </row>
    <row r="958" spans="1:11">
      <c r="A958" s="42">
        <v>957</v>
      </c>
      <c r="B958" s="15">
        <v>1414800</v>
      </c>
      <c r="K958" s="15">
        <v>59729172</v>
      </c>
    </row>
    <row r="959" spans="1:11">
      <c r="A959" s="42">
        <v>958</v>
      </c>
      <c r="B959" s="15">
        <v>1416400</v>
      </c>
      <c r="K959" s="15">
        <v>59855712</v>
      </c>
    </row>
    <row r="960" spans="1:11">
      <c r="A960" s="42">
        <v>959</v>
      </c>
      <c r="B960" s="15">
        <v>1418100</v>
      </c>
      <c r="K960" s="15">
        <v>59982391</v>
      </c>
    </row>
    <row r="961" spans="1:11">
      <c r="A961" s="42">
        <v>960</v>
      </c>
      <c r="B961" s="15">
        <v>1419800</v>
      </c>
      <c r="K961" s="15">
        <v>60109209</v>
      </c>
    </row>
    <row r="962" spans="1:11">
      <c r="A962" s="42">
        <v>961</v>
      </c>
      <c r="B962" s="15">
        <v>1421400</v>
      </c>
      <c r="K962" s="15">
        <v>60236166</v>
      </c>
    </row>
    <row r="963" spans="1:11">
      <c r="A963" s="42">
        <v>962</v>
      </c>
      <c r="B963" s="15">
        <v>1423100</v>
      </c>
      <c r="K963" s="15">
        <v>60363262</v>
      </c>
    </row>
    <row r="964" spans="1:11">
      <c r="A964" s="42">
        <v>963</v>
      </c>
      <c r="B964" s="15">
        <v>1424700</v>
      </c>
      <c r="K964" s="15">
        <v>60490497</v>
      </c>
    </row>
    <row r="965" spans="1:11">
      <c r="A965" s="42">
        <v>964</v>
      </c>
      <c r="B965" s="15">
        <v>1426400</v>
      </c>
      <c r="K965" s="15">
        <v>60617871</v>
      </c>
    </row>
    <row r="966" spans="1:11">
      <c r="A966" s="42">
        <v>965</v>
      </c>
      <c r="B966" s="15">
        <v>1428100</v>
      </c>
      <c r="K966" s="15">
        <v>60745384</v>
      </c>
    </row>
    <row r="967" spans="1:11">
      <c r="A967" s="42">
        <v>966</v>
      </c>
      <c r="B967" s="15">
        <v>1429700</v>
      </c>
      <c r="K967" s="15">
        <v>60873036</v>
      </c>
    </row>
    <row r="968" spans="1:11">
      <c r="A968" s="42">
        <v>967</v>
      </c>
      <c r="B968" s="15">
        <v>1431400</v>
      </c>
      <c r="K968" s="15">
        <v>61000827</v>
      </c>
    </row>
    <row r="969" spans="1:11">
      <c r="A969" s="42">
        <v>968</v>
      </c>
      <c r="B969" s="15">
        <v>1433100</v>
      </c>
      <c r="K969" s="15">
        <v>61128757</v>
      </c>
    </row>
    <row r="970" spans="1:11">
      <c r="A970" s="42">
        <v>969</v>
      </c>
      <c r="B970" s="15">
        <v>1434700</v>
      </c>
      <c r="K970" s="15">
        <v>61256826</v>
      </c>
    </row>
    <row r="971" spans="1:11">
      <c r="A971" s="42">
        <v>970</v>
      </c>
      <c r="B971" s="15">
        <v>1436400</v>
      </c>
      <c r="K971" s="15">
        <v>61385035</v>
      </c>
    </row>
    <row r="972" spans="1:11">
      <c r="A972" s="42">
        <v>971</v>
      </c>
      <c r="B972" s="15">
        <v>1438100</v>
      </c>
      <c r="K972" s="15">
        <v>61513382</v>
      </c>
    </row>
    <row r="973" spans="1:11">
      <c r="A973" s="42">
        <v>972</v>
      </c>
      <c r="B973" s="15">
        <v>1439700</v>
      </c>
      <c r="K973" s="15">
        <v>61641868</v>
      </c>
    </row>
    <row r="974" spans="1:11">
      <c r="A974" s="42">
        <v>973</v>
      </c>
      <c r="B974" s="15">
        <v>1441400</v>
      </c>
      <c r="K974" s="15">
        <v>61770494</v>
      </c>
    </row>
    <row r="975" spans="1:11">
      <c r="A975" s="42">
        <v>974</v>
      </c>
      <c r="B975" s="15">
        <v>1443100</v>
      </c>
      <c r="K975" s="15">
        <v>61899259</v>
      </c>
    </row>
    <row r="976" spans="1:11">
      <c r="A976" s="42">
        <v>975</v>
      </c>
      <c r="B976" s="15">
        <v>1444700</v>
      </c>
      <c r="K976" s="15">
        <v>62028163</v>
      </c>
    </row>
    <row r="977" spans="1:11">
      <c r="A977" s="42">
        <v>976</v>
      </c>
      <c r="B977" s="15">
        <v>1446400</v>
      </c>
      <c r="K977" s="15">
        <v>62157205</v>
      </c>
    </row>
    <row r="978" spans="1:11">
      <c r="A978" s="42">
        <v>977</v>
      </c>
      <c r="B978" s="15">
        <v>1448000</v>
      </c>
      <c r="K978" s="15">
        <v>62286388</v>
      </c>
    </row>
    <row r="979" spans="1:11">
      <c r="A979" s="42">
        <v>978</v>
      </c>
      <c r="B979" s="15">
        <v>1449700</v>
      </c>
      <c r="K979" s="15">
        <v>62415709</v>
      </c>
    </row>
    <row r="980" spans="1:11">
      <c r="A980" s="42">
        <v>979</v>
      </c>
      <c r="B980" s="15">
        <v>1451400</v>
      </c>
      <c r="K980" s="15">
        <v>62545169</v>
      </c>
    </row>
    <row r="981" spans="1:11">
      <c r="A981" s="42">
        <v>980</v>
      </c>
      <c r="B981" s="15">
        <v>1453000</v>
      </c>
      <c r="K981" s="15">
        <v>62674769</v>
      </c>
    </row>
    <row r="982" spans="1:11">
      <c r="A982" s="42">
        <v>981</v>
      </c>
      <c r="B982" s="15">
        <v>1454700</v>
      </c>
      <c r="K982" s="15">
        <v>62804508</v>
      </c>
    </row>
    <row r="983" spans="1:11">
      <c r="A983" s="42">
        <v>982</v>
      </c>
      <c r="B983" s="15">
        <v>1456400</v>
      </c>
      <c r="K983" s="15">
        <v>62934386</v>
      </c>
    </row>
    <row r="984" spans="1:11">
      <c r="A984" s="42">
        <v>983</v>
      </c>
      <c r="B984" s="15">
        <v>1458100</v>
      </c>
      <c r="K984" s="15">
        <v>63064403</v>
      </c>
    </row>
    <row r="985" spans="1:11">
      <c r="A985" s="42">
        <v>984</v>
      </c>
      <c r="B985" s="15">
        <v>1459700</v>
      </c>
      <c r="K985" s="15">
        <v>63194559</v>
      </c>
    </row>
    <row r="986" spans="1:11">
      <c r="A986" s="42">
        <v>985</v>
      </c>
      <c r="B986" s="15">
        <v>1461400</v>
      </c>
      <c r="K986" s="15">
        <v>63324855</v>
      </c>
    </row>
    <row r="987" spans="1:11">
      <c r="A987" s="42">
        <v>986</v>
      </c>
      <c r="B987" s="15">
        <v>1463100</v>
      </c>
      <c r="K987" s="15">
        <v>63455290</v>
      </c>
    </row>
    <row r="988" spans="1:11">
      <c r="A988" s="42">
        <v>987</v>
      </c>
      <c r="B988" s="15">
        <v>1464700</v>
      </c>
      <c r="K988" s="15">
        <v>63585864</v>
      </c>
    </row>
    <row r="989" spans="1:11">
      <c r="A989" s="42">
        <v>988</v>
      </c>
      <c r="B989" s="15">
        <v>1466400</v>
      </c>
      <c r="K989" s="15">
        <v>63716578</v>
      </c>
    </row>
    <row r="990" spans="1:11">
      <c r="A990" s="42">
        <v>989</v>
      </c>
      <c r="B990" s="15">
        <v>1468100</v>
      </c>
      <c r="K990" s="15">
        <v>63847430</v>
      </c>
    </row>
    <row r="991" spans="1:11">
      <c r="A991" s="42">
        <v>990</v>
      </c>
      <c r="B991" s="15">
        <v>1469700</v>
      </c>
      <c r="K991" s="15">
        <v>63978422</v>
      </c>
    </row>
    <row r="992" spans="1:11">
      <c r="A992" s="42">
        <v>991</v>
      </c>
      <c r="B992" s="15">
        <v>1471400</v>
      </c>
      <c r="K992" s="15">
        <v>64109554</v>
      </c>
    </row>
    <row r="993" spans="1:11">
      <c r="A993" s="42">
        <v>992</v>
      </c>
      <c r="B993" s="15">
        <v>1473100</v>
      </c>
      <c r="K993" s="15">
        <v>64240824</v>
      </c>
    </row>
    <row r="994" spans="1:11">
      <c r="A994" s="42">
        <v>993</v>
      </c>
      <c r="B994" s="15">
        <v>1474700</v>
      </c>
      <c r="K994" s="15">
        <v>64372234</v>
      </c>
    </row>
    <row r="995" spans="1:11">
      <c r="A995" s="42">
        <v>994</v>
      </c>
      <c r="B995" s="15">
        <v>1476400</v>
      </c>
      <c r="K995" s="15">
        <v>64503784</v>
      </c>
    </row>
    <row r="996" spans="1:11">
      <c r="A996" s="42">
        <v>995</v>
      </c>
      <c r="B996" s="15">
        <v>1478100</v>
      </c>
      <c r="K996" s="15">
        <v>64635472</v>
      </c>
    </row>
    <row r="997" spans="1:11">
      <c r="A997" s="42">
        <v>996</v>
      </c>
      <c r="B997" s="15">
        <v>1479800</v>
      </c>
      <c r="K997" s="15">
        <v>64767300</v>
      </c>
    </row>
    <row r="998" spans="1:11">
      <c r="A998" s="42">
        <v>997</v>
      </c>
      <c r="B998" s="15">
        <v>1481400</v>
      </c>
      <c r="K998" s="15">
        <v>64899268</v>
      </c>
    </row>
    <row r="999" spans="1:11">
      <c r="A999" s="42">
        <v>998</v>
      </c>
      <c r="B999" s="15">
        <v>1483100</v>
      </c>
      <c r="K999" s="15">
        <v>65031374</v>
      </c>
    </row>
    <row r="1000" spans="1:11">
      <c r="A1000" s="42">
        <v>999</v>
      </c>
      <c r="B1000" s="15">
        <v>1484800</v>
      </c>
      <c r="K1000" s="15">
        <v>65163620</v>
      </c>
    </row>
    <row r="1001" spans="1:11">
      <c r="A1001" s="42">
        <v>1000</v>
      </c>
      <c r="B1001" s="15">
        <v>1486400</v>
      </c>
      <c r="K1001" s="15">
        <v>65296006</v>
      </c>
    </row>
  </sheetData>
  <phoneticPr fontId="1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H22" sqref="A1:H22"/>
    </sheetView>
  </sheetViews>
  <sheetFormatPr defaultRowHeight="13.5"/>
  <sheetData>
    <row r="1" spans="1:1">
      <c r="A1">
        <v>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26"/>
  <sheetViews>
    <sheetView workbookViewId="0">
      <selection activeCell="A5" sqref="A5:XFD5"/>
    </sheetView>
  </sheetViews>
  <sheetFormatPr defaultRowHeight="13.5"/>
  <cols>
    <col min="1" max="1" width="13" bestFit="1" customWidth="1"/>
    <col min="2" max="2" width="8.25" bestFit="1" customWidth="1"/>
    <col min="3" max="3" width="17.25" bestFit="1" customWidth="1"/>
    <col min="4" max="4" width="21.625" style="28" bestFit="1" customWidth="1"/>
  </cols>
  <sheetData>
    <row r="1" spans="1:17">
      <c r="D1" s="28" t="s">
        <v>59</v>
      </c>
    </row>
    <row r="2" spans="1:17">
      <c r="A2" t="s">
        <v>60</v>
      </c>
      <c r="B2" t="s">
        <v>61</v>
      </c>
      <c r="C2" t="s">
        <v>62</v>
      </c>
      <c r="D2" s="28">
        <v>1</v>
      </c>
      <c r="I2" t="s">
        <v>83</v>
      </c>
      <c r="N2" s="19"/>
      <c r="O2" s="19"/>
      <c r="P2" s="18"/>
      <c r="Q2" s="18"/>
    </row>
    <row r="3" spans="1:17">
      <c r="A3" t="s">
        <v>63</v>
      </c>
      <c r="B3" t="s">
        <v>64</v>
      </c>
      <c r="C3" t="s">
        <v>65</v>
      </c>
      <c r="D3" s="28" t="s">
        <v>66</v>
      </c>
      <c r="I3" t="s">
        <v>87</v>
      </c>
      <c r="J3" t="s">
        <v>88</v>
      </c>
      <c r="N3" s="20"/>
      <c r="O3" s="20"/>
      <c r="P3" s="18"/>
      <c r="Q3" s="18"/>
    </row>
    <row r="4" spans="1:17">
      <c r="A4" t="s">
        <v>67</v>
      </c>
      <c r="B4" t="s">
        <v>433</v>
      </c>
      <c r="C4" t="s">
        <v>68</v>
      </c>
      <c r="D4" s="28" t="s">
        <v>69</v>
      </c>
      <c r="J4" s="21">
        <v>3</v>
      </c>
      <c r="K4" s="21" t="s">
        <v>91</v>
      </c>
      <c r="L4" s="21">
        <v>10</v>
      </c>
      <c r="M4" s="21" t="s">
        <v>92</v>
      </c>
      <c r="N4" s="18"/>
      <c r="O4" s="18"/>
      <c r="P4" s="18"/>
      <c r="Q4" s="18"/>
    </row>
    <row r="5" spans="1:17">
      <c r="A5" t="s">
        <v>70</v>
      </c>
      <c r="B5" t="s">
        <v>61</v>
      </c>
      <c r="C5" t="s">
        <v>71</v>
      </c>
      <c r="D5" s="28" t="s">
        <v>72</v>
      </c>
      <c r="J5" s="21">
        <v>4</v>
      </c>
      <c r="K5" s="21" t="s">
        <v>95</v>
      </c>
      <c r="L5" s="21">
        <v>20</v>
      </c>
      <c r="M5" s="21" t="s">
        <v>96</v>
      </c>
      <c r="N5" s="18"/>
      <c r="O5" s="18"/>
      <c r="P5" s="18"/>
      <c r="Q5" s="18"/>
    </row>
    <row r="6" spans="1:17">
      <c r="A6" t="s">
        <v>73</v>
      </c>
      <c r="B6" t="s">
        <v>61</v>
      </c>
      <c r="C6" t="s">
        <v>74</v>
      </c>
      <c r="D6" s="28" t="s">
        <v>75</v>
      </c>
      <c r="J6" s="21">
        <v>5</v>
      </c>
      <c r="K6" s="21" t="s">
        <v>99</v>
      </c>
      <c r="L6" s="21">
        <v>30</v>
      </c>
      <c r="M6" s="21" t="s">
        <v>100</v>
      </c>
      <c r="N6" s="18"/>
      <c r="O6" s="18"/>
      <c r="P6" s="18"/>
      <c r="Q6" s="18"/>
    </row>
    <row r="7" spans="1:17">
      <c r="A7" t="s">
        <v>76</v>
      </c>
      <c r="B7" t="s">
        <v>64</v>
      </c>
      <c r="C7" t="s">
        <v>77</v>
      </c>
      <c r="D7" s="28" t="s">
        <v>78</v>
      </c>
      <c r="H7" s="23"/>
      <c r="J7" s="21">
        <v>6</v>
      </c>
      <c r="K7" s="21" t="s">
        <v>101</v>
      </c>
      <c r="L7" s="21">
        <v>40</v>
      </c>
      <c r="M7" s="21" t="s">
        <v>102</v>
      </c>
      <c r="N7" s="18"/>
      <c r="O7" s="18"/>
      <c r="P7" s="18"/>
      <c r="Q7" s="18"/>
    </row>
    <row r="8" spans="1:17">
      <c r="A8" t="s">
        <v>79</v>
      </c>
      <c r="B8" t="s">
        <v>80</v>
      </c>
      <c r="C8" s="19" t="s">
        <v>81</v>
      </c>
      <c r="D8" s="20" t="s">
        <v>82</v>
      </c>
      <c r="J8" s="18" t="s">
        <v>103</v>
      </c>
      <c r="K8" s="19"/>
      <c r="L8" s="20"/>
      <c r="M8" s="20"/>
      <c r="N8" s="18"/>
      <c r="O8" s="18"/>
    </row>
    <row r="9" spans="1:17">
      <c r="A9" t="s">
        <v>84</v>
      </c>
      <c r="B9" t="s">
        <v>64</v>
      </c>
      <c r="C9" s="19" t="s">
        <v>85</v>
      </c>
      <c r="D9" s="19" t="s">
        <v>86</v>
      </c>
    </row>
    <row r="10" spans="1:17">
      <c r="A10" t="s">
        <v>89</v>
      </c>
      <c r="B10" t="s">
        <v>64</v>
      </c>
      <c r="C10" s="19" t="s">
        <v>48</v>
      </c>
      <c r="D10" s="20" t="s">
        <v>90</v>
      </c>
    </row>
    <row r="11" spans="1:17">
      <c r="A11" t="s">
        <v>93</v>
      </c>
      <c r="B11" t="s">
        <v>61</v>
      </c>
      <c r="C11" t="s">
        <v>94</v>
      </c>
      <c r="D11" s="28">
        <v>9001</v>
      </c>
      <c r="I11" t="s">
        <v>137</v>
      </c>
    </row>
    <row r="12" spans="1:17">
      <c r="A12" t="s">
        <v>97</v>
      </c>
      <c r="B12" t="s">
        <v>61</v>
      </c>
      <c r="C12" t="s">
        <v>98</v>
      </c>
      <c r="D12" s="28">
        <v>100</v>
      </c>
      <c r="I12">
        <v>1</v>
      </c>
      <c r="J12" t="s">
        <v>126</v>
      </c>
      <c r="K12" t="s">
        <v>128</v>
      </c>
      <c r="L12" t="s">
        <v>131</v>
      </c>
    </row>
    <row r="13" spans="1:17">
      <c r="A13" t="s">
        <v>106</v>
      </c>
      <c r="B13" t="s">
        <v>61</v>
      </c>
      <c r="C13" s="16" t="s">
        <v>104</v>
      </c>
      <c r="D13" s="22" t="s">
        <v>108</v>
      </c>
      <c r="E13" s="22"/>
      <c r="F13" s="23"/>
      <c r="G13" s="23"/>
      <c r="I13">
        <v>2</v>
      </c>
      <c r="J13" t="s">
        <v>127</v>
      </c>
      <c r="K13" t="s">
        <v>130</v>
      </c>
      <c r="L13" t="s">
        <v>132</v>
      </c>
    </row>
    <row r="14" spans="1:17">
      <c r="A14" t="s">
        <v>107</v>
      </c>
      <c r="B14" t="s">
        <v>61</v>
      </c>
      <c r="C14" s="16" t="s">
        <v>105</v>
      </c>
      <c r="D14" s="22" t="s">
        <v>109</v>
      </c>
      <c r="E14" s="22"/>
      <c r="I14">
        <v>3</v>
      </c>
      <c r="J14" t="s">
        <v>125</v>
      </c>
      <c r="K14" t="s">
        <v>129</v>
      </c>
      <c r="L14" t="s">
        <v>133</v>
      </c>
    </row>
    <row r="15" spans="1:17">
      <c r="A15" t="s">
        <v>135</v>
      </c>
      <c r="B15" t="s">
        <v>136</v>
      </c>
      <c r="C15" s="19" t="s">
        <v>134</v>
      </c>
      <c r="D15" s="22" t="s">
        <v>138</v>
      </c>
      <c r="E15" s="22"/>
    </row>
    <row r="16" spans="1:17">
      <c r="A16" t="s">
        <v>142</v>
      </c>
      <c r="C16" s="17" t="s">
        <v>51</v>
      </c>
      <c r="D16" s="29" t="s">
        <v>54</v>
      </c>
      <c r="E16" s="22"/>
    </row>
    <row r="17" spans="1:5">
      <c r="A17" t="s">
        <v>139</v>
      </c>
      <c r="C17" s="17" t="s">
        <v>119</v>
      </c>
      <c r="D17" s="29" t="s">
        <v>120</v>
      </c>
      <c r="E17" s="22"/>
    </row>
    <row r="18" spans="1:5">
      <c r="A18" t="s">
        <v>140</v>
      </c>
      <c r="C18" s="16" t="s">
        <v>124</v>
      </c>
      <c r="D18" s="22" t="s">
        <v>141</v>
      </c>
      <c r="E18" s="22"/>
    </row>
    <row r="19" spans="1:5">
      <c r="A19" t="s">
        <v>147</v>
      </c>
      <c r="B19" t="s">
        <v>149</v>
      </c>
      <c r="C19" s="25" t="s">
        <v>143</v>
      </c>
      <c r="D19" s="30" t="s">
        <v>144</v>
      </c>
      <c r="E19" s="22"/>
    </row>
    <row r="20" spans="1:5">
      <c r="A20" t="s">
        <v>148</v>
      </c>
      <c r="B20" t="s">
        <v>150</v>
      </c>
      <c r="C20" s="26" t="s">
        <v>145</v>
      </c>
      <c r="D20" s="26" t="s">
        <v>146</v>
      </c>
    </row>
    <row r="21" spans="1:5">
      <c r="A21" t="s">
        <v>153</v>
      </c>
      <c r="B21" t="s">
        <v>151</v>
      </c>
      <c r="C21" t="s">
        <v>154</v>
      </c>
      <c r="D21" s="19" t="s">
        <v>152</v>
      </c>
    </row>
    <row r="22" spans="1:5">
      <c r="A22" t="s">
        <v>155</v>
      </c>
      <c r="B22" t="s">
        <v>151</v>
      </c>
      <c r="C22" s="19" t="s">
        <v>157</v>
      </c>
      <c r="D22" s="28">
        <v>10</v>
      </c>
    </row>
    <row r="23" spans="1:5">
      <c r="A23" t="s">
        <v>156</v>
      </c>
      <c r="B23" t="s">
        <v>151</v>
      </c>
      <c r="C23" s="19" t="s">
        <v>158</v>
      </c>
      <c r="D23" s="28">
        <v>8</v>
      </c>
    </row>
    <row r="24" spans="1:5">
      <c r="A24" t="s">
        <v>159</v>
      </c>
      <c r="B24" t="s">
        <v>151</v>
      </c>
      <c r="C24" s="19" t="s">
        <v>160</v>
      </c>
      <c r="D24" s="28">
        <v>20</v>
      </c>
    </row>
    <row r="25" spans="1:5">
      <c r="A25" t="s">
        <v>205</v>
      </c>
      <c r="B25" t="s">
        <v>206</v>
      </c>
      <c r="C25" s="19" t="s">
        <v>432</v>
      </c>
      <c r="D25" s="28">
        <v>1.2</v>
      </c>
    </row>
    <row r="26" spans="1:5">
      <c r="A26" t="s">
        <v>431</v>
      </c>
      <c r="B26" t="s">
        <v>434</v>
      </c>
      <c r="C26" t="s">
        <v>435</v>
      </c>
      <c r="D26" s="28">
        <v>1</v>
      </c>
    </row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3"/>
  <sheetViews>
    <sheetView workbookViewId="0">
      <selection activeCell="F19" sqref="F19"/>
    </sheetView>
  </sheetViews>
  <sheetFormatPr defaultRowHeight="13.5"/>
  <cols>
    <col min="1" max="1" width="12.75" bestFit="1" customWidth="1"/>
    <col min="2" max="2" width="13.875" bestFit="1" customWidth="1"/>
    <col min="3" max="3" width="52.75" bestFit="1" customWidth="1"/>
    <col min="4" max="4" width="13.875" bestFit="1" customWidth="1"/>
  </cols>
  <sheetData>
    <row r="1" spans="1:4">
      <c r="A1" t="s">
        <v>239</v>
      </c>
      <c r="B1" t="s">
        <v>240</v>
      </c>
      <c r="C1" t="s">
        <v>241</v>
      </c>
      <c r="D1" t="s">
        <v>242</v>
      </c>
    </row>
    <row r="2" spans="1:4">
      <c r="A2">
        <v>11</v>
      </c>
      <c r="B2" s="15" t="s">
        <v>494</v>
      </c>
      <c r="C2" s="15" t="s">
        <v>495</v>
      </c>
      <c r="D2">
        <v>30</v>
      </c>
    </row>
    <row r="3" spans="1:4">
      <c r="A3">
        <v>11</v>
      </c>
      <c r="B3" s="15" t="s">
        <v>493</v>
      </c>
      <c r="C3" s="15" t="s">
        <v>496</v>
      </c>
      <c r="D3">
        <v>30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G10"/>
  <sheetViews>
    <sheetView topLeftCell="A4" workbookViewId="0">
      <selection activeCell="G14" sqref="G14"/>
    </sheetView>
  </sheetViews>
  <sheetFormatPr defaultRowHeight="13.5"/>
  <cols>
    <col min="1" max="1" width="32.7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>
      <c r="A1" s="16">
        <v>1</v>
      </c>
      <c r="B1" s="16">
        <v>2</v>
      </c>
      <c r="C1" s="16">
        <v>3</v>
      </c>
      <c r="D1" s="16">
        <v>4</v>
      </c>
      <c r="E1" s="16">
        <v>5</v>
      </c>
      <c r="F1" s="16">
        <v>6</v>
      </c>
      <c r="G1" s="16">
        <v>7</v>
      </c>
    </row>
    <row r="2" spans="1:7">
      <c r="A2" t="s">
        <v>271</v>
      </c>
      <c r="B2" t="s">
        <v>271</v>
      </c>
      <c r="C2" s="16"/>
      <c r="D2" s="16"/>
      <c r="E2" s="16"/>
      <c r="F2" s="16"/>
      <c r="G2" s="16" t="s">
        <v>3</v>
      </c>
    </row>
    <row r="3" spans="1:7">
      <c r="A3" t="s">
        <v>239</v>
      </c>
      <c r="B3" t="s">
        <v>239</v>
      </c>
      <c r="C3" s="16"/>
      <c r="D3" s="16"/>
      <c r="E3" s="16"/>
      <c r="F3" s="16"/>
      <c r="G3" s="16" t="s">
        <v>3</v>
      </c>
    </row>
    <row r="4" spans="1:7">
      <c r="A4" t="s">
        <v>311</v>
      </c>
      <c r="B4" t="s">
        <v>272</v>
      </c>
      <c r="C4" s="16"/>
      <c r="D4" s="16"/>
      <c r="E4" s="16"/>
      <c r="F4" s="16"/>
      <c r="G4" s="16" t="s">
        <v>3</v>
      </c>
    </row>
    <row r="5" spans="1:7">
      <c r="A5" t="s">
        <v>275</v>
      </c>
      <c r="B5" t="s">
        <v>275</v>
      </c>
      <c r="C5" s="16"/>
      <c r="D5" s="16"/>
      <c r="E5" s="16"/>
      <c r="F5" s="16"/>
      <c r="G5" s="16" t="s">
        <v>3</v>
      </c>
    </row>
    <row r="6" spans="1:7">
      <c r="A6" t="s">
        <v>271</v>
      </c>
      <c r="B6" s="16"/>
      <c r="C6" s="16"/>
      <c r="D6" s="16"/>
      <c r="E6" s="16"/>
      <c r="F6" s="16"/>
      <c r="G6" s="16" t="s">
        <v>8</v>
      </c>
    </row>
    <row r="7" spans="1:7">
      <c r="A7" t="s">
        <v>283</v>
      </c>
      <c r="B7" s="16"/>
      <c r="C7" s="16"/>
      <c r="D7" s="16"/>
      <c r="E7" s="16"/>
      <c r="F7" s="16"/>
      <c r="G7" s="16" t="s">
        <v>4</v>
      </c>
    </row>
    <row r="8" spans="1:7">
      <c r="A8" s="39" t="s">
        <v>282</v>
      </c>
      <c r="B8" s="39"/>
      <c r="C8" s="39"/>
      <c r="D8" s="39"/>
      <c r="E8" s="39"/>
      <c r="F8" s="39"/>
      <c r="G8" s="39" t="s">
        <v>32</v>
      </c>
    </row>
    <row r="9" spans="1:7">
      <c r="A9" t="s">
        <v>309</v>
      </c>
      <c r="B9" t="s">
        <v>312</v>
      </c>
      <c r="G9" s="8" t="s">
        <v>10</v>
      </c>
    </row>
    <row r="10" spans="1:7">
      <c r="A10" t="s">
        <v>310</v>
      </c>
      <c r="B10" t="s">
        <v>310</v>
      </c>
      <c r="G10" s="8" t="s">
        <v>308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Q93"/>
  <sheetViews>
    <sheetView zoomScale="85" zoomScaleNormal="85" workbookViewId="0">
      <selection activeCell="B5" sqref="B5"/>
    </sheetView>
  </sheetViews>
  <sheetFormatPr defaultRowHeight="13.5"/>
  <cols>
    <col min="1" max="1" width="4.625" style="15" customWidth="1"/>
    <col min="2" max="2" width="13.875" style="15" bestFit="1" customWidth="1"/>
    <col min="3" max="3" width="12.75" style="15" bestFit="1" customWidth="1"/>
    <col min="4" max="4" width="19.375" style="15" bestFit="1" customWidth="1"/>
    <col min="5" max="5" width="9.5" style="15" bestFit="1" customWidth="1"/>
    <col min="6" max="16384" width="9" style="15"/>
  </cols>
  <sheetData>
    <row r="1" spans="1:17">
      <c r="A1" s="15" t="s">
        <v>40</v>
      </c>
      <c r="B1" s="15" t="s">
        <v>274</v>
      </c>
      <c r="C1" s="15" t="s">
        <v>239</v>
      </c>
      <c r="D1" s="15" t="s">
        <v>272</v>
      </c>
      <c r="E1" s="15" t="s">
        <v>275</v>
      </c>
    </row>
    <row r="2" spans="1:17">
      <c r="A2" s="15">
        <v>1</v>
      </c>
      <c r="B2" s="15" t="s">
        <v>316</v>
      </c>
      <c r="C2" s="15">
        <v>1</v>
      </c>
      <c r="D2" s="15">
        <v>2</v>
      </c>
      <c r="E2" s="15">
        <v>10</v>
      </c>
      <c r="G2" s="15" t="str">
        <f>VLOOKUP(C2,[2]Entourage!A:B,2,FALSE)</f>
        <v>重剑步兵</v>
      </c>
      <c r="H2" s="15" t="str">
        <f>VLOOKUP(D2,[2]Entourage!A:B,2,FALSE)</f>
        <v>女妖蒂罗亚</v>
      </c>
      <c r="L2" s="42">
        <f>IF(OR(C2=$Q$2,C2=$Q$3,C2=$Q$4,C2=$Q$5,C2=$Q$6),1,0)</f>
        <v>0</v>
      </c>
      <c r="M2" s="15">
        <f>IF(OR(D2=$Q$2,D2=$Q$3,D2=$Q$4,D2=$Q$5,D2=$Q$6),1,0)</f>
        <v>0</v>
      </c>
      <c r="Q2" s="15" t="s">
        <v>537</v>
      </c>
    </row>
    <row r="3" spans="1:17">
      <c r="A3" s="15">
        <v>2</v>
      </c>
      <c r="B3" s="15" t="s">
        <v>317</v>
      </c>
      <c r="C3" s="15">
        <v>2</v>
      </c>
      <c r="D3" s="15">
        <v>3</v>
      </c>
      <c r="E3" s="15">
        <v>10</v>
      </c>
      <c r="G3" s="15" t="str">
        <f>VLOOKUP(C3,[2]Entourage!A:B,2,FALSE)</f>
        <v>女妖蒂罗亚</v>
      </c>
      <c r="H3" s="15" t="str">
        <f>VLOOKUP(D3,[2]Entourage!A:B,2,FALSE)</f>
        <v>莫德雷斯</v>
      </c>
      <c r="L3" s="42">
        <f t="shared" ref="L3:M66" si="0">IF(OR(C3=$Q$2,C3=$Q$3,C3=$Q$4,C3=$Q$5,C3=$Q$6),1,0)</f>
        <v>0</v>
      </c>
      <c r="M3" s="15">
        <f t="shared" si="0"/>
        <v>0</v>
      </c>
      <c r="Q3" s="15" t="s">
        <v>538</v>
      </c>
    </row>
    <row r="4" spans="1:17">
      <c r="A4" s="15">
        <v>3</v>
      </c>
      <c r="B4" s="15" t="s">
        <v>318</v>
      </c>
      <c r="C4" s="15">
        <v>3</v>
      </c>
      <c r="D4" s="15">
        <v>1</v>
      </c>
      <c r="E4" s="15">
        <v>10</v>
      </c>
      <c r="G4" s="15" t="str">
        <f>VLOOKUP(C4,[2]Entourage!A:B,2,FALSE)</f>
        <v>莫德雷斯</v>
      </c>
      <c r="H4" s="15" t="str">
        <f>VLOOKUP(D4,[2]Entourage!A:B,2,FALSE)</f>
        <v>重剑步兵</v>
      </c>
      <c r="L4" s="42">
        <f t="shared" si="0"/>
        <v>0</v>
      </c>
      <c r="M4" s="15">
        <f t="shared" si="0"/>
        <v>0</v>
      </c>
      <c r="Q4" s="15" t="s">
        <v>539</v>
      </c>
    </row>
    <row r="5" spans="1:17">
      <c r="A5" s="15">
        <v>4</v>
      </c>
      <c r="B5" s="15" t="s">
        <v>319</v>
      </c>
      <c r="C5" s="15">
        <v>4</v>
      </c>
      <c r="D5" s="15">
        <v>5</v>
      </c>
      <c r="E5" s="15">
        <v>10</v>
      </c>
      <c r="G5" s="15" t="str">
        <f>VLOOKUP(C5,[2]Entourage!A:B,2,FALSE)</f>
        <v>土元素</v>
      </c>
      <c r="H5" s="15" t="str">
        <f>VLOOKUP(D5,[2]Entourage!A:B,2,FALSE)</f>
        <v>火元素</v>
      </c>
      <c r="L5" s="42">
        <f t="shared" si="0"/>
        <v>0</v>
      </c>
      <c r="M5" s="15">
        <f t="shared" si="0"/>
        <v>0</v>
      </c>
      <c r="Q5" s="15" t="s">
        <v>540</v>
      </c>
    </row>
    <row r="6" spans="1:17">
      <c r="A6" s="15">
        <v>5</v>
      </c>
      <c r="B6" s="15" t="s">
        <v>320</v>
      </c>
      <c r="C6" s="15">
        <v>4</v>
      </c>
      <c r="D6" s="15">
        <v>6</v>
      </c>
      <c r="E6" s="15">
        <v>10</v>
      </c>
      <c r="G6" s="15" t="str">
        <f>VLOOKUP(C6,[2]Entourage!A:B,2,FALSE)</f>
        <v>土元素</v>
      </c>
      <c r="H6" s="15" t="str">
        <f>VLOOKUP(D6,[2]Entourage!A:B,2,FALSE)</f>
        <v>风元素</v>
      </c>
      <c r="L6" s="42">
        <f t="shared" si="0"/>
        <v>0</v>
      </c>
      <c r="M6" s="15">
        <f t="shared" si="0"/>
        <v>0</v>
      </c>
      <c r="Q6" s="15" t="s">
        <v>541</v>
      </c>
    </row>
    <row r="7" spans="1:17">
      <c r="A7" s="15">
        <v>6</v>
      </c>
      <c r="B7" s="15" t="s">
        <v>321</v>
      </c>
      <c r="C7" s="15">
        <v>5</v>
      </c>
      <c r="D7" s="15">
        <v>4</v>
      </c>
      <c r="E7" s="15">
        <v>10</v>
      </c>
      <c r="G7" s="15" t="str">
        <f>VLOOKUP(C7,[2]Entourage!A:B,2,FALSE)</f>
        <v>火元素</v>
      </c>
      <c r="H7" s="15" t="str">
        <f>VLOOKUP(D7,[2]Entourage!A:B,2,FALSE)</f>
        <v>土元素</v>
      </c>
      <c r="L7" s="42">
        <f t="shared" si="0"/>
        <v>0</v>
      </c>
      <c r="M7" s="15">
        <f t="shared" si="0"/>
        <v>0</v>
      </c>
    </row>
    <row r="8" spans="1:17">
      <c r="A8" s="15">
        <v>7</v>
      </c>
      <c r="B8" s="15" t="s">
        <v>320</v>
      </c>
      <c r="C8" s="15">
        <v>5</v>
      </c>
      <c r="D8" s="15">
        <v>6</v>
      </c>
      <c r="E8" s="15">
        <v>10</v>
      </c>
      <c r="G8" s="15" t="str">
        <f>VLOOKUP(C8,[2]Entourage!A:B,2,FALSE)</f>
        <v>火元素</v>
      </c>
      <c r="H8" s="15" t="str">
        <f>VLOOKUP(D8,[2]Entourage!A:B,2,FALSE)</f>
        <v>风元素</v>
      </c>
      <c r="L8" s="42">
        <f t="shared" si="0"/>
        <v>0</v>
      </c>
      <c r="M8" s="15">
        <f t="shared" si="0"/>
        <v>0</v>
      </c>
    </row>
    <row r="9" spans="1:17">
      <c r="A9" s="15">
        <v>8</v>
      </c>
      <c r="B9" s="15" t="s">
        <v>321</v>
      </c>
      <c r="C9" s="15">
        <v>6</v>
      </c>
      <c r="D9" s="15">
        <v>4</v>
      </c>
      <c r="E9" s="15">
        <v>10</v>
      </c>
      <c r="G9" s="15" t="str">
        <f>VLOOKUP(C9,[2]Entourage!A:B,2,FALSE)</f>
        <v>风元素</v>
      </c>
      <c r="H9" s="15" t="str">
        <f>VLOOKUP(D9,[2]Entourage!A:B,2,FALSE)</f>
        <v>土元素</v>
      </c>
      <c r="L9" s="42">
        <f t="shared" si="0"/>
        <v>0</v>
      </c>
      <c r="M9" s="15">
        <f t="shared" si="0"/>
        <v>0</v>
      </c>
    </row>
    <row r="10" spans="1:17">
      <c r="A10" s="15">
        <v>9</v>
      </c>
      <c r="B10" s="15" t="s">
        <v>319</v>
      </c>
      <c r="C10" s="15">
        <v>6</v>
      </c>
      <c r="D10" s="15">
        <v>5</v>
      </c>
      <c r="E10" s="15">
        <v>10</v>
      </c>
      <c r="G10" s="15" t="str">
        <f>VLOOKUP(C10,[2]Entourage!A:B,2,FALSE)</f>
        <v>风元素</v>
      </c>
      <c r="H10" s="15" t="str">
        <f>VLOOKUP(D10,[2]Entourage!A:B,2,FALSE)</f>
        <v>火元素</v>
      </c>
      <c r="L10" s="42">
        <f t="shared" si="0"/>
        <v>0</v>
      </c>
      <c r="M10" s="15">
        <f t="shared" si="0"/>
        <v>0</v>
      </c>
    </row>
    <row r="11" spans="1:17">
      <c r="A11" s="15">
        <v>10</v>
      </c>
      <c r="B11" s="15" t="s">
        <v>322</v>
      </c>
      <c r="C11" s="15">
        <v>7</v>
      </c>
      <c r="D11" s="15">
        <v>8</v>
      </c>
      <c r="E11" s="15">
        <v>10</v>
      </c>
      <c r="G11" s="15" t="str">
        <f>VLOOKUP(C11,[2]Entourage!A:B,2,FALSE)</f>
        <v>拉格霍尔</v>
      </c>
      <c r="H11" s="15" t="str">
        <f>VLOOKUP(D11,[2]Entourage!A:B,2,FALSE)</f>
        <v>阿拉基</v>
      </c>
      <c r="L11" s="42">
        <f t="shared" si="0"/>
        <v>0</v>
      </c>
      <c r="M11" s="15">
        <f t="shared" si="0"/>
        <v>0</v>
      </c>
    </row>
    <row r="12" spans="1:17">
      <c r="A12" s="15">
        <v>11</v>
      </c>
      <c r="B12" s="15" t="s">
        <v>662</v>
      </c>
      <c r="C12" s="15">
        <v>7</v>
      </c>
      <c r="D12" s="15">
        <v>16</v>
      </c>
      <c r="E12" s="15">
        <v>10</v>
      </c>
      <c r="G12" s="15" t="str">
        <f>VLOOKUP(C12,[2]Entourage!A:B,2,FALSE)</f>
        <v>拉格霍尔</v>
      </c>
      <c r="H12" s="15" t="str">
        <f>VLOOKUP(D12,[2]Entourage!A:B,2,FALSE)</f>
        <v>范克利刃</v>
      </c>
      <c r="L12" s="42">
        <f t="shared" si="0"/>
        <v>0</v>
      </c>
      <c r="M12" s="15">
        <f t="shared" si="0"/>
        <v>0</v>
      </c>
    </row>
    <row r="13" spans="1:17">
      <c r="A13" s="15">
        <v>12</v>
      </c>
      <c r="B13" s="15" t="s">
        <v>323</v>
      </c>
      <c r="C13" s="15">
        <v>8</v>
      </c>
      <c r="D13" s="15">
        <v>3</v>
      </c>
      <c r="E13" s="15">
        <v>10</v>
      </c>
      <c r="G13" s="15" t="str">
        <f>VLOOKUP(C13,[2]Entourage!A:B,2,FALSE)</f>
        <v>阿拉基</v>
      </c>
      <c r="H13" s="15" t="str">
        <f>VLOOKUP(D13,[2]Entourage!A:B,2,FALSE)</f>
        <v>莫德雷斯</v>
      </c>
      <c r="L13" s="42">
        <f t="shared" si="0"/>
        <v>0</v>
      </c>
      <c r="M13" s="15">
        <f t="shared" si="0"/>
        <v>0</v>
      </c>
    </row>
    <row r="14" spans="1:17">
      <c r="A14" s="15">
        <v>13</v>
      </c>
      <c r="B14" s="15" t="s">
        <v>324</v>
      </c>
      <c r="C14" s="15">
        <v>8</v>
      </c>
      <c r="D14" s="15">
        <v>5</v>
      </c>
      <c r="E14" s="15">
        <v>10</v>
      </c>
      <c r="G14" s="15" t="str">
        <f>VLOOKUP(C14,[2]Entourage!A:B,2,FALSE)</f>
        <v>阿拉基</v>
      </c>
      <c r="H14" s="15" t="str">
        <f>VLOOKUP(D14,[2]Entourage!A:B,2,FALSE)</f>
        <v>火元素</v>
      </c>
      <c r="L14" s="42">
        <f t="shared" si="0"/>
        <v>0</v>
      </c>
      <c r="M14" s="15">
        <f t="shared" si="0"/>
        <v>0</v>
      </c>
    </row>
    <row r="15" spans="1:17">
      <c r="A15" s="15">
        <v>14</v>
      </c>
      <c r="B15" s="15" t="s">
        <v>304</v>
      </c>
      <c r="C15" s="15">
        <v>9</v>
      </c>
      <c r="D15" s="15">
        <v>11</v>
      </c>
      <c r="E15" s="15">
        <v>10</v>
      </c>
      <c r="G15" s="15" t="str">
        <f>VLOOKUP(C15,[2]Entourage!A:B,2,FALSE)</f>
        <v>安娜</v>
      </c>
      <c r="H15" s="15" t="str">
        <f>VLOOKUP(D15,[2]Entourage!A:B,2,FALSE)</f>
        <v>露莉亚</v>
      </c>
      <c r="L15" s="42">
        <f t="shared" si="0"/>
        <v>0</v>
      </c>
      <c r="M15" s="15">
        <f t="shared" si="0"/>
        <v>0</v>
      </c>
    </row>
    <row r="16" spans="1:17">
      <c r="A16" s="15">
        <v>15</v>
      </c>
      <c r="B16" s="15" t="s">
        <v>303</v>
      </c>
      <c r="C16" s="15">
        <v>9</v>
      </c>
      <c r="D16" s="15">
        <v>12</v>
      </c>
      <c r="E16" s="15">
        <v>10</v>
      </c>
      <c r="G16" s="15" t="str">
        <f>VLOOKUP(C16,[2]Entourage!A:B,2,FALSE)</f>
        <v>安娜</v>
      </c>
      <c r="H16" s="15" t="str">
        <f>VLOOKUP(D16,[2]Entourage!A:B,2,FALSE)</f>
        <v>格拉尔</v>
      </c>
      <c r="L16" s="42">
        <f t="shared" si="0"/>
        <v>0</v>
      </c>
      <c r="M16" s="15">
        <f t="shared" si="0"/>
        <v>0</v>
      </c>
    </row>
    <row r="17" spans="1:13">
      <c r="A17" s="15">
        <v>16</v>
      </c>
      <c r="B17" s="15" t="s">
        <v>663</v>
      </c>
      <c r="C17" s="15">
        <v>9</v>
      </c>
      <c r="D17" s="15">
        <v>18</v>
      </c>
      <c r="E17" s="15">
        <v>10</v>
      </c>
      <c r="G17" s="15" t="str">
        <f>VLOOKUP(C17,[2]Entourage!A:B,2,FALSE)</f>
        <v>安娜</v>
      </c>
      <c r="H17" s="15" t="str">
        <f>VLOOKUP(D17,[2]Entourage!A:B,2,FALSE)</f>
        <v>乌德尔</v>
      </c>
      <c r="L17" s="42">
        <f t="shared" si="0"/>
        <v>0</v>
      </c>
      <c r="M17" s="15">
        <f t="shared" si="0"/>
        <v>0</v>
      </c>
    </row>
    <row r="18" spans="1:13">
      <c r="A18" s="15">
        <v>17</v>
      </c>
      <c r="B18" s="15" t="s">
        <v>664</v>
      </c>
      <c r="C18" s="15">
        <v>9</v>
      </c>
      <c r="D18" s="15">
        <v>22</v>
      </c>
      <c r="E18" s="15">
        <v>10</v>
      </c>
      <c r="G18" s="15" t="str">
        <f>VLOOKUP(C18,[2]Entourage!A:B,2,FALSE)</f>
        <v>安娜</v>
      </c>
      <c r="H18" s="15" t="str">
        <f>VLOOKUP(D18,[2]Entourage!A:B,2,FALSE)</f>
        <v>格拉克茜</v>
      </c>
      <c r="L18" s="42">
        <f t="shared" si="0"/>
        <v>0</v>
      </c>
      <c r="M18" s="15">
        <f t="shared" si="0"/>
        <v>0</v>
      </c>
    </row>
    <row r="19" spans="1:13">
      <c r="A19" s="15">
        <v>18</v>
      </c>
      <c r="B19" s="15" t="s">
        <v>665</v>
      </c>
      <c r="C19" s="15">
        <v>10</v>
      </c>
      <c r="D19" s="15">
        <v>3</v>
      </c>
      <c r="E19" s="15">
        <v>10</v>
      </c>
      <c r="G19" s="15" t="str">
        <f>VLOOKUP(C19,[2]Entourage!A:B,2,FALSE)</f>
        <v>黑暗君王</v>
      </c>
      <c r="H19" s="15" t="str">
        <f>VLOOKUP(D19,[2]Entourage!A:B,2,FALSE)</f>
        <v>莫德雷斯</v>
      </c>
      <c r="L19" s="42">
        <f t="shared" si="0"/>
        <v>0</v>
      </c>
      <c r="M19" s="15">
        <f t="shared" si="0"/>
        <v>0</v>
      </c>
    </row>
    <row r="20" spans="1:13">
      <c r="A20" s="15">
        <v>21</v>
      </c>
      <c r="B20" s="15" t="s">
        <v>301</v>
      </c>
      <c r="C20" s="15">
        <v>10</v>
      </c>
      <c r="D20" s="15">
        <v>9</v>
      </c>
      <c r="E20" s="15">
        <v>10</v>
      </c>
      <c r="G20" s="15" t="str">
        <f>VLOOKUP(C20,[2]Entourage!A:B,2,FALSE)</f>
        <v>黑暗君王</v>
      </c>
      <c r="H20" s="15" t="str">
        <f>VLOOKUP(D20,[2]Entourage!A:B,2,FALSE)</f>
        <v>安娜</v>
      </c>
      <c r="L20" s="42">
        <f t="shared" si="0"/>
        <v>0</v>
      </c>
      <c r="M20" s="15">
        <f t="shared" si="0"/>
        <v>0</v>
      </c>
    </row>
    <row r="21" spans="1:13">
      <c r="A21" s="15">
        <v>22</v>
      </c>
      <c r="B21" s="15" t="s">
        <v>302</v>
      </c>
      <c r="C21" s="15">
        <v>10</v>
      </c>
      <c r="D21" s="15">
        <v>13</v>
      </c>
      <c r="E21" s="15">
        <v>10</v>
      </c>
      <c r="G21" s="15" t="str">
        <f>VLOOKUP(C21,[2]Entourage!A:B,2,FALSE)</f>
        <v>黑暗君王</v>
      </c>
      <c r="H21" s="15" t="str">
        <f>VLOOKUP(D21,[2]Entourage!A:B,2,FALSE)</f>
        <v>希瓦娜</v>
      </c>
      <c r="L21" s="42">
        <f t="shared" si="0"/>
        <v>0</v>
      </c>
      <c r="M21" s="15">
        <f t="shared" si="0"/>
        <v>0</v>
      </c>
    </row>
    <row r="22" spans="1:13">
      <c r="A22" s="15">
        <v>23</v>
      </c>
      <c r="B22" s="15" t="s">
        <v>666</v>
      </c>
      <c r="C22" s="15">
        <v>10</v>
      </c>
      <c r="D22" s="15">
        <v>22</v>
      </c>
      <c r="E22" s="15">
        <v>10</v>
      </c>
      <c r="G22" s="15" t="str">
        <f>VLOOKUP(C22,[2]Entourage!A:B,2,FALSE)</f>
        <v>黑暗君王</v>
      </c>
      <c r="H22" s="15" t="str">
        <f>VLOOKUP(D22,[2]Entourage!A:B,2,FALSE)</f>
        <v>格拉克茜</v>
      </c>
      <c r="L22" s="42">
        <f t="shared" si="0"/>
        <v>0</v>
      </c>
      <c r="M22" s="15">
        <f t="shared" si="0"/>
        <v>0</v>
      </c>
    </row>
    <row r="23" spans="1:13">
      <c r="A23" s="15">
        <v>24</v>
      </c>
      <c r="B23" s="15" t="s">
        <v>305</v>
      </c>
      <c r="C23" s="15">
        <v>11</v>
      </c>
      <c r="D23" s="15">
        <v>9</v>
      </c>
      <c r="E23" s="15">
        <v>10</v>
      </c>
      <c r="G23" s="15" t="str">
        <f>VLOOKUP(C23,[2]Entourage!A:B,2,FALSE)</f>
        <v>露莉亚</v>
      </c>
      <c r="H23" s="15" t="str">
        <f>VLOOKUP(D23,[2]Entourage!A:B,2,FALSE)</f>
        <v>安娜</v>
      </c>
      <c r="L23" s="42">
        <f t="shared" si="0"/>
        <v>0</v>
      </c>
      <c r="M23" s="15">
        <f t="shared" si="0"/>
        <v>0</v>
      </c>
    </row>
    <row r="24" spans="1:13">
      <c r="A24" s="15">
        <v>25</v>
      </c>
      <c r="B24" s="15" t="s">
        <v>306</v>
      </c>
      <c r="C24" s="15">
        <v>11</v>
      </c>
      <c r="D24" s="15">
        <v>12</v>
      </c>
      <c r="E24" s="15">
        <v>10</v>
      </c>
      <c r="G24" s="15" t="str">
        <f>VLOOKUP(C24,[2]Entourage!A:B,2,FALSE)</f>
        <v>露莉亚</v>
      </c>
      <c r="H24" s="15" t="str">
        <f>VLOOKUP(D24,[2]Entourage!A:B,2,FALSE)</f>
        <v>格拉尔</v>
      </c>
      <c r="L24" s="42">
        <f t="shared" si="0"/>
        <v>0</v>
      </c>
      <c r="M24" s="15">
        <f t="shared" si="0"/>
        <v>0</v>
      </c>
    </row>
    <row r="25" spans="1:13">
      <c r="A25" s="15">
        <v>26</v>
      </c>
      <c r="B25" s="15" t="s">
        <v>332</v>
      </c>
      <c r="C25" s="15">
        <v>11</v>
      </c>
      <c r="D25" s="15">
        <v>20</v>
      </c>
      <c r="E25" s="15">
        <v>10</v>
      </c>
      <c r="G25" s="15" t="str">
        <f>VLOOKUP(C25,[2]Entourage!A:B,2,FALSE)</f>
        <v>露莉亚</v>
      </c>
      <c r="H25" s="15" t="str">
        <f>VLOOKUP(D25,[2]Entourage!A:B,2,FALSE)</f>
        <v>月影莎娜</v>
      </c>
      <c r="L25" s="42">
        <f t="shared" si="0"/>
        <v>0</v>
      </c>
      <c r="M25" s="15">
        <f t="shared" si="0"/>
        <v>0</v>
      </c>
    </row>
    <row r="26" spans="1:13">
      <c r="A26" s="15">
        <v>27</v>
      </c>
      <c r="B26" s="15" t="s">
        <v>307</v>
      </c>
      <c r="C26" s="15">
        <v>12</v>
      </c>
      <c r="D26" s="15">
        <v>4</v>
      </c>
      <c r="E26" s="15">
        <v>10</v>
      </c>
      <c r="G26" s="15" t="str">
        <f>VLOOKUP(C26,[2]Entourage!A:B,2,FALSE)</f>
        <v>格拉尔</v>
      </c>
      <c r="H26" s="15" t="str">
        <f>VLOOKUP(D26,[2]Entourage!A:B,2,FALSE)</f>
        <v>土元素</v>
      </c>
      <c r="L26" s="42">
        <f t="shared" si="0"/>
        <v>0</v>
      </c>
      <c r="M26" s="15">
        <f t="shared" si="0"/>
        <v>0</v>
      </c>
    </row>
    <row r="27" spans="1:13">
      <c r="A27" s="15">
        <v>28</v>
      </c>
      <c r="B27" s="15" t="s">
        <v>303</v>
      </c>
      <c r="C27" s="15">
        <v>12</v>
      </c>
      <c r="D27" s="15">
        <v>9</v>
      </c>
      <c r="E27" s="15">
        <v>10</v>
      </c>
      <c r="G27" s="15" t="str">
        <f>VLOOKUP(C27,[2]Entourage!A:B,2,FALSE)</f>
        <v>格拉尔</v>
      </c>
      <c r="H27" s="15" t="str">
        <f>VLOOKUP(D27,[2]Entourage!A:B,2,FALSE)</f>
        <v>安娜</v>
      </c>
      <c r="L27" s="42">
        <f t="shared" si="0"/>
        <v>0</v>
      </c>
      <c r="M27" s="15">
        <f t="shared" si="0"/>
        <v>0</v>
      </c>
    </row>
    <row r="28" spans="1:13">
      <c r="A28" s="15">
        <v>29</v>
      </c>
      <c r="B28" s="15" t="s">
        <v>304</v>
      </c>
      <c r="C28" s="15">
        <v>12</v>
      </c>
      <c r="D28" s="15">
        <v>11</v>
      </c>
      <c r="E28" s="15">
        <v>10</v>
      </c>
      <c r="G28" s="15" t="str">
        <f>VLOOKUP(C28,[2]Entourage!A:B,2,FALSE)</f>
        <v>格拉尔</v>
      </c>
      <c r="H28" s="15" t="str">
        <f>VLOOKUP(D28,[2]Entourage!A:B,2,FALSE)</f>
        <v>露莉亚</v>
      </c>
      <c r="L28" s="42">
        <f t="shared" si="0"/>
        <v>0</v>
      </c>
      <c r="M28" s="15">
        <f t="shared" si="0"/>
        <v>0</v>
      </c>
    </row>
    <row r="29" spans="1:13">
      <c r="A29" s="15">
        <v>30</v>
      </c>
      <c r="B29" s="15" t="s">
        <v>325</v>
      </c>
      <c r="C29" s="15">
        <v>13</v>
      </c>
      <c r="D29" s="15">
        <v>1</v>
      </c>
      <c r="E29" s="15">
        <v>10</v>
      </c>
      <c r="G29" s="15" t="str">
        <f>VLOOKUP(C29,[2]Entourage!A:B,2,FALSE)</f>
        <v>希瓦娜</v>
      </c>
      <c r="H29" s="15" t="str">
        <f>VLOOKUP(D29,[2]Entourage!A:B,2,FALSE)</f>
        <v>重剑步兵</v>
      </c>
      <c r="L29" s="42">
        <f t="shared" si="0"/>
        <v>0</v>
      </c>
      <c r="M29" s="15">
        <f t="shared" si="0"/>
        <v>0</v>
      </c>
    </row>
    <row r="30" spans="1:13">
      <c r="A30" s="15">
        <v>31</v>
      </c>
      <c r="B30" s="15" t="s">
        <v>667</v>
      </c>
      <c r="C30" s="15">
        <v>13</v>
      </c>
      <c r="D30" s="15">
        <v>2</v>
      </c>
      <c r="E30" s="15">
        <v>10</v>
      </c>
      <c r="G30" s="15" t="str">
        <f>VLOOKUP(C30,[2]Entourage!A:B,2,FALSE)</f>
        <v>希瓦娜</v>
      </c>
      <c r="H30" s="15" t="str">
        <f>VLOOKUP(D30,[2]Entourage!A:B,2,FALSE)</f>
        <v>女妖蒂罗亚</v>
      </c>
      <c r="L30" s="42">
        <f t="shared" si="0"/>
        <v>0</v>
      </c>
      <c r="M30" s="15">
        <f t="shared" si="0"/>
        <v>0</v>
      </c>
    </row>
    <row r="31" spans="1:13">
      <c r="A31" s="15">
        <v>33</v>
      </c>
      <c r="B31" s="15" t="s">
        <v>668</v>
      </c>
      <c r="C31" s="108">
        <v>13</v>
      </c>
      <c r="D31" s="108">
        <v>12</v>
      </c>
      <c r="E31" s="108">
        <v>10</v>
      </c>
      <c r="F31" s="29"/>
      <c r="G31" s="15" t="str">
        <f>VLOOKUP(C31,[2]Entourage!A:B,2,FALSE)</f>
        <v>希瓦娜</v>
      </c>
      <c r="H31" s="15" t="str">
        <f>VLOOKUP(D31,[2]Entourage!A:B,2,FALSE)</f>
        <v>格拉尔</v>
      </c>
      <c r="L31" s="42">
        <f t="shared" si="0"/>
        <v>0</v>
      </c>
      <c r="M31" s="15">
        <f t="shared" si="0"/>
        <v>0</v>
      </c>
    </row>
    <row r="32" spans="1:13">
      <c r="A32" s="15">
        <v>36</v>
      </c>
      <c r="B32" s="15" t="s">
        <v>335</v>
      </c>
      <c r="C32" s="15">
        <v>15</v>
      </c>
      <c r="D32" s="15">
        <v>1</v>
      </c>
      <c r="E32" s="15">
        <v>10</v>
      </c>
      <c r="G32" s="15" t="str">
        <f>VLOOKUP(C32,[2]Entourage!A:B,2,FALSE)</f>
        <v>沃尔格斯</v>
      </c>
      <c r="H32" s="15" t="str">
        <f>VLOOKUP(D32,[2]Entourage!A:B,2,FALSE)</f>
        <v>重剑步兵</v>
      </c>
      <c r="L32" s="42">
        <f t="shared" si="0"/>
        <v>0</v>
      </c>
      <c r="M32" s="15">
        <f t="shared" si="0"/>
        <v>0</v>
      </c>
    </row>
    <row r="33" spans="1:13">
      <c r="A33" s="15">
        <v>37</v>
      </c>
      <c r="B33" s="15" t="s">
        <v>669</v>
      </c>
      <c r="C33" s="15">
        <v>15</v>
      </c>
      <c r="D33" s="15">
        <v>9</v>
      </c>
      <c r="E33" s="15">
        <v>10</v>
      </c>
      <c r="G33" s="15" t="str">
        <f>VLOOKUP(C33,[2]Entourage!A:B,2,FALSE)</f>
        <v>沃尔格斯</v>
      </c>
      <c r="H33" s="15" t="str">
        <f>VLOOKUP(D33,[2]Entourage!A:B,2,FALSE)</f>
        <v>安娜</v>
      </c>
      <c r="L33" s="42">
        <f t="shared" si="0"/>
        <v>0</v>
      </c>
      <c r="M33" s="15">
        <f t="shared" si="0"/>
        <v>0</v>
      </c>
    </row>
    <row r="34" spans="1:13">
      <c r="A34" s="15">
        <v>38</v>
      </c>
      <c r="B34" s="15" t="s">
        <v>670</v>
      </c>
      <c r="C34" s="15">
        <v>15</v>
      </c>
      <c r="D34" s="15">
        <v>17</v>
      </c>
      <c r="E34" s="15">
        <v>10</v>
      </c>
      <c r="G34" s="15" t="str">
        <f>VLOOKUP(C34,[2]Entourage!A:B,2,FALSE)</f>
        <v>沃尔格斯</v>
      </c>
      <c r="H34" s="15" t="str">
        <f>VLOOKUP(D34,[2]Entourage!A:B,2,FALSE)</f>
        <v>瓦伦</v>
      </c>
      <c r="L34" s="42">
        <f t="shared" si="0"/>
        <v>0</v>
      </c>
      <c r="M34" s="15">
        <f t="shared" si="0"/>
        <v>0</v>
      </c>
    </row>
    <row r="35" spans="1:13">
      <c r="A35" s="15">
        <v>39</v>
      </c>
      <c r="B35" s="15" t="s">
        <v>327</v>
      </c>
      <c r="C35" s="15">
        <v>16</v>
      </c>
      <c r="D35" s="15">
        <v>1</v>
      </c>
      <c r="E35" s="15">
        <v>10</v>
      </c>
      <c r="G35" s="15" t="str">
        <f>VLOOKUP(C35,[2]Entourage!A:B,2,FALSE)</f>
        <v>范克利刃</v>
      </c>
      <c r="H35" s="15" t="str">
        <f>VLOOKUP(D35,[2]Entourage!A:B,2,FALSE)</f>
        <v>重剑步兵</v>
      </c>
      <c r="L35" s="42">
        <f t="shared" si="0"/>
        <v>0</v>
      </c>
      <c r="M35" s="15">
        <f t="shared" si="0"/>
        <v>0</v>
      </c>
    </row>
    <row r="36" spans="1:13">
      <c r="A36" s="15">
        <v>40</v>
      </c>
      <c r="B36" s="15" t="s">
        <v>326</v>
      </c>
      <c r="C36" s="15">
        <v>16</v>
      </c>
      <c r="D36" s="15">
        <v>7</v>
      </c>
      <c r="E36" s="15">
        <v>10</v>
      </c>
      <c r="G36" s="15" t="str">
        <f>VLOOKUP(C36,[2]Entourage!A:B,2,FALSE)</f>
        <v>范克利刃</v>
      </c>
      <c r="H36" s="15" t="str">
        <f>VLOOKUP(D36,[2]Entourage!A:B,2,FALSE)</f>
        <v>拉格霍尔</v>
      </c>
      <c r="L36" s="42">
        <f t="shared" si="0"/>
        <v>0</v>
      </c>
      <c r="M36" s="15">
        <f t="shared" si="0"/>
        <v>0</v>
      </c>
    </row>
    <row r="37" spans="1:13">
      <c r="A37" s="15">
        <v>41</v>
      </c>
      <c r="B37" s="15" t="s">
        <v>325</v>
      </c>
      <c r="C37" s="15">
        <v>17</v>
      </c>
      <c r="D37" s="15">
        <v>1</v>
      </c>
      <c r="E37" s="15">
        <v>10</v>
      </c>
      <c r="G37" s="15" t="str">
        <f>VLOOKUP(C37,[2]Entourage!A:B,2,FALSE)</f>
        <v>瓦伦</v>
      </c>
      <c r="H37" s="15" t="str">
        <f>VLOOKUP(D37,[2]Entourage!A:B,2,FALSE)</f>
        <v>重剑步兵</v>
      </c>
      <c r="L37" s="42">
        <f t="shared" si="0"/>
        <v>0</v>
      </c>
      <c r="M37" s="15">
        <f t="shared" si="0"/>
        <v>0</v>
      </c>
    </row>
    <row r="38" spans="1:13">
      <c r="A38" s="15">
        <v>42</v>
      </c>
      <c r="B38" s="15" t="s">
        <v>328</v>
      </c>
      <c r="C38" s="15">
        <v>17</v>
      </c>
      <c r="D38" s="15">
        <v>15</v>
      </c>
      <c r="E38" s="15">
        <v>10</v>
      </c>
      <c r="G38" s="15" t="str">
        <f>VLOOKUP(C38,[2]Entourage!A:B,2,FALSE)</f>
        <v>瓦伦</v>
      </c>
      <c r="H38" s="15" t="str">
        <f>VLOOKUP(D38,[2]Entourage!A:B,2,FALSE)</f>
        <v>沃尔格斯</v>
      </c>
      <c r="L38" s="42">
        <f t="shared" si="0"/>
        <v>0</v>
      </c>
      <c r="M38" s="15">
        <f t="shared" si="0"/>
        <v>0</v>
      </c>
    </row>
    <row r="39" spans="1:13">
      <c r="A39" s="15">
        <v>43</v>
      </c>
      <c r="B39" s="15" t="s">
        <v>329</v>
      </c>
      <c r="C39" s="15">
        <v>17</v>
      </c>
      <c r="D39" s="15">
        <v>16</v>
      </c>
      <c r="E39" s="15">
        <v>10</v>
      </c>
      <c r="G39" s="15" t="str">
        <f>VLOOKUP(C39,[2]Entourage!A:B,2,FALSE)</f>
        <v>瓦伦</v>
      </c>
      <c r="H39" s="15" t="str">
        <f>VLOOKUP(D39,[2]Entourage!A:B,2,FALSE)</f>
        <v>范克利刃</v>
      </c>
      <c r="L39" s="42">
        <f t="shared" si="0"/>
        <v>0</v>
      </c>
      <c r="M39" s="15">
        <f t="shared" si="0"/>
        <v>0</v>
      </c>
    </row>
    <row r="40" spans="1:13">
      <c r="A40" s="15">
        <v>44</v>
      </c>
      <c r="B40" s="15" t="s">
        <v>671</v>
      </c>
      <c r="C40" s="15">
        <v>18</v>
      </c>
      <c r="D40" s="15">
        <v>1</v>
      </c>
      <c r="E40" s="15">
        <v>10</v>
      </c>
      <c r="G40" s="15" t="str">
        <f>VLOOKUP(C40,[2]Entourage!A:B,2,FALSE)</f>
        <v>乌德尔</v>
      </c>
      <c r="H40" s="15" t="str">
        <f>VLOOKUP(D40,[2]Entourage!A:B,2,FALSE)</f>
        <v>重剑步兵</v>
      </c>
      <c r="L40" s="42">
        <f t="shared" si="0"/>
        <v>0</v>
      </c>
      <c r="M40" s="15">
        <f t="shared" si="0"/>
        <v>0</v>
      </c>
    </row>
    <row r="41" spans="1:13">
      <c r="A41" s="15">
        <v>45</v>
      </c>
      <c r="B41" s="15" t="s">
        <v>672</v>
      </c>
      <c r="C41" s="15">
        <v>18</v>
      </c>
      <c r="D41" s="15">
        <v>9</v>
      </c>
      <c r="E41" s="15">
        <v>10</v>
      </c>
      <c r="G41" s="15" t="str">
        <f>VLOOKUP(C41,[2]Entourage!A:B,2,FALSE)</f>
        <v>乌德尔</v>
      </c>
      <c r="H41" s="15" t="str">
        <f>VLOOKUP(D41,[2]Entourage!A:B,2,FALSE)</f>
        <v>安娜</v>
      </c>
      <c r="L41" s="42">
        <f t="shared" si="0"/>
        <v>0</v>
      </c>
      <c r="M41" s="15">
        <f t="shared" si="0"/>
        <v>0</v>
      </c>
    </row>
    <row r="42" spans="1:13">
      <c r="A42" s="15">
        <v>46</v>
      </c>
      <c r="B42" s="15" t="s">
        <v>330</v>
      </c>
      <c r="C42" s="15">
        <v>18</v>
      </c>
      <c r="D42" s="15">
        <v>24</v>
      </c>
      <c r="E42" s="15">
        <v>10</v>
      </c>
      <c r="G42" s="15" t="str">
        <f>VLOOKUP(C42,[2]Entourage!A:B,2,FALSE)</f>
        <v>乌德尔</v>
      </c>
      <c r="H42" s="15" t="str">
        <f>VLOOKUP(D42,[2]Entourage!A:B,2,FALSE)</f>
        <v>艾伦米尔</v>
      </c>
      <c r="L42" s="42">
        <f t="shared" si="0"/>
        <v>0</v>
      </c>
      <c r="M42" s="15">
        <f t="shared" si="0"/>
        <v>0</v>
      </c>
    </row>
    <row r="43" spans="1:13">
      <c r="A43" s="15">
        <v>49</v>
      </c>
      <c r="B43" s="15" t="s">
        <v>331</v>
      </c>
      <c r="C43" s="15">
        <v>20</v>
      </c>
      <c r="D43" s="15">
        <v>13</v>
      </c>
      <c r="E43" s="15">
        <v>10</v>
      </c>
      <c r="G43" s="15" t="str">
        <f>VLOOKUP(C43,[2]Entourage!A:B,2,FALSE)</f>
        <v>月影莎娜</v>
      </c>
      <c r="H43" s="15" t="str">
        <f>VLOOKUP(D43,[2]Entourage!A:B,2,FALSE)</f>
        <v>希瓦娜</v>
      </c>
      <c r="L43" s="42">
        <f t="shared" si="0"/>
        <v>0</v>
      </c>
      <c r="M43" s="15">
        <f t="shared" si="0"/>
        <v>0</v>
      </c>
    </row>
    <row r="44" spans="1:13">
      <c r="A44" s="15">
        <v>50</v>
      </c>
      <c r="B44" s="15" t="s">
        <v>673</v>
      </c>
      <c r="C44" s="15">
        <v>20</v>
      </c>
      <c r="D44" s="15">
        <v>11</v>
      </c>
      <c r="E44" s="15">
        <v>10</v>
      </c>
      <c r="G44" s="15" t="str">
        <f>VLOOKUP(C44,[2]Entourage!A:B,2,FALSE)</f>
        <v>月影莎娜</v>
      </c>
      <c r="H44" s="15" t="str">
        <f>VLOOKUP(D44,[2]Entourage!A:B,2,FALSE)</f>
        <v>露莉亚</v>
      </c>
      <c r="L44" s="42">
        <f t="shared" si="0"/>
        <v>0</v>
      </c>
      <c r="M44" s="15">
        <f t="shared" si="0"/>
        <v>0</v>
      </c>
    </row>
    <row r="45" spans="1:13">
      <c r="A45" s="15">
        <v>51</v>
      </c>
      <c r="B45" s="15" t="s">
        <v>674</v>
      </c>
      <c r="C45" s="15">
        <v>20</v>
      </c>
      <c r="D45" s="15">
        <v>2</v>
      </c>
      <c r="E45" s="15">
        <v>10</v>
      </c>
      <c r="G45" s="15" t="str">
        <f>VLOOKUP(C45,[2]Entourage!A:B,2,FALSE)</f>
        <v>月影莎娜</v>
      </c>
      <c r="H45" s="15" t="str">
        <f>VLOOKUP(D45,[2]Entourage!A:B,2,FALSE)</f>
        <v>女妖蒂罗亚</v>
      </c>
      <c r="L45" s="42">
        <f t="shared" si="0"/>
        <v>0</v>
      </c>
      <c r="M45" s="15">
        <f t="shared" si="0"/>
        <v>0</v>
      </c>
    </row>
    <row r="46" spans="1:13">
      <c r="A46" s="15">
        <v>54</v>
      </c>
      <c r="B46" s="15" t="s">
        <v>675</v>
      </c>
      <c r="C46" s="15">
        <v>22</v>
      </c>
      <c r="D46" s="15">
        <v>1</v>
      </c>
      <c r="E46" s="15">
        <v>10</v>
      </c>
      <c r="G46" s="15" t="str">
        <f>VLOOKUP(C46,[2]Entourage!A:B,2,FALSE)</f>
        <v>格拉克茜</v>
      </c>
      <c r="H46" s="15" t="str">
        <f>VLOOKUP(D46,[2]Entourage!A:B,2,FALSE)</f>
        <v>重剑步兵</v>
      </c>
      <c r="L46" s="42">
        <f t="shared" si="0"/>
        <v>0</v>
      </c>
      <c r="M46" s="15">
        <f t="shared" si="0"/>
        <v>0</v>
      </c>
    </row>
    <row r="47" spans="1:13">
      <c r="A47" s="15">
        <v>55</v>
      </c>
      <c r="B47" s="15" t="s">
        <v>333</v>
      </c>
      <c r="C47" s="15">
        <v>22</v>
      </c>
      <c r="D47" s="15">
        <v>9</v>
      </c>
      <c r="E47" s="15">
        <v>10</v>
      </c>
      <c r="G47" s="15" t="str">
        <f>VLOOKUP(C47,[2]Entourage!A:B,2,FALSE)</f>
        <v>格拉克茜</v>
      </c>
      <c r="H47" s="15" t="str">
        <f>VLOOKUP(D47,[2]Entourage!A:B,2,FALSE)</f>
        <v>安娜</v>
      </c>
      <c r="L47" s="42">
        <f t="shared" si="0"/>
        <v>0</v>
      </c>
      <c r="M47" s="15">
        <f t="shared" si="0"/>
        <v>0</v>
      </c>
    </row>
    <row r="48" spans="1:13">
      <c r="A48" s="15">
        <v>56</v>
      </c>
      <c r="B48" s="15" t="s">
        <v>334</v>
      </c>
      <c r="C48" s="15">
        <v>22</v>
      </c>
      <c r="D48" s="15">
        <v>10</v>
      </c>
      <c r="E48" s="15">
        <v>10</v>
      </c>
      <c r="G48" s="15" t="str">
        <f>VLOOKUP(C48,[2]Entourage!A:B,2,FALSE)</f>
        <v>格拉克茜</v>
      </c>
      <c r="H48" s="15" t="str">
        <f>VLOOKUP(D48,[2]Entourage!A:B,2,FALSE)</f>
        <v>黑暗君王</v>
      </c>
      <c r="L48" s="42">
        <f t="shared" si="0"/>
        <v>0</v>
      </c>
      <c r="M48" s="15">
        <f t="shared" si="0"/>
        <v>0</v>
      </c>
    </row>
    <row r="49" spans="1:13">
      <c r="A49" s="15">
        <v>57</v>
      </c>
      <c r="B49" s="15" t="s">
        <v>676</v>
      </c>
      <c r="C49" s="15">
        <v>22</v>
      </c>
      <c r="D49" s="15">
        <v>15</v>
      </c>
      <c r="E49" s="15">
        <v>10</v>
      </c>
      <c r="G49" s="15" t="str">
        <f>VLOOKUP(C49,[2]Entourage!A:B,2,FALSE)</f>
        <v>格拉克茜</v>
      </c>
      <c r="H49" s="15" t="str">
        <f>VLOOKUP(D49,[2]Entourage!A:B,2,FALSE)</f>
        <v>沃尔格斯</v>
      </c>
      <c r="L49" s="42">
        <f t="shared" si="0"/>
        <v>0</v>
      </c>
      <c r="M49" s="15">
        <f t="shared" si="0"/>
        <v>0</v>
      </c>
    </row>
    <row r="50" spans="1:13">
      <c r="A50" s="15">
        <v>58</v>
      </c>
      <c r="B50" s="15" t="s">
        <v>677</v>
      </c>
      <c r="C50" s="15">
        <v>22</v>
      </c>
      <c r="D50" s="15">
        <v>24</v>
      </c>
      <c r="E50" s="15">
        <v>10</v>
      </c>
      <c r="G50" s="15" t="str">
        <f>VLOOKUP(C50,[2]Entourage!A:B,2,FALSE)</f>
        <v>格拉克茜</v>
      </c>
      <c r="H50" s="15" t="str">
        <f>VLOOKUP(D50,[2]Entourage!A:B,2,FALSE)</f>
        <v>艾伦米尔</v>
      </c>
      <c r="L50" s="42">
        <f t="shared" si="0"/>
        <v>0</v>
      </c>
      <c r="M50" s="15">
        <f t="shared" si="0"/>
        <v>0</v>
      </c>
    </row>
    <row r="51" spans="1:13">
      <c r="A51" s="15">
        <v>62</v>
      </c>
      <c r="B51" s="15" t="s">
        <v>678</v>
      </c>
      <c r="C51" s="15">
        <v>24</v>
      </c>
      <c r="D51" s="15">
        <v>1</v>
      </c>
      <c r="E51" s="15">
        <v>10</v>
      </c>
      <c r="G51" s="15" t="str">
        <f>VLOOKUP(C51,[2]Entourage!A:B,2,FALSE)</f>
        <v>艾伦米尔</v>
      </c>
      <c r="H51" s="15" t="str">
        <f>VLOOKUP(D51,[2]Entourage!A:B,2,FALSE)</f>
        <v>重剑步兵</v>
      </c>
      <c r="L51" s="42">
        <f t="shared" si="0"/>
        <v>0</v>
      </c>
      <c r="M51" s="15">
        <f t="shared" si="0"/>
        <v>0</v>
      </c>
    </row>
    <row r="52" spans="1:13">
      <c r="A52" s="15">
        <v>63</v>
      </c>
      <c r="B52" s="15" t="s">
        <v>679</v>
      </c>
      <c r="C52" s="15">
        <v>24</v>
      </c>
      <c r="D52" s="15">
        <v>9</v>
      </c>
      <c r="E52" s="15">
        <v>10</v>
      </c>
      <c r="G52" s="15" t="str">
        <f>VLOOKUP(C52,[2]Entourage!A:B,2,FALSE)</f>
        <v>艾伦米尔</v>
      </c>
      <c r="H52" s="15" t="str">
        <f>VLOOKUP(D52,[2]Entourage!A:B,2,FALSE)</f>
        <v>安娜</v>
      </c>
      <c r="L52" s="42">
        <f t="shared" si="0"/>
        <v>0</v>
      </c>
      <c r="M52" s="15">
        <f t="shared" si="0"/>
        <v>0</v>
      </c>
    </row>
    <row r="53" spans="1:13">
      <c r="A53" s="15">
        <v>64</v>
      </c>
      <c r="B53" s="15" t="s">
        <v>680</v>
      </c>
      <c r="C53" s="15">
        <v>24</v>
      </c>
      <c r="D53" s="15">
        <v>18</v>
      </c>
      <c r="E53" s="15">
        <v>10</v>
      </c>
      <c r="G53" s="15" t="str">
        <f>VLOOKUP(C53,[2]Entourage!A:B,2,FALSE)</f>
        <v>艾伦米尔</v>
      </c>
      <c r="H53" s="15" t="str">
        <f>VLOOKUP(D53,[2]Entourage!A:B,2,FALSE)</f>
        <v>乌德尔</v>
      </c>
      <c r="L53" s="42">
        <f t="shared" si="0"/>
        <v>0</v>
      </c>
      <c r="M53" s="15">
        <f t="shared" si="0"/>
        <v>0</v>
      </c>
    </row>
    <row r="54" spans="1:13">
      <c r="A54" s="15">
        <v>65</v>
      </c>
      <c r="B54" s="15" t="s">
        <v>681</v>
      </c>
      <c r="C54" s="15">
        <v>25</v>
      </c>
      <c r="D54" s="15">
        <v>1</v>
      </c>
      <c r="E54" s="15">
        <v>10</v>
      </c>
      <c r="G54" s="15" t="str">
        <f>VLOOKUP(C54,[2]Entourage!A:B,2,FALSE)</f>
        <v>琳娜</v>
      </c>
      <c r="H54" s="15" t="str">
        <f>VLOOKUP(D54,[2]Entourage!A:B,2,FALSE)</f>
        <v>重剑步兵</v>
      </c>
      <c r="L54" s="42">
        <f t="shared" si="0"/>
        <v>0</v>
      </c>
      <c r="M54" s="15">
        <f t="shared" si="0"/>
        <v>0</v>
      </c>
    </row>
    <row r="55" spans="1:13">
      <c r="A55" s="15">
        <v>66</v>
      </c>
      <c r="B55" s="15" t="s">
        <v>682</v>
      </c>
      <c r="C55" s="15">
        <v>25</v>
      </c>
      <c r="D55" s="15">
        <v>5</v>
      </c>
      <c r="E55" s="15">
        <v>10</v>
      </c>
      <c r="G55" s="15" t="str">
        <f>VLOOKUP(C55,[2]Entourage!A:B,2,FALSE)</f>
        <v>琳娜</v>
      </c>
      <c r="H55" s="15" t="str">
        <f>VLOOKUP(D55,[2]Entourage!A:B,2,FALSE)</f>
        <v>火元素</v>
      </c>
      <c r="L55" s="42">
        <f t="shared" si="0"/>
        <v>0</v>
      </c>
      <c r="M55" s="15">
        <f t="shared" si="0"/>
        <v>0</v>
      </c>
    </row>
    <row r="56" spans="1:13">
      <c r="A56" s="15">
        <v>67</v>
      </c>
      <c r="B56" s="15" t="s">
        <v>683</v>
      </c>
      <c r="C56" s="15">
        <v>25</v>
      </c>
      <c r="D56" s="15">
        <v>9</v>
      </c>
      <c r="E56" s="15">
        <v>10</v>
      </c>
      <c r="G56" s="15" t="str">
        <f>VLOOKUP(C56,[2]Entourage!A:B,2,FALSE)</f>
        <v>琳娜</v>
      </c>
      <c r="H56" s="15" t="str">
        <f>VLOOKUP(D56,[2]Entourage!A:B,2,FALSE)</f>
        <v>安娜</v>
      </c>
      <c r="L56" s="42">
        <f t="shared" si="0"/>
        <v>0</v>
      </c>
      <c r="M56" s="15">
        <f t="shared" si="0"/>
        <v>0</v>
      </c>
    </row>
    <row r="57" spans="1:13">
      <c r="A57" s="15">
        <v>68</v>
      </c>
      <c r="B57" s="15" t="s">
        <v>684</v>
      </c>
      <c r="C57" s="15">
        <v>26</v>
      </c>
      <c r="D57" s="15">
        <v>1</v>
      </c>
      <c r="E57" s="15">
        <v>10</v>
      </c>
      <c r="G57" s="15" t="str">
        <f>VLOOKUP(C57,[2]Entourage!A:B,2,FALSE)</f>
        <v>穆拉尼尔</v>
      </c>
      <c r="H57" s="15" t="str">
        <f>VLOOKUP(D57,[2]Entourage!A:B,2,FALSE)</f>
        <v>重剑步兵</v>
      </c>
      <c r="L57" s="42">
        <f t="shared" si="0"/>
        <v>0</v>
      </c>
      <c r="M57" s="15">
        <f t="shared" si="0"/>
        <v>0</v>
      </c>
    </row>
    <row r="58" spans="1:13">
      <c r="A58" s="29">
        <v>75</v>
      </c>
      <c r="B58" s="15" t="s">
        <v>685</v>
      </c>
      <c r="C58" s="29">
        <v>32</v>
      </c>
      <c r="D58" s="29">
        <v>11</v>
      </c>
      <c r="E58" s="15">
        <v>10</v>
      </c>
      <c r="G58" s="15" t="str">
        <f>VLOOKUP(C58,[2]Entourage!A:B,2,FALSE)</f>
        <v>尤狄恩</v>
      </c>
      <c r="H58" s="15" t="str">
        <f>VLOOKUP(D58,[2]Entourage!A:B,2,FALSE)</f>
        <v>露莉亚</v>
      </c>
      <c r="L58" s="42">
        <f t="shared" si="0"/>
        <v>0</v>
      </c>
      <c r="M58" s="15">
        <f t="shared" si="0"/>
        <v>0</v>
      </c>
    </row>
    <row r="59" spans="1:13">
      <c r="A59" s="29">
        <v>76</v>
      </c>
      <c r="B59" s="15" t="s">
        <v>686</v>
      </c>
      <c r="C59" s="29">
        <v>32</v>
      </c>
      <c r="D59" s="29">
        <v>10</v>
      </c>
      <c r="E59" s="15">
        <v>10</v>
      </c>
      <c r="G59" s="15" t="str">
        <f>VLOOKUP(C59,[2]Entourage!A:B,2,FALSE)</f>
        <v>尤狄恩</v>
      </c>
      <c r="H59" s="15" t="str">
        <f>VLOOKUP(D59,[2]Entourage!A:B,2,FALSE)</f>
        <v>黑暗君王</v>
      </c>
      <c r="L59" s="42">
        <f t="shared" si="0"/>
        <v>0</v>
      </c>
      <c r="M59" s="15">
        <f t="shared" si="0"/>
        <v>0</v>
      </c>
    </row>
    <row r="60" spans="1:13">
      <c r="A60" s="29">
        <v>77</v>
      </c>
      <c r="B60" s="15" t="s">
        <v>687</v>
      </c>
      <c r="C60" s="29">
        <v>32</v>
      </c>
      <c r="D60" s="29">
        <v>20</v>
      </c>
      <c r="E60" s="15">
        <v>10</v>
      </c>
      <c r="G60" s="15" t="str">
        <f>VLOOKUP(C60,[2]Entourage!A:B,2,FALSE)</f>
        <v>尤狄恩</v>
      </c>
      <c r="H60" s="15" t="str">
        <f>VLOOKUP(D60,[2]Entourage!A:B,2,FALSE)</f>
        <v>月影莎娜</v>
      </c>
      <c r="L60" s="42">
        <f t="shared" si="0"/>
        <v>0</v>
      </c>
      <c r="M60" s="15">
        <f t="shared" si="0"/>
        <v>0</v>
      </c>
    </row>
    <row r="61" spans="1:13">
      <c r="A61" s="29">
        <v>78</v>
      </c>
      <c r="B61" s="15" t="s">
        <v>688</v>
      </c>
      <c r="C61" s="29">
        <v>32</v>
      </c>
      <c r="D61" s="29">
        <v>30</v>
      </c>
      <c r="E61" s="15">
        <v>10</v>
      </c>
      <c r="G61" s="15" t="str">
        <f>VLOOKUP(C61,[2]Entourage!A:B,2,FALSE)</f>
        <v>尤狄恩</v>
      </c>
      <c r="H61" s="15" t="str">
        <f>VLOOKUP(D61,[2]Entourage!A:B,2,FALSE)</f>
        <v>诺萨尼尔</v>
      </c>
      <c r="L61" s="42">
        <f t="shared" si="0"/>
        <v>0</v>
      </c>
      <c r="M61" s="15">
        <f t="shared" si="0"/>
        <v>0</v>
      </c>
    </row>
    <row r="62" spans="1:13">
      <c r="A62" s="29">
        <v>79</v>
      </c>
      <c r="B62" s="15" t="s">
        <v>689</v>
      </c>
      <c r="C62" s="29">
        <v>32</v>
      </c>
      <c r="D62" s="29">
        <v>31</v>
      </c>
      <c r="E62" s="15">
        <v>10</v>
      </c>
      <c r="G62" s="15" t="str">
        <f>VLOOKUP(C62,[2]Entourage!A:B,2,FALSE)</f>
        <v>尤狄恩</v>
      </c>
      <c r="H62" s="15" t="str">
        <f>VLOOKUP(D62,[2]Entourage!A:B,2,FALSE)</f>
        <v>扎克</v>
      </c>
      <c r="L62" s="42">
        <f t="shared" si="0"/>
        <v>0</v>
      </c>
      <c r="M62" s="15">
        <f t="shared" si="0"/>
        <v>0</v>
      </c>
    </row>
    <row r="63" spans="1:13">
      <c r="A63" s="29">
        <v>80</v>
      </c>
      <c r="B63" s="15" t="s">
        <v>690</v>
      </c>
      <c r="C63" s="29">
        <v>31</v>
      </c>
      <c r="D63" s="29">
        <v>30</v>
      </c>
      <c r="E63" s="15">
        <v>10</v>
      </c>
      <c r="G63" s="15" t="str">
        <f>VLOOKUP(C63,[2]Entourage!A:B,2,FALSE)</f>
        <v>扎克</v>
      </c>
      <c r="H63" s="15" t="str">
        <f>VLOOKUP(D63,[2]Entourage!A:B,2,FALSE)</f>
        <v>诺萨尼尔</v>
      </c>
      <c r="L63" s="42">
        <f t="shared" si="0"/>
        <v>0</v>
      </c>
      <c r="M63" s="15">
        <f t="shared" si="0"/>
        <v>0</v>
      </c>
    </row>
    <row r="64" spans="1:13">
      <c r="A64" s="29">
        <v>81</v>
      </c>
      <c r="B64" s="15" t="s">
        <v>691</v>
      </c>
      <c r="C64" s="29">
        <v>31</v>
      </c>
      <c r="D64" s="29">
        <v>10</v>
      </c>
      <c r="E64" s="15">
        <v>10</v>
      </c>
      <c r="G64" s="15" t="str">
        <f>VLOOKUP(C64,[2]Entourage!A:B,2,FALSE)</f>
        <v>扎克</v>
      </c>
      <c r="H64" s="15" t="str">
        <f>VLOOKUP(D64,[2]Entourage!A:B,2,FALSE)</f>
        <v>黑暗君王</v>
      </c>
      <c r="L64" s="42">
        <f t="shared" si="0"/>
        <v>0</v>
      </c>
      <c r="M64" s="15">
        <f t="shared" si="0"/>
        <v>0</v>
      </c>
    </row>
    <row r="65" spans="1:13">
      <c r="A65" s="29">
        <v>82</v>
      </c>
      <c r="B65" s="15" t="s">
        <v>692</v>
      </c>
      <c r="C65" s="29">
        <v>31</v>
      </c>
      <c r="D65" s="29">
        <v>1</v>
      </c>
      <c r="E65" s="15">
        <v>10</v>
      </c>
      <c r="G65" s="15" t="str">
        <f>VLOOKUP(C65,[2]Entourage!A:B,2,FALSE)</f>
        <v>扎克</v>
      </c>
      <c r="H65" s="15" t="str">
        <f>VLOOKUP(D65,[2]Entourage!A:B,2,FALSE)</f>
        <v>重剑步兵</v>
      </c>
      <c r="L65" s="42">
        <f t="shared" si="0"/>
        <v>0</v>
      </c>
      <c r="M65" s="15">
        <f t="shared" si="0"/>
        <v>0</v>
      </c>
    </row>
    <row r="66" spans="1:13">
      <c r="A66" s="29">
        <v>83</v>
      </c>
      <c r="B66" s="15" t="s">
        <v>693</v>
      </c>
      <c r="C66" s="29">
        <v>31</v>
      </c>
      <c r="D66" s="29">
        <v>9</v>
      </c>
      <c r="E66" s="15">
        <v>10</v>
      </c>
      <c r="G66" s="15" t="str">
        <f>VLOOKUP(C66,[2]Entourage!A:B,2,FALSE)</f>
        <v>扎克</v>
      </c>
      <c r="H66" s="15" t="str">
        <f>VLOOKUP(D66,[2]Entourage!A:B,2,FALSE)</f>
        <v>安娜</v>
      </c>
      <c r="L66" s="42">
        <f t="shared" si="0"/>
        <v>0</v>
      </c>
      <c r="M66" s="15">
        <f t="shared" si="0"/>
        <v>0</v>
      </c>
    </row>
    <row r="67" spans="1:13">
      <c r="A67" s="29">
        <v>84</v>
      </c>
      <c r="B67" s="15" t="s">
        <v>694</v>
      </c>
      <c r="C67" s="29">
        <v>31</v>
      </c>
      <c r="D67" s="29">
        <v>11</v>
      </c>
      <c r="E67" s="15">
        <v>10</v>
      </c>
      <c r="G67" s="15" t="str">
        <f>VLOOKUP(C67,[2]Entourage!A:B,2,FALSE)</f>
        <v>扎克</v>
      </c>
      <c r="H67" s="15" t="str">
        <f>VLOOKUP(D67,[2]Entourage!A:B,2,FALSE)</f>
        <v>露莉亚</v>
      </c>
      <c r="L67" s="42">
        <f t="shared" ref="L67:M93" si="1">IF(OR(C67=$Q$2,C67=$Q$3,C67=$Q$4,C67=$Q$5,C67=$Q$6),1,0)</f>
        <v>0</v>
      </c>
      <c r="M67" s="15">
        <f t="shared" si="1"/>
        <v>0</v>
      </c>
    </row>
    <row r="68" spans="1:13">
      <c r="A68" s="29">
        <v>85</v>
      </c>
      <c r="B68" s="15" t="s">
        <v>695</v>
      </c>
      <c r="C68" s="29">
        <v>30</v>
      </c>
      <c r="D68" s="29">
        <v>31</v>
      </c>
      <c r="E68" s="15">
        <v>10</v>
      </c>
      <c r="G68" s="15" t="str">
        <f>VLOOKUP(C68,[2]Entourage!A:B,2,FALSE)</f>
        <v>诺萨尼尔</v>
      </c>
      <c r="H68" s="15" t="str">
        <f>VLOOKUP(D68,[2]Entourage!A:B,2,FALSE)</f>
        <v>扎克</v>
      </c>
      <c r="L68" s="42">
        <f t="shared" si="1"/>
        <v>0</v>
      </c>
      <c r="M68" s="15">
        <f t="shared" si="1"/>
        <v>0</v>
      </c>
    </row>
    <row r="69" spans="1:13">
      <c r="A69" s="29">
        <v>86</v>
      </c>
      <c r="B69" s="15" t="s">
        <v>696</v>
      </c>
      <c r="C69" s="29">
        <v>30</v>
      </c>
      <c r="D69" s="29">
        <v>2</v>
      </c>
      <c r="E69" s="15">
        <v>10</v>
      </c>
      <c r="G69" s="15" t="str">
        <f>VLOOKUP(C69,[2]Entourage!A:B,2,FALSE)</f>
        <v>诺萨尼尔</v>
      </c>
      <c r="H69" s="15" t="str">
        <f>VLOOKUP(D69,[2]Entourage!A:B,2,FALSE)</f>
        <v>女妖蒂罗亚</v>
      </c>
      <c r="L69" s="42">
        <f t="shared" si="1"/>
        <v>0</v>
      </c>
      <c r="M69" s="15">
        <f t="shared" si="1"/>
        <v>0</v>
      </c>
    </row>
    <row r="70" spans="1:13">
      <c r="A70" s="29">
        <v>87</v>
      </c>
      <c r="B70" s="15" t="s">
        <v>697</v>
      </c>
      <c r="C70" s="29">
        <v>30</v>
      </c>
      <c r="D70" s="29">
        <v>3</v>
      </c>
      <c r="E70" s="15">
        <v>10</v>
      </c>
      <c r="G70" s="15" t="str">
        <f>VLOOKUP(C70,[2]Entourage!A:B,2,FALSE)</f>
        <v>诺萨尼尔</v>
      </c>
      <c r="H70" s="15" t="str">
        <f>VLOOKUP(D70,[2]Entourage!A:B,2,FALSE)</f>
        <v>莫德雷斯</v>
      </c>
      <c r="L70" s="42">
        <f t="shared" si="1"/>
        <v>0</v>
      </c>
      <c r="M70" s="15">
        <f t="shared" si="1"/>
        <v>0</v>
      </c>
    </row>
    <row r="71" spans="1:13">
      <c r="A71" s="29">
        <v>88</v>
      </c>
      <c r="B71" s="15" t="s">
        <v>698</v>
      </c>
      <c r="C71" s="29">
        <v>30</v>
      </c>
      <c r="D71" s="29">
        <v>10</v>
      </c>
      <c r="E71" s="15">
        <v>10</v>
      </c>
      <c r="G71" s="15" t="str">
        <f>VLOOKUP(C71,[2]Entourage!A:B,2,FALSE)</f>
        <v>诺萨尼尔</v>
      </c>
      <c r="H71" s="15" t="str">
        <f>VLOOKUP(D71,[2]Entourage!A:B,2,FALSE)</f>
        <v>黑暗君王</v>
      </c>
      <c r="L71" s="42">
        <f t="shared" si="1"/>
        <v>0</v>
      </c>
      <c r="M71" s="15">
        <f t="shared" si="1"/>
        <v>0</v>
      </c>
    </row>
    <row r="72" spans="1:13">
      <c r="A72" s="29">
        <v>89</v>
      </c>
      <c r="B72" s="15" t="s">
        <v>699</v>
      </c>
      <c r="C72" s="29">
        <v>28</v>
      </c>
      <c r="D72" s="29">
        <v>10</v>
      </c>
      <c r="E72" s="15">
        <v>10</v>
      </c>
      <c r="G72" s="15" t="str">
        <f>VLOOKUP(C72,[2]Entourage!A:B,2,FALSE)</f>
        <v>暴风尤格</v>
      </c>
      <c r="H72" s="15" t="str">
        <f>VLOOKUP(D72,[2]Entourage!A:B,2,FALSE)</f>
        <v>黑暗君王</v>
      </c>
      <c r="L72" s="42">
        <f t="shared" si="1"/>
        <v>0</v>
      </c>
      <c r="M72" s="15">
        <f t="shared" si="1"/>
        <v>0</v>
      </c>
    </row>
    <row r="73" spans="1:13">
      <c r="A73" s="29">
        <v>90</v>
      </c>
      <c r="B73" s="15" t="s">
        <v>700</v>
      </c>
      <c r="C73" s="29">
        <v>28</v>
      </c>
      <c r="D73" s="29">
        <v>1</v>
      </c>
      <c r="E73" s="15">
        <v>10</v>
      </c>
      <c r="G73" s="15" t="str">
        <f>VLOOKUP(C73,[2]Entourage!A:B,2,FALSE)</f>
        <v>暴风尤格</v>
      </c>
      <c r="H73" s="15" t="str">
        <f>VLOOKUP(D73,[2]Entourage!A:B,2,FALSE)</f>
        <v>重剑步兵</v>
      </c>
      <c r="L73" s="42">
        <f t="shared" si="1"/>
        <v>0</v>
      </c>
      <c r="M73" s="15">
        <f t="shared" si="1"/>
        <v>0</v>
      </c>
    </row>
    <row r="74" spans="1:13">
      <c r="A74" s="29">
        <v>91</v>
      </c>
      <c r="B74" s="15" t="s">
        <v>701</v>
      </c>
      <c r="C74" s="29">
        <v>28</v>
      </c>
      <c r="D74" s="29">
        <v>4</v>
      </c>
      <c r="E74" s="15">
        <v>10</v>
      </c>
      <c r="G74" s="15" t="str">
        <f>VLOOKUP(C74,[2]Entourage!A:B,2,FALSE)</f>
        <v>暴风尤格</v>
      </c>
      <c r="H74" s="15" t="str">
        <f>VLOOKUP(D74,[2]Entourage!A:B,2,FALSE)</f>
        <v>土元素</v>
      </c>
      <c r="L74" s="42">
        <f t="shared" si="1"/>
        <v>0</v>
      </c>
      <c r="M74" s="15">
        <f t="shared" si="1"/>
        <v>0</v>
      </c>
    </row>
    <row r="75" spans="1:13">
      <c r="A75" s="29">
        <v>92</v>
      </c>
      <c r="B75" s="15" t="s">
        <v>702</v>
      </c>
      <c r="C75" s="29">
        <v>28</v>
      </c>
      <c r="D75" s="29">
        <v>17</v>
      </c>
      <c r="E75" s="15">
        <v>10</v>
      </c>
      <c r="G75" s="15" t="str">
        <f>VLOOKUP(C75,[2]Entourage!A:B,2,FALSE)</f>
        <v>暴风尤格</v>
      </c>
      <c r="H75" s="15" t="str">
        <f>VLOOKUP(D75,[2]Entourage!A:B,2,FALSE)</f>
        <v>瓦伦</v>
      </c>
      <c r="L75" s="42">
        <f t="shared" si="1"/>
        <v>0</v>
      </c>
      <c r="M75" s="15">
        <f t="shared" si="1"/>
        <v>0</v>
      </c>
    </row>
    <row r="76" spans="1:13">
      <c r="A76" s="29">
        <v>93</v>
      </c>
      <c r="B76" s="15" t="s">
        <v>703</v>
      </c>
      <c r="C76" s="29">
        <v>29</v>
      </c>
      <c r="D76" s="29">
        <v>13</v>
      </c>
      <c r="E76" s="15">
        <v>10</v>
      </c>
      <c r="G76" s="15" t="str">
        <f>VLOOKUP(C76,[2]Entourage!A:B,2,FALSE)</f>
        <v>维克斯</v>
      </c>
      <c r="H76" s="15" t="str">
        <f>VLOOKUP(D76,[2]Entourage!A:B,2,FALSE)</f>
        <v>希瓦娜</v>
      </c>
      <c r="L76" s="42">
        <f t="shared" si="1"/>
        <v>0</v>
      </c>
      <c r="M76" s="15">
        <f t="shared" si="1"/>
        <v>0</v>
      </c>
    </row>
    <row r="77" spans="1:13">
      <c r="A77" s="29">
        <v>94</v>
      </c>
      <c r="B77" s="15" t="s">
        <v>704</v>
      </c>
      <c r="C77" s="29">
        <v>29</v>
      </c>
      <c r="D77" s="29">
        <v>12</v>
      </c>
      <c r="E77" s="15">
        <v>10</v>
      </c>
      <c r="G77" s="15" t="str">
        <f>VLOOKUP(C77,[2]Entourage!A:B,2,FALSE)</f>
        <v>维克斯</v>
      </c>
      <c r="H77" s="15" t="str">
        <f>VLOOKUP(D77,[2]Entourage!A:B,2,FALSE)</f>
        <v>格拉尔</v>
      </c>
      <c r="L77" s="42">
        <f t="shared" si="1"/>
        <v>0</v>
      </c>
      <c r="M77" s="15">
        <f t="shared" si="1"/>
        <v>0</v>
      </c>
    </row>
    <row r="78" spans="1:13">
      <c r="A78" s="29">
        <v>95</v>
      </c>
      <c r="B78" s="15" t="s">
        <v>705</v>
      </c>
      <c r="C78" s="29">
        <v>29</v>
      </c>
      <c r="D78" s="29">
        <v>9</v>
      </c>
      <c r="E78" s="15">
        <v>10</v>
      </c>
      <c r="G78" s="15" t="str">
        <f>VLOOKUP(C78,[2]Entourage!A:B,2,FALSE)</f>
        <v>维克斯</v>
      </c>
      <c r="H78" s="15" t="str">
        <f>VLOOKUP(D78,[2]Entourage!A:B,2,FALSE)</f>
        <v>安娜</v>
      </c>
      <c r="L78" s="42">
        <f t="shared" si="1"/>
        <v>0</v>
      </c>
      <c r="M78" s="15">
        <f t="shared" si="1"/>
        <v>0</v>
      </c>
    </row>
    <row r="79" spans="1:13">
      <c r="A79" s="29">
        <v>96</v>
      </c>
      <c r="B79" s="15" t="s">
        <v>706</v>
      </c>
      <c r="C79" s="29">
        <v>29</v>
      </c>
      <c r="D79" s="29">
        <v>11</v>
      </c>
      <c r="E79" s="15">
        <v>10</v>
      </c>
      <c r="G79" s="15" t="str">
        <f>VLOOKUP(C79,[2]Entourage!A:B,2,FALSE)</f>
        <v>维克斯</v>
      </c>
      <c r="H79" s="15" t="str">
        <f>VLOOKUP(D79,[2]Entourage!A:B,2,FALSE)</f>
        <v>露莉亚</v>
      </c>
      <c r="L79" s="42">
        <f t="shared" si="1"/>
        <v>0</v>
      </c>
      <c r="M79" s="15">
        <f t="shared" si="1"/>
        <v>0</v>
      </c>
    </row>
    <row r="80" spans="1:13">
      <c r="A80" s="29">
        <v>97</v>
      </c>
      <c r="B80" s="15" t="s">
        <v>707</v>
      </c>
      <c r="C80" s="29">
        <v>29</v>
      </c>
      <c r="D80" s="29">
        <v>24</v>
      </c>
      <c r="E80" s="15">
        <v>10</v>
      </c>
      <c r="G80" s="15" t="str">
        <f>VLOOKUP(C80,[2]Entourage!A:B,2,FALSE)</f>
        <v>维克斯</v>
      </c>
      <c r="H80" s="15" t="str">
        <f>VLOOKUP(D80,[2]Entourage!A:B,2,FALSE)</f>
        <v>艾伦米尔</v>
      </c>
      <c r="L80" s="42">
        <f t="shared" si="1"/>
        <v>0</v>
      </c>
      <c r="M80" s="15">
        <f t="shared" si="1"/>
        <v>0</v>
      </c>
    </row>
    <row r="81" spans="1:13">
      <c r="A81" s="29">
        <v>98</v>
      </c>
      <c r="B81" s="15" t="s">
        <v>708</v>
      </c>
      <c r="C81" s="29">
        <v>29</v>
      </c>
      <c r="D81" s="29">
        <v>15</v>
      </c>
      <c r="E81" s="15">
        <v>10</v>
      </c>
      <c r="G81" s="15" t="str">
        <f>VLOOKUP(C81,[2]Entourage!A:B,2,FALSE)</f>
        <v>维克斯</v>
      </c>
      <c r="H81" s="15" t="str">
        <f>VLOOKUP(D81,[2]Entourage!A:B,2,FALSE)</f>
        <v>沃尔格斯</v>
      </c>
      <c r="L81" s="42">
        <f t="shared" si="1"/>
        <v>0</v>
      </c>
      <c r="M81" s="15">
        <f t="shared" si="1"/>
        <v>0</v>
      </c>
    </row>
    <row r="82" spans="1:13">
      <c r="A82" s="29">
        <v>99</v>
      </c>
      <c r="B82" s="15" t="s">
        <v>709</v>
      </c>
      <c r="C82" s="29">
        <v>29</v>
      </c>
      <c r="D82" s="29">
        <v>16</v>
      </c>
      <c r="E82" s="15">
        <v>10</v>
      </c>
      <c r="G82" s="15" t="str">
        <f>VLOOKUP(C82,[2]Entourage!A:B,2,FALSE)</f>
        <v>维克斯</v>
      </c>
      <c r="H82" s="15" t="str">
        <f>VLOOKUP(D82,[2]Entourage!A:B,2,FALSE)</f>
        <v>范克利刃</v>
      </c>
      <c r="L82" s="42">
        <f t="shared" si="1"/>
        <v>0</v>
      </c>
      <c r="M82" s="15">
        <f t="shared" si="1"/>
        <v>0</v>
      </c>
    </row>
    <row r="83" spans="1:13">
      <c r="A83" s="29">
        <v>100</v>
      </c>
      <c r="B83" s="15" t="s">
        <v>710</v>
      </c>
      <c r="C83" s="29">
        <v>29</v>
      </c>
      <c r="D83" s="29">
        <v>10</v>
      </c>
      <c r="E83" s="15">
        <v>10</v>
      </c>
      <c r="G83" s="15" t="str">
        <f>VLOOKUP(C83,[2]Entourage!A:B,2,FALSE)</f>
        <v>维克斯</v>
      </c>
      <c r="H83" s="15" t="str">
        <f>VLOOKUP(D83,[2]Entourage!A:B,2,FALSE)</f>
        <v>黑暗君王</v>
      </c>
      <c r="L83" s="42">
        <f t="shared" si="1"/>
        <v>0</v>
      </c>
      <c r="M83" s="15">
        <f t="shared" si="1"/>
        <v>0</v>
      </c>
    </row>
    <row r="84" spans="1:13">
      <c r="A84" s="29">
        <v>101</v>
      </c>
      <c r="B84" s="15" t="s">
        <v>711</v>
      </c>
      <c r="C84" s="29">
        <v>29</v>
      </c>
      <c r="D84" s="29">
        <v>31</v>
      </c>
      <c r="E84" s="15">
        <v>10</v>
      </c>
      <c r="G84" s="15" t="str">
        <f>VLOOKUP(C84,[2]Entourage!A:B,2,FALSE)</f>
        <v>维克斯</v>
      </c>
      <c r="H84" s="15" t="str">
        <f>VLOOKUP(D84,[2]Entourage!A:B,2,FALSE)</f>
        <v>扎克</v>
      </c>
      <c r="L84" s="42">
        <f t="shared" si="1"/>
        <v>0</v>
      </c>
      <c r="M84" s="15">
        <f t="shared" si="1"/>
        <v>0</v>
      </c>
    </row>
    <row r="85" spans="1:13">
      <c r="A85" s="29">
        <v>102</v>
      </c>
      <c r="B85" s="15" t="s">
        <v>712</v>
      </c>
      <c r="C85" s="29">
        <v>13</v>
      </c>
      <c r="D85" s="29">
        <v>29</v>
      </c>
      <c r="E85" s="15">
        <v>10</v>
      </c>
      <c r="G85" s="15" t="str">
        <f>VLOOKUP(C85,[2]Entourage!A:B,2,FALSE)</f>
        <v>希瓦娜</v>
      </c>
      <c r="H85" s="15" t="str">
        <f>VLOOKUP(D85,[2]Entourage!A:B,2,FALSE)</f>
        <v>维克斯</v>
      </c>
      <c r="L85" s="42">
        <f t="shared" si="1"/>
        <v>0</v>
      </c>
      <c r="M85" s="15">
        <f t="shared" si="1"/>
        <v>0</v>
      </c>
    </row>
    <row r="86" spans="1:13">
      <c r="A86" s="29">
        <v>103</v>
      </c>
      <c r="B86" s="15" t="s">
        <v>712</v>
      </c>
      <c r="C86" s="29">
        <v>12</v>
      </c>
      <c r="D86" s="29">
        <v>29</v>
      </c>
      <c r="E86" s="15">
        <v>10</v>
      </c>
      <c r="G86" s="15" t="str">
        <f>VLOOKUP(C86,[2]Entourage!A:B,2,FALSE)</f>
        <v>格拉尔</v>
      </c>
      <c r="H86" s="15" t="str">
        <f>VLOOKUP(D86,[2]Entourage!A:B,2,FALSE)</f>
        <v>维克斯</v>
      </c>
      <c r="L86" s="42">
        <f t="shared" si="1"/>
        <v>0</v>
      </c>
      <c r="M86" s="15">
        <f t="shared" si="1"/>
        <v>0</v>
      </c>
    </row>
    <row r="87" spans="1:13">
      <c r="A87" s="29">
        <v>104</v>
      </c>
      <c r="B87" s="15" t="s">
        <v>712</v>
      </c>
      <c r="C87" s="29">
        <v>9</v>
      </c>
      <c r="D87" s="29">
        <v>29</v>
      </c>
      <c r="E87" s="15">
        <v>10</v>
      </c>
      <c r="G87" s="15" t="str">
        <f>VLOOKUP(C87,[2]Entourage!A:B,2,FALSE)</f>
        <v>安娜</v>
      </c>
      <c r="H87" s="15" t="str">
        <f>VLOOKUP(D87,[2]Entourage!A:B,2,FALSE)</f>
        <v>维克斯</v>
      </c>
      <c r="L87" s="42">
        <f t="shared" si="1"/>
        <v>0</v>
      </c>
      <c r="M87" s="15">
        <f t="shared" si="1"/>
        <v>0</v>
      </c>
    </row>
    <row r="88" spans="1:13">
      <c r="A88" s="29">
        <v>105</v>
      </c>
      <c r="B88" s="15" t="s">
        <v>712</v>
      </c>
      <c r="C88" s="29">
        <v>11</v>
      </c>
      <c r="D88" s="29">
        <v>29</v>
      </c>
      <c r="E88" s="15">
        <v>10</v>
      </c>
      <c r="G88" s="15" t="str">
        <f>VLOOKUP(C88,[2]Entourage!A:B,2,FALSE)</f>
        <v>露莉亚</v>
      </c>
      <c r="H88" s="15" t="str">
        <f>VLOOKUP(D88,[2]Entourage!A:B,2,FALSE)</f>
        <v>维克斯</v>
      </c>
      <c r="L88" s="42">
        <f t="shared" si="1"/>
        <v>0</v>
      </c>
      <c r="M88" s="15">
        <f t="shared" si="1"/>
        <v>0</v>
      </c>
    </row>
    <row r="89" spans="1:13">
      <c r="A89" s="29">
        <v>106</v>
      </c>
      <c r="B89" s="15" t="s">
        <v>712</v>
      </c>
      <c r="C89" s="29">
        <v>24</v>
      </c>
      <c r="D89" s="29">
        <v>29</v>
      </c>
      <c r="E89" s="15">
        <v>10</v>
      </c>
      <c r="G89" s="15" t="str">
        <f>VLOOKUP(C89,[2]Entourage!A:B,2,FALSE)</f>
        <v>艾伦米尔</v>
      </c>
      <c r="H89" s="15" t="str">
        <f>VLOOKUP(D89,[2]Entourage!A:B,2,FALSE)</f>
        <v>维克斯</v>
      </c>
      <c r="L89" s="42">
        <f t="shared" si="1"/>
        <v>0</v>
      </c>
      <c r="M89" s="15">
        <f t="shared" si="1"/>
        <v>0</v>
      </c>
    </row>
    <row r="90" spans="1:13">
      <c r="A90" s="29">
        <v>107</v>
      </c>
      <c r="B90" s="15" t="s">
        <v>712</v>
      </c>
      <c r="C90" s="29">
        <v>15</v>
      </c>
      <c r="D90" s="29">
        <v>29</v>
      </c>
      <c r="E90" s="15">
        <v>10</v>
      </c>
      <c r="G90" s="15" t="str">
        <f>VLOOKUP(C90,[2]Entourage!A:B,2,FALSE)</f>
        <v>沃尔格斯</v>
      </c>
      <c r="H90" s="15" t="str">
        <f>VLOOKUP(D90,[2]Entourage!A:B,2,FALSE)</f>
        <v>维克斯</v>
      </c>
      <c r="L90" s="42">
        <f t="shared" si="1"/>
        <v>0</v>
      </c>
      <c r="M90" s="15">
        <f t="shared" si="1"/>
        <v>0</v>
      </c>
    </row>
    <row r="91" spans="1:13">
      <c r="A91" s="29">
        <v>108</v>
      </c>
      <c r="B91" s="15" t="s">
        <v>712</v>
      </c>
      <c r="C91" s="29">
        <v>16</v>
      </c>
      <c r="D91" s="29">
        <v>29</v>
      </c>
      <c r="E91" s="15">
        <v>10</v>
      </c>
      <c r="G91" s="15" t="str">
        <f>VLOOKUP(C91,[2]Entourage!A:B,2,FALSE)</f>
        <v>范克利刃</v>
      </c>
      <c r="H91" s="15" t="str">
        <f>VLOOKUP(D91,[2]Entourage!A:B,2,FALSE)</f>
        <v>维克斯</v>
      </c>
      <c r="L91" s="42">
        <f t="shared" si="1"/>
        <v>0</v>
      </c>
      <c r="M91" s="15">
        <f t="shared" si="1"/>
        <v>0</v>
      </c>
    </row>
    <row r="92" spans="1:13">
      <c r="A92" s="29">
        <v>109</v>
      </c>
      <c r="B92" s="15" t="s">
        <v>712</v>
      </c>
      <c r="C92" s="29">
        <v>10</v>
      </c>
      <c r="D92" s="29">
        <v>29</v>
      </c>
      <c r="E92" s="15">
        <v>10</v>
      </c>
      <c r="G92" s="15" t="str">
        <f>VLOOKUP(C92,[2]Entourage!A:B,2,FALSE)</f>
        <v>黑暗君王</v>
      </c>
      <c r="H92" s="15" t="str">
        <f>VLOOKUP(D92,[2]Entourage!A:B,2,FALSE)</f>
        <v>维克斯</v>
      </c>
      <c r="L92" s="42">
        <f t="shared" si="1"/>
        <v>0</v>
      </c>
      <c r="M92" s="15">
        <f t="shared" si="1"/>
        <v>0</v>
      </c>
    </row>
    <row r="93" spans="1:13">
      <c r="A93" s="29">
        <v>110</v>
      </c>
      <c r="B93" s="15" t="s">
        <v>712</v>
      </c>
      <c r="C93" s="29">
        <v>31</v>
      </c>
      <c r="D93" s="29">
        <v>29</v>
      </c>
      <c r="E93" s="15">
        <v>10</v>
      </c>
      <c r="G93" s="15" t="str">
        <f>VLOOKUP(C93,[2]Entourage!A:B,2,FALSE)</f>
        <v>扎克</v>
      </c>
      <c r="H93" s="15" t="str">
        <f>VLOOKUP(D93,[2]Entourage!A:B,2,FALSE)</f>
        <v>维克斯</v>
      </c>
      <c r="L93" s="42">
        <f t="shared" si="1"/>
        <v>0</v>
      </c>
      <c r="M93" s="15">
        <f t="shared" si="1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G13"/>
  <sheetViews>
    <sheetView workbookViewId="0">
      <selection activeCell="G22" sqref="A1:G22"/>
    </sheetView>
  </sheetViews>
  <sheetFormatPr defaultRowHeight="13.5"/>
  <cols>
    <col min="1" max="1" width="21.6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>
      <c r="A1" s="16">
        <v>1</v>
      </c>
      <c r="B1" s="16">
        <v>2</v>
      </c>
      <c r="C1" s="16">
        <v>3</v>
      </c>
      <c r="D1" s="16">
        <v>4</v>
      </c>
      <c r="E1" s="16">
        <v>5</v>
      </c>
      <c r="F1" s="16">
        <v>6</v>
      </c>
      <c r="G1" s="16">
        <v>7</v>
      </c>
    </row>
    <row r="2" spans="1:7">
      <c r="A2" t="s">
        <v>276</v>
      </c>
      <c r="B2" t="s">
        <v>276</v>
      </c>
      <c r="C2" s="16"/>
      <c r="D2" s="16"/>
      <c r="E2" s="16"/>
      <c r="F2" s="16"/>
      <c r="G2" s="16" t="s">
        <v>3</v>
      </c>
    </row>
    <row r="3" spans="1:7">
      <c r="A3" t="s">
        <v>111</v>
      </c>
      <c r="B3" t="s">
        <v>277</v>
      </c>
      <c r="C3" s="16"/>
      <c r="D3" s="16"/>
      <c r="E3" s="16"/>
      <c r="F3" s="16"/>
      <c r="G3" s="16" t="s">
        <v>3</v>
      </c>
    </row>
    <row r="4" spans="1:7">
      <c r="A4" t="s">
        <v>273</v>
      </c>
      <c r="B4" t="s">
        <v>273</v>
      </c>
      <c r="C4" s="16"/>
      <c r="D4" s="16"/>
      <c r="E4" s="16"/>
      <c r="F4" s="16"/>
      <c r="G4" s="16" t="s">
        <v>3</v>
      </c>
    </row>
    <row r="5" spans="1:7">
      <c r="A5" t="s">
        <v>290</v>
      </c>
      <c r="B5" t="s">
        <v>288</v>
      </c>
      <c r="C5" s="16"/>
      <c r="D5" s="16"/>
      <c r="E5" s="16"/>
      <c r="F5" s="16"/>
      <c r="G5" s="16" t="s">
        <v>3</v>
      </c>
    </row>
    <row r="6" spans="1:7">
      <c r="A6" t="s">
        <v>278</v>
      </c>
      <c r="B6" t="s">
        <v>278</v>
      </c>
      <c r="G6" s="16" t="s">
        <v>3</v>
      </c>
    </row>
    <row r="7" spans="1:7">
      <c r="A7" t="s">
        <v>279</v>
      </c>
      <c r="B7" t="s">
        <v>279</v>
      </c>
      <c r="G7" s="16" t="s">
        <v>3</v>
      </c>
    </row>
    <row r="8" spans="1:7">
      <c r="A8" t="s">
        <v>281</v>
      </c>
      <c r="B8" t="s">
        <v>281</v>
      </c>
      <c r="G8" s="16" t="s">
        <v>3</v>
      </c>
    </row>
    <row r="9" spans="1:7">
      <c r="A9" t="s">
        <v>280</v>
      </c>
      <c r="B9" t="s">
        <v>280</v>
      </c>
      <c r="G9" s="16" t="s">
        <v>3</v>
      </c>
    </row>
    <row r="10" spans="1:7">
      <c r="A10" t="s">
        <v>286</v>
      </c>
      <c r="B10" t="s">
        <v>287</v>
      </c>
      <c r="G10" s="16" t="s">
        <v>3</v>
      </c>
    </row>
    <row r="11" spans="1:7">
      <c r="A11" t="s">
        <v>289</v>
      </c>
      <c r="B11" s="16"/>
      <c r="C11" s="16"/>
      <c r="D11" s="16"/>
      <c r="E11" s="16"/>
      <c r="F11" s="16"/>
      <c r="G11" s="16" t="s">
        <v>8</v>
      </c>
    </row>
    <row r="12" spans="1:7">
      <c r="A12" t="s">
        <v>284</v>
      </c>
      <c r="B12" s="16"/>
      <c r="C12" s="16"/>
      <c r="D12" s="16"/>
      <c r="E12" s="16"/>
      <c r="F12" s="16"/>
      <c r="G12" s="16" t="s">
        <v>4</v>
      </c>
    </row>
    <row r="13" spans="1:7">
      <c r="A13" s="39" t="s">
        <v>285</v>
      </c>
      <c r="B13" s="39"/>
      <c r="C13" s="39"/>
      <c r="D13" s="39"/>
      <c r="E13" s="39"/>
      <c r="F13" s="39"/>
      <c r="G13" s="39" t="s">
        <v>32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2"/>
  <dimension ref="A1:AM921"/>
  <sheetViews>
    <sheetView zoomScaleNormal="100" workbookViewId="0">
      <pane ySplit="10" topLeftCell="A838" activePane="bottomLeft" state="frozenSplit"/>
      <selection pane="bottomLeft" activeCell="W30" sqref="W30"/>
    </sheetView>
  </sheetViews>
  <sheetFormatPr defaultRowHeight="12"/>
  <cols>
    <col min="1" max="1" width="14.75" style="135" bestFit="1" customWidth="1"/>
    <col min="2" max="2" width="8.5" style="135" bestFit="1" customWidth="1"/>
    <col min="3" max="3" width="11.5" style="135" bestFit="1" customWidth="1"/>
    <col min="4" max="4" width="10.5" style="135" bestFit="1" customWidth="1"/>
    <col min="5" max="5" width="22.5" style="135" bestFit="1" customWidth="1"/>
    <col min="6" max="6" width="24.75" style="135" bestFit="1" customWidth="1"/>
    <col min="7" max="7" width="19.25" style="135" bestFit="1" customWidth="1"/>
    <col min="8" max="8" width="10.5" style="135" bestFit="1" customWidth="1"/>
    <col min="9" max="9" width="5.875" style="135" bestFit="1" customWidth="1"/>
    <col min="10" max="10" width="6.75" style="135" bestFit="1" customWidth="1"/>
    <col min="11" max="11" width="2.375" style="135" bestFit="1" customWidth="1"/>
    <col min="12" max="12" width="4.75" style="135" bestFit="1" customWidth="1"/>
    <col min="13" max="14" width="6.75" style="135" bestFit="1" customWidth="1"/>
    <col min="15" max="15" width="4.75" style="135" bestFit="1" customWidth="1"/>
    <col min="16" max="16" width="4.125" style="135" bestFit="1" customWidth="1"/>
    <col min="17" max="17" width="6.75" style="136" bestFit="1" customWidth="1"/>
    <col min="18" max="18" width="2.375" style="145" bestFit="1" customWidth="1"/>
    <col min="19" max="19" width="9.625" style="146" bestFit="1" customWidth="1"/>
    <col min="20" max="20" width="9.625" style="135" bestFit="1" customWidth="1"/>
    <col min="21" max="28" width="9" style="135"/>
    <col min="29" max="29" width="11" style="135" bestFit="1" customWidth="1"/>
    <col min="30" max="16384" width="9" style="135"/>
  </cols>
  <sheetData>
    <row r="1" spans="1:39">
      <c r="A1" s="162" t="s">
        <v>636</v>
      </c>
      <c r="B1" s="162" t="s">
        <v>637</v>
      </c>
      <c r="C1" s="162" t="s">
        <v>638</v>
      </c>
      <c r="D1" s="162" t="s">
        <v>639</v>
      </c>
      <c r="E1" s="162" t="s">
        <v>640</v>
      </c>
      <c r="F1" s="162" t="s">
        <v>641</v>
      </c>
      <c r="G1" s="162" t="s">
        <v>642</v>
      </c>
      <c r="H1" s="162" t="s">
        <v>643</v>
      </c>
      <c r="I1" s="162" t="s">
        <v>644</v>
      </c>
      <c r="J1" s="147" t="s">
        <v>645</v>
      </c>
      <c r="K1" s="147"/>
      <c r="L1" s="147"/>
      <c r="M1" s="147" t="s">
        <v>646</v>
      </c>
      <c r="N1" s="147" t="s">
        <v>647</v>
      </c>
      <c r="O1" s="147"/>
      <c r="P1" s="147"/>
      <c r="Q1" s="148" t="s">
        <v>648</v>
      </c>
      <c r="R1" s="149"/>
      <c r="S1" s="150"/>
      <c r="T1" s="147"/>
      <c r="U1" s="147"/>
      <c r="V1" s="147"/>
      <c r="AE1" s="137" t="s">
        <v>649</v>
      </c>
    </row>
    <row r="2" spans="1:39">
      <c r="A2" s="159">
        <f>INT((ROW(A2)+8)/10)</f>
        <v>1</v>
      </c>
      <c r="B2" s="160">
        <f>COUNTIF(A$1:A2,A2)</f>
        <v>1</v>
      </c>
      <c r="C2" s="160">
        <f>P2</f>
        <v>101</v>
      </c>
      <c r="D2" s="159">
        <v>48</v>
      </c>
      <c r="E2" s="159">
        <f>MIN(B2*10,90)</f>
        <v>10</v>
      </c>
      <c r="F2" s="160">
        <f>INT(B2/2)+1</f>
        <v>1</v>
      </c>
      <c r="G2" s="161">
        <f t="shared" ref="G2:G65" si="0">VLOOKUP(B2,AA$2:AC$11,2,FALSE)</f>
        <v>5902</v>
      </c>
      <c r="H2" s="159">
        <f t="shared" ref="H2:H65" si="1">VLOOKUP(B2,AA$2:AC$11,3,FALSE)</f>
        <v>1</v>
      </c>
      <c r="I2" s="159">
        <f>INT(IF(C2=104,D2,D2*25))</f>
        <v>1200</v>
      </c>
      <c r="J2" s="152">
        <f>VLOOKUP(A2,[2]filiation!A:C,3,FALSE)</f>
        <v>1</v>
      </c>
      <c r="K2" s="152">
        <f>VLOOKUP(J2,[2]Entourage!A:N,14,FALSE)</f>
        <v>1</v>
      </c>
      <c r="L2" s="152" t="str">
        <f t="shared" ref="L2:L65" si="2">VLOOKUP(K2,$X$2:$Y$4,2,FALSE)</f>
        <v>战斗</v>
      </c>
      <c r="M2" s="152">
        <f>VLOOKUP(A2,[2]filiation!A:D,4,FALSE)</f>
        <v>2</v>
      </c>
      <c r="N2" s="152">
        <f>VLOOKUP(M2,[2]Entourage!A:N,14,FALSE)</f>
        <v>2</v>
      </c>
      <c r="O2" s="152" t="str">
        <f t="shared" ref="O2:O65" si="3">VLOOKUP(N2,$X$2:$Y$4,2,FALSE)</f>
        <v>刺杀</v>
      </c>
      <c r="P2" s="152">
        <f t="shared" ref="P2:P65" si="4">VLOOKUP(N2,$X$2:$Z$4,3,FALSE)</f>
        <v>101</v>
      </c>
      <c r="Q2" s="151">
        <f>INT(VLOOKUP(VLOOKUP(A2,[2]filiation!A:E,3,FALSE),[2]Entourage!A:AA,IF(C2=101,25,IF(C2=102,26,IF(C2=104,27))),FALSE)*VLOOKUP(N2,$AF$2:$AI$6,IF(C2=1,2,IF(C2=2,3,4)),FALSE)*VLOOKUP(B2,$AK$2:$AL$11,2,FALSE))</f>
        <v>192</v>
      </c>
      <c r="R2" s="153">
        <f>IFERROR(INDEX([3]ItemConfig!$BB:$BB,MATCH(G2,[3]ItemConfig!$A:$A,0))*H2,0)</f>
        <v>0</v>
      </c>
      <c r="S2" s="154" t="str">
        <f>VLOOKUP(J2,[2]Entourage!A:B,2,FALSE)</f>
        <v>重剑步兵</v>
      </c>
      <c r="T2" s="151" t="str">
        <f>VLOOKUP(M2,[2]Entourage!A:B,2,FALSE)</f>
        <v>女妖蒂罗亚</v>
      </c>
      <c r="U2" s="163"/>
      <c r="V2" s="147"/>
      <c r="X2" s="138">
        <v>1</v>
      </c>
      <c r="Y2" s="138" t="s">
        <v>650</v>
      </c>
      <c r="Z2" s="138">
        <v>102</v>
      </c>
      <c r="AA2" s="138">
        <v>1</v>
      </c>
      <c r="AB2" s="138">
        <v>5902</v>
      </c>
      <c r="AC2" s="139">
        <v>1</v>
      </c>
      <c r="AE2" s="138" t="s">
        <v>497</v>
      </c>
      <c r="AF2" s="138"/>
      <c r="AG2" s="138"/>
      <c r="AH2" s="138"/>
      <c r="AI2" s="138"/>
      <c r="AK2" s="138">
        <v>1</v>
      </c>
      <c r="AL2" s="138">
        <v>0.8</v>
      </c>
    </row>
    <row r="3" spans="1:39">
      <c r="A3" s="159">
        <f t="shared" ref="A3:A66" si="5">INT((ROW(A3)+8)/10)</f>
        <v>1</v>
      </c>
      <c r="B3" s="160">
        <f>COUNTIF(A$1:A3,A3)</f>
        <v>2</v>
      </c>
      <c r="C3" s="160">
        <f t="shared" ref="C3:C66" si="6">P3</f>
        <v>101</v>
      </c>
      <c r="D3" s="159">
        <v>96</v>
      </c>
      <c r="E3" s="159">
        <f t="shared" ref="E3:E66" si="7">MIN(B3*10,90)</f>
        <v>20</v>
      </c>
      <c r="F3" s="160">
        <f t="shared" ref="F3:F66" si="8">INT(B3/2)+1</f>
        <v>2</v>
      </c>
      <c r="G3" s="161">
        <f t="shared" si="0"/>
        <v>5902</v>
      </c>
      <c r="H3" s="159">
        <f t="shared" si="1"/>
        <v>2</v>
      </c>
      <c r="I3" s="159">
        <f t="shared" ref="I3:I66" si="9">INT(IF(C3=104,D3,D3*25))</f>
        <v>2400</v>
      </c>
      <c r="J3" s="152">
        <f>VLOOKUP(A3,[2]filiation!A:C,3,FALSE)</f>
        <v>1</v>
      </c>
      <c r="K3" s="152">
        <f>VLOOKUP(J3,[2]Entourage!A:N,14,FALSE)</f>
        <v>1</v>
      </c>
      <c r="L3" s="152" t="str">
        <f t="shared" si="2"/>
        <v>战斗</v>
      </c>
      <c r="M3" s="152">
        <f>VLOOKUP(A3,[2]filiation!A:D,4,FALSE)</f>
        <v>2</v>
      </c>
      <c r="N3" s="152">
        <f>VLOOKUP(M3,[2]Entourage!A:N,14,FALSE)</f>
        <v>2</v>
      </c>
      <c r="O3" s="152" t="str">
        <f t="shared" si="3"/>
        <v>刺杀</v>
      </c>
      <c r="P3" s="152">
        <f t="shared" si="4"/>
        <v>101</v>
      </c>
      <c r="Q3" s="151">
        <f>INT(VLOOKUP(VLOOKUP(A3,[2]filiation!A:E,3,FALSE),[2]Entourage!A:AA,IF(C3=101,25,IF(C3=102,26,IF(C3=104,27))),FALSE)*VLOOKUP(N3,$AF$2:$AI$6,IF(C3=1,2,IF(C3=2,3,4)),FALSE)*VLOOKUP(B3,$AK$2:$AL$11,2,FALSE))</f>
        <v>200</v>
      </c>
      <c r="R3" s="153">
        <f>IFERROR(INDEX([3]ItemConfig!$BB:$BB,MATCH(G3,[3]ItemConfig!$A:$A,0))*H3,0)</f>
        <v>0</v>
      </c>
      <c r="S3" s="154" t="str">
        <f>VLOOKUP(J3,[2]Entourage!A:B,2,FALSE)</f>
        <v>重剑步兵</v>
      </c>
      <c r="T3" s="151" t="str">
        <f>VLOOKUP(M3,[2]Entourage!A:B,2,FALSE)</f>
        <v>女妖蒂罗亚</v>
      </c>
      <c r="U3" s="163"/>
      <c r="V3" s="147"/>
      <c r="X3" s="138">
        <v>2</v>
      </c>
      <c r="Y3" s="138" t="s">
        <v>651</v>
      </c>
      <c r="Z3" s="138">
        <v>101</v>
      </c>
      <c r="AA3" s="138">
        <v>2</v>
      </c>
      <c r="AB3" s="138">
        <v>5902</v>
      </c>
      <c r="AC3" s="139">
        <v>2</v>
      </c>
      <c r="AE3" s="138"/>
      <c r="AF3" s="138"/>
      <c r="AG3" s="138" t="s">
        <v>498</v>
      </c>
      <c r="AH3" s="138" t="s">
        <v>499</v>
      </c>
      <c r="AI3" s="138" t="s">
        <v>500</v>
      </c>
      <c r="AK3" s="138">
        <v>2</v>
      </c>
      <c r="AL3" s="138">
        <v>0.83636363636363642</v>
      </c>
    </row>
    <row r="4" spans="1:39">
      <c r="A4" s="159">
        <f t="shared" si="5"/>
        <v>1</v>
      </c>
      <c r="B4" s="160">
        <f>COUNTIF(A$1:A4,A4)</f>
        <v>3</v>
      </c>
      <c r="C4" s="160">
        <f t="shared" si="6"/>
        <v>101</v>
      </c>
      <c r="D4" s="159">
        <v>144</v>
      </c>
      <c r="E4" s="159">
        <f t="shared" si="7"/>
        <v>30</v>
      </c>
      <c r="F4" s="160">
        <f t="shared" si="8"/>
        <v>2</v>
      </c>
      <c r="G4" s="161">
        <f t="shared" si="0"/>
        <v>5902</v>
      </c>
      <c r="H4" s="159">
        <f t="shared" si="1"/>
        <v>3</v>
      </c>
      <c r="I4" s="159">
        <f t="shared" si="9"/>
        <v>3600</v>
      </c>
      <c r="J4" s="152">
        <f>VLOOKUP(A4,[2]filiation!A:C,3,FALSE)</f>
        <v>1</v>
      </c>
      <c r="K4" s="152">
        <f>VLOOKUP(J4,[2]Entourage!A:N,14,FALSE)</f>
        <v>1</v>
      </c>
      <c r="L4" s="152" t="str">
        <f t="shared" si="2"/>
        <v>战斗</v>
      </c>
      <c r="M4" s="152">
        <f>VLOOKUP(A4,[2]filiation!A:D,4,FALSE)</f>
        <v>2</v>
      </c>
      <c r="N4" s="152">
        <f>VLOOKUP(M4,[2]Entourage!A:N,14,FALSE)</f>
        <v>2</v>
      </c>
      <c r="O4" s="152" t="str">
        <f t="shared" si="3"/>
        <v>刺杀</v>
      </c>
      <c r="P4" s="152">
        <f t="shared" si="4"/>
        <v>101</v>
      </c>
      <c r="Q4" s="151">
        <f>INT(VLOOKUP(VLOOKUP(A4,[2]filiation!A:E,3,FALSE),[2]Entourage!A:AA,IF(C4=101,25,IF(C4=102,26,IF(C4=104,27))),FALSE)*VLOOKUP(N4,$AF$2:$AI$6,IF(C4=1,2,IF(C4=2,3,4)),FALSE)*VLOOKUP(B4,$AK$2:$AL$11,2,FALSE))</f>
        <v>215</v>
      </c>
      <c r="R4" s="153">
        <f>IFERROR(INDEX([3]ItemConfig!$BB:$BB,MATCH(G4,[3]ItemConfig!$A:$A,0))*H4,0)</f>
        <v>0</v>
      </c>
      <c r="S4" s="154" t="str">
        <f>VLOOKUP(J4,[2]Entourage!A:B,2,FALSE)</f>
        <v>重剑步兵</v>
      </c>
      <c r="T4" s="151" t="str">
        <f>VLOOKUP(M4,[2]Entourage!A:B,2,FALSE)</f>
        <v>女妖蒂罗亚</v>
      </c>
      <c r="U4" s="163"/>
      <c r="V4" s="147"/>
      <c r="X4" s="138">
        <v>3</v>
      </c>
      <c r="Y4" s="138" t="s">
        <v>652</v>
      </c>
      <c r="Z4" s="138">
        <v>104</v>
      </c>
      <c r="AA4" s="138">
        <v>3</v>
      </c>
      <c r="AB4" s="138">
        <v>5902</v>
      </c>
      <c r="AC4" s="139">
        <v>3</v>
      </c>
      <c r="AE4" s="138" t="s">
        <v>501</v>
      </c>
      <c r="AF4" s="139">
        <v>1</v>
      </c>
      <c r="AG4" s="138">
        <v>0.8</v>
      </c>
      <c r="AH4" s="138">
        <v>1</v>
      </c>
      <c r="AI4" s="138">
        <v>1.2</v>
      </c>
      <c r="AK4" s="138">
        <v>3</v>
      </c>
      <c r="AL4" s="138">
        <v>0.89696969696969708</v>
      </c>
    </row>
    <row r="5" spans="1:39">
      <c r="A5" s="159">
        <f t="shared" si="5"/>
        <v>1</v>
      </c>
      <c r="B5" s="160">
        <f>COUNTIF(A$1:A5,A5)</f>
        <v>4</v>
      </c>
      <c r="C5" s="160">
        <f t="shared" si="6"/>
        <v>101</v>
      </c>
      <c r="D5" s="159">
        <v>192</v>
      </c>
      <c r="E5" s="159">
        <f t="shared" si="7"/>
        <v>40</v>
      </c>
      <c r="F5" s="160">
        <f t="shared" si="8"/>
        <v>3</v>
      </c>
      <c r="G5" s="161">
        <f t="shared" si="0"/>
        <v>5902</v>
      </c>
      <c r="H5" s="159">
        <f t="shared" si="1"/>
        <v>4</v>
      </c>
      <c r="I5" s="159">
        <f t="shared" si="9"/>
        <v>4800</v>
      </c>
      <c r="J5" s="152">
        <f>VLOOKUP(A5,[2]filiation!A:C,3,FALSE)</f>
        <v>1</v>
      </c>
      <c r="K5" s="152">
        <f>VLOOKUP(J5,[2]Entourage!A:N,14,FALSE)</f>
        <v>1</v>
      </c>
      <c r="L5" s="152" t="str">
        <f t="shared" si="2"/>
        <v>战斗</v>
      </c>
      <c r="M5" s="152">
        <f>VLOOKUP(A5,[2]filiation!A:D,4,FALSE)</f>
        <v>2</v>
      </c>
      <c r="N5" s="152">
        <f>VLOOKUP(M5,[2]Entourage!A:N,14,FALSE)</f>
        <v>2</v>
      </c>
      <c r="O5" s="152" t="str">
        <f t="shared" si="3"/>
        <v>刺杀</v>
      </c>
      <c r="P5" s="152">
        <f t="shared" si="4"/>
        <v>101</v>
      </c>
      <c r="Q5" s="151">
        <f>INT(VLOOKUP(VLOOKUP(A5,[2]filiation!A:E,3,FALSE),[2]Entourage!A:AA,IF(C5=101,25,IF(C5=102,26,IF(C5=104,27))),FALSE)*VLOOKUP(N5,$AF$2:$AI$6,IF(C5=1,2,IF(C5=2,3,4)),FALSE)*VLOOKUP(B5,$AK$2:$AL$11,2,FALSE))</f>
        <v>235</v>
      </c>
      <c r="R5" s="153">
        <f>IFERROR(INDEX([3]ItemConfig!$BB:$BB,MATCH(G5,[3]ItemConfig!$A:$A,0))*H5,0)</f>
        <v>0</v>
      </c>
      <c r="S5" s="154" t="str">
        <f>VLOOKUP(J5,[2]Entourage!A:B,2,FALSE)</f>
        <v>重剑步兵</v>
      </c>
      <c r="T5" s="151" t="str">
        <f>VLOOKUP(M5,[2]Entourage!A:B,2,FALSE)</f>
        <v>女妖蒂罗亚</v>
      </c>
      <c r="U5" s="163"/>
      <c r="V5" s="147"/>
      <c r="AA5" s="138">
        <v>4</v>
      </c>
      <c r="AB5" s="138">
        <v>5902</v>
      </c>
      <c r="AC5" s="139">
        <v>4</v>
      </c>
      <c r="AE5" s="138" t="s">
        <v>502</v>
      </c>
      <c r="AF5" s="139">
        <v>2</v>
      </c>
      <c r="AG5" s="138">
        <v>1.2</v>
      </c>
      <c r="AH5" s="138">
        <v>0.9</v>
      </c>
      <c r="AI5" s="138">
        <v>0.9</v>
      </c>
      <c r="AK5" s="138">
        <v>4</v>
      </c>
      <c r="AL5" s="138">
        <v>0.98181818181818192</v>
      </c>
    </row>
    <row r="6" spans="1:39">
      <c r="A6" s="159">
        <f t="shared" si="5"/>
        <v>1</v>
      </c>
      <c r="B6" s="160">
        <f>COUNTIF(A$1:A6,A6)</f>
        <v>5</v>
      </c>
      <c r="C6" s="160">
        <f t="shared" si="6"/>
        <v>101</v>
      </c>
      <c r="D6" s="159">
        <v>240</v>
      </c>
      <c r="E6" s="159">
        <f t="shared" si="7"/>
        <v>50</v>
      </c>
      <c r="F6" s="160">
        <f t="shared" si="8"/>
        <v>3</v>
      </c>
      <c r="G6" s="161">
        <f t="shared" si="0"/>
        <v>5902</v>
      </c>
      <c r="H6" s="159">
        <f t="shared" si="1"/>
        <v>6</v>
      </c>
      <c r="I6" s="159">
        <f t="shared" si="9"/>
        <v>6000</v>
      </c>
      <c r="J6" s="152">
        <f>VLOOKUP(A6,[2]filiation!A:C,3,FALSE)</f>
        <v>1</v>
      </c>
      <c r="K6" s="152">
        <f>VLOOKUP(J6,[2]Entourage!A:N,14,FALSE)</f>
        <v>1</v>
      </c>
      <c r="L6" s="152" t="str">
        <f t="shared" si="2"/>
        <v>战斗</v>
      </c>
      <c r="M6" s="152">
        <f>VLOOKUP(A6,[2]filiation!A:D,4,FALSE)</f>
        <v>2</v>
      </c>
      <c r="N6" s="152">
        <f>VLOOKUP(M6,[2]Entourage!A:N,14,FALSE)</f>
        <v>2</v>
      </c>
      <c r="O6" s="152" t="str">
        <f t="shared" si="3"/>
        <v>刺杀</v>
      </c>
      <c r="P6" s="152">
        <f t="shared" si="4"/>
        <v>101</v>
      </c>
      <c r="Q6" s="151">
        <f>INT(VLOOKUP(VLOOKUP(A6,[2]filiation!A:E,3,FALSE),[2]Entourage!A:AA,IF(C6=101,25,IF(C6=102,26,IF(C6=104,27))),FALSE)*VLOOKUP(N6,$AF$2:$AI$6,IF(C6=1,2,IF(C6=2,3,4)),FALSE)*VLOOKUP(B6,$AK$2:$AL$11,2,FALSE))</f>
        <v>262</v>
      </c>
      <c r="R6" s="153">
        <f>IFERROR(INDEX([3]ItemConfig!$BB:$BB,MATCH(G6,[3]ItemConfig!$A:$A,0))*H6,0)</f>
        <v>0</v>
      </c>
      <c r="S6" s="154" t="str">
        <f>VLOOKUP(J6,[2]Entourage!A:B,2,FALSE)</f>
        <v>重剑步兵</v>
      </c>
      <c r="T6" s="151" t="str">
        <f>VLOOKUP(M6,[2]Entourage!A:B,2,FALSE)</f>
        <v>女妖蒂罗亚</v>
      </c>
      <c r="U6" s="163"/>
      <c r="V6" s="147"/>
      <c r="AA6" s="138">
        <v>5</v>
      </c>
      <c r="AB6" s="138">
        <v>5902</v>
      </c>
      <c r="AC6" s="165">
        <f>AC5+2</f>
        <v>6</v>
      </c>
      <c r="AE6" s="138" t="s">
        <v>503</v>
      </c>
      <c r="AF6" s="139">
        <v>3</v>
      </c>
      <c r="AG6" s="138">
        <v>1</v>
      </c>
      <c r="AH6" s="138">
        <v>1</v>
      </c>
      <c r="AI6" s="138">
        <v>1</v>
      </c>
      <c r="AK6" s="138">
        <v>5</v>
      </c>
      <c r="AL6" s="138">
        <v>1.0909090909090911</v>
      </c>
    </row>
    <row r="7" spans="1:39">
      <c r="A7" s="159">
        <f t="shared" si="5"/>
        <v>1</v>
      </c>
      <c r="B7" s="160">
        <f>COUNTIF(A$1:A7,A7)</f>
        <v>6</v>
      </c>
      <c r="C7" s="160">
        <f t="shared" si="6"/>
        <v>101</v>
      </c>
      <c r="D7" s="159">
        <v>288</v>
      </c>
      <c r="E7" s="159">
        <f t="shared" si="7"/>
        <v>60</v>
      </c>
      <c r="F7" s="160">
        <f t="shared" si="8"/>
        <v>4</v>
      </c>
      <c r="G7" s="161">
        <f t="shared" si="0"/>
        <v>5902</v>
      </c>
      <c r="H7" s="159">
        <f t="shared" si="1"/>
        <v>8</v>
      </c>
      <c r="I7" s="159">
        <f t="shared" si="9"/>
        <v>7200</v>
      </c>
      <c r="J7" s="152">
        <f>VLOOKUP(A7,[2]filiation!A:C,3,FALSE)</f>
        <v>1</v>
      </c>
      <c r="K7" s="152">
        <f>VLOOKUP(J7,[2]Entourage!A:N,14,FALSE)</f>
        <v>1</v>
      </c>
      <c r="L7" s="152" t="str">
        <f t="shared" si="2"/>
        <v>战斗</v>
      </c>
      <c r="M7" s="152">
        <f>VLOOKUP(A7,[2]filiation!A:D,4,FALSE)</f>
        <v>2</v>
      </c>
      <c r="N7" s="152">
        <f>VLOOKUP(M7,[2]Entourage!A:N,14,FALSE)</f>
        <v>2</v>
      </c>
      <c r="O7" s="152" t="str">
        <f t="shared" si="3"/>
        <v>刺杀</v>
      </c>
      <c r="P7" s="152">
        <f t="shared" si="4"/>
        <v>101</v>
      </c>
      <c r="Q7" s="151">
        <f>INT(VLOOKUP(VLOOKUP(A7,[2]filiation!A:E,3,FALSE),[2]Entourage!A:AA,IF(C7=101,25,IF(C7=102,26,IF(C7=104,27))),FALSE)*VLOOKUP(N7,$AF$2:$AI$6,IF(C7=1,2,IF(C7=2,3,4)),FALSE)*VLOOKUP(B7,$AK$2:$AL$11,2,FALSE))</f>
        <v>294</v>
      </c>
      <c r="R7" s="153">
        <f>IFERROR(INDEX([3]ItemConfig!$BB:$BB,MATCH(G7,[3]ItemConfig!$A:$A,0))*H7,0)</f>
        <v>0</v>
      </c>
      <c r="S7" s="154" t="str">
        <f>VLOOKUP(J7,[2]Entourage!A:B,2,FALSE)</f>
        <v>重剑步兵</v>
      </c>
      <c r="T7" s="151" t="str">
        <f>VLOOKUP(M7,[2]Entourage!A:B,2,FALSE)</f>
        <v>女妖蒂罗亚</v>
      </c>
      <c r="U7" s="163"/>
      <c r="V7" s="138">
        <v>102</v>
      </c>
      <c r="W7" s="164">
        <f>SUMIFS(D:D,B:B,10,C:C,V7)</f>
        <v>27392</v>
      </c>
      <c r="AA7" s="138">
        <v>6</v>
      </c>
      <c r="AB7" s="138">
        <v>5902</v>
      </c>
      <c r="AC7" s="165">
        <f t="shared" ref="AC7:AC9" si="10">AC6+2</f>
        <v>8</v>
      </c>
      <c r="AK7" s="138">
        <v>6</v>
      </c>
      <c r="AL7" s="138">
        <v>1.2242424242424244</v>
      </c>
    </row>
    <row r="8" spans="1:39">
      <c r="A8" s="159">
        <f t="shared" si="5"/>
        <v>1</v>
      </c>
      <c r="B8" s="160">
        <f>COUNTIF(A$1:A8,A8)</f>
        <v>7</v>
      </c>
      <c r="C8" s="160">
        <f t="shared" si="6"/>
        <v>101</v>
      </c>
      <c r="D8" s="159">
        <v>336</v>
      </c>
      <c r="E8" s="159">
        <f t="shared" si="7"/>
        <v>70</v>
      </c>
      <c r="F8" s="160">
        <f t="shared" si="8"/>
        <v>4</v>
      </c>
      <c r="G8" s="161">
        <f t="shared" si="0"/>
        <v>5902</v>
      </c>
      <c r="H8" s="159">
        <f t="shared" si="1"/>
        <v>10</v>
      </c>
      <c r="I8" s="159">
        <f t="shared" si="9"/>
        <v>8400</v>
      </c>
      <c r="J8" s="152">
        <f>VLOOKUP(A8,[2]filiation!A:C,3,FALSE)</f>
        <v>1</v>
      </c>
      <c r="K8" s="152">
        <f>VLOOKUP(J8,[2]Entourage!A:N,14,FALSE)</f>
        <v>1</v>
      </c>
      <c r="L8" s="152" t="str">
        <f t="shared" si="2"/>
        <v>战斗</v>
      </c>
      <c r="M8" s="152">
        <f>VLOOKUP(A8,[2]filiation!A:D,4,FALSE)</f>
        <v>2</v>
      </c>
      <c r="N8" s="152">
        <f>VLOOKUP(M8,[2]Entourage!A:N,14,FALSE)</f>
        <v>2</v>
      </c>
      <c r="O8" s="152" t="str">
        <f t="shared" si="3"/>
        <v>刺杀</v>
      </c>
      <c r="P8" s="152">
        <f t="shared" si="4"/>
        <v>101</v>
      </c>
      <c r="Q8" s="151">
        <f>INT(VLOOKUP(VLOOKUP(A8,[2]filiation!A:E,3,FALSE),[2]Entourage!A:AA,IF(C8=101,25,IF(C8=102,26,IF(C8=104,27))),FALSE)*VLOOKUP(N8,$AF$2:$AI$6,IF(C8=1,2,IF(C8=2,3,4)),FALSE)*VLOOKUP(B8,$AK$2:$AL$11,2,FALSE))</f>
        <v>332</v>
      </c>
      <c r="R8" s="153">
        <f>IFERROR(INDEX([3]ItemConfig!$BB:$BB,MATCH(G8,[3]ItemConfig!$A:$A,0))*H8,0)</f>
        <v>0</v>
      </c>
      <c r="S8" s="154" t="str">
        <f>VLOOKUP(J8,[2]Entourage!A:B,2,FALSE)</f>
        <v>重剑步兵</v>
      </c>
      <c r="T8" s="151" t="str">
        <f>VLOOKUP(M8,[2]Entourage!A:B,2,FALSE)</f>
        <v>女妖蒂罗亚</v>
      </c>
      <c r="U8" s="163"/>
      <c r="V8" s="138">
        <v>101</v>
      </c>
      <c r="W8" s="164">
        <f t="shared" ref="W8:W9" si="11">SUMIFS(D:D,B:B,10,C:C,V8)</f>
        <v>28383</v>
      </c>
      <c r="AA8" s="138">
        <v>7</v>
      </c>
      <c r="AB8" s="138">
        <v>5902</v>
      </c>
      <c r="AC8" s="165">
        <f t="shared" si="10"/>
        <v>10</v>
      </c>
      <c r="AF8" s="135" t="s">
        <v>653</v>
      </c>
      <c r="AG8" s="135" t="s">
        <v>654</v>
      </c>
      <c r="AK8" s="138">
        <v>7</v>
      </c>
      <c r="AL8" s="138">
        <v>1.3818181818181818</v>
      </c>
    </row>
    <row r="9" spans="1:39">
      <c r="A9" s="159">
        <f t="shared" si="5"/>
        <v>1</v>
      </c>
      <c r="B9" s="160">
        <f>COUNTIF(A$1:A9,A9)</f>
        <v>8</v>
      </c>
      <c r="C9" s="160">
        <f t="shared" si="6"/>
        <v>101</v>
      </c>
      <c r="D9" s="159">
        <v>384</v>
      </c>
      <c r="E9" s="159">
        <f t="shared" si="7"/>
        <v>80</v>
      </c>
      <c r="F9" s="160">
        <f t="shared" si="8"/>
        <v>5</v>
      </c>
      <c r="G9" s="161">
        <f t="shared" si="0"/>
        <v>5902</v>
      </c>
      <c r="H9" s="159">
        <f t="shared" si="1"/>
        <v>12</v>
      </c>
      <c r="I9" s="159">
        <f t="shared" si="9"/>
        <v>9600</v>
      </c>
      <c r="J9" s="152">
        <f>VLOOKUP(A9,[2]filiation!A:C,3,FALSE)</f>
        <v>1</v>
      </c>
      <c r="K9" s="152">
        <f>VLOOKUP(J9,[2]Entourage!A:N,14,FALSE)</f>
        <v>1</v>
      </c>
      <c r="L9" s="152" t="str">
        <f t="shared" si="2"/>
        <v>战斗</v>
      </c>
      <c r="M9" s="152">
        <f>VLOOKUP(A9,[2]filiation!A:D,4,FALSE)</f>
        <v>2</v>
      </c>
      <c r="N9" s="152">
        <f>VLOOKUP(M9,[2]Entourage!A:N,14,FALSE)</f>
        <v>2</v>
      </c>
      <c r="O9" s="152" t="str">
        <f t="shared" si="3"/>
        <v>刺杀</v>
      </c>
      <c r="P9" s="152">
        <f t="shared" si="4"/>
        <v>101</v>
      </c>
      <c r="Q9" s="151">
        <f>INT(VLOOKUP(VLOOKUP(A9,[2]filiation!A:E,3,FALSE),[2]Entourage!A:AA,IF(C9=101,25,IF(C9=102,26,IF(C9=104,27))),FALSE)*VLOOKUP(N9,$AF$2:$AI$6,IF(C9=1,2,IF(C9=2,3,4)),FALSE)*VLOOKUP(B9,$AK$2:$AL$11,2,FALSE))</f>
        <v>375</v>
      </c>
      <c r="R9" s="153">
        <f>IFERROR(INDEX([3]ItemConfig!$BB:$BB,MATCH(G9,[3]ItemConfig!$A:$A,0))*H9,0)</f>
        <v>0</v>
      </c>
      <c r="S9" s="154" t="str">
        <f>VLOOKUP(J9,[2]Entourage!A:B,2,FALSE)</f>
        <v>重剑步兵</v>
      </c>
      <c r="T9" s="151" t="str">
        <f>VLOOKUP(M9,[2]Entourage!A:B,2,FALSE)</f>
        <v>女妖蒂罗亚</v>
      </c>
      <c r="U9" s="163"/>
      <c r="V9" s="138">
        <v>104</v>
      </c>
      <c r="W9" s="164">
        <f t="shared" si="11"/>
        <v>354694</v>
      </c>
      <c r="AA9" s="138">
        <v>8</v>
      </c>
      <c r="AB9" s="138">
        <v>5902</v>
      </c>
      <c r="AC9" s="165">
        <f t="shared" si="10"/>
        <v>12</v>
      </c>
      <c r="AK9" s="138">
        <v>8</v>
      </c>
      <c r="AL9" s="138">
        <v>1.5636363636363637</v>
      </c>
    </row>
    <row r="10" spans="1:39">
      <c r="A10" s="159">
        <f t="shared" si="5"/>
        <v>1</v>
      </c>
      <c r="B10" s="160">
        <f>COUNTIF(A$1:A10,A10)</f>
        <v>9</v>
      </c>
      <c r="C10" s="160">
        <f t="shared" si="6"/>
        <v>101</v>
      </c>
      <c r="D10" s="159">
        <v>432</v>
      </c>
      <c r="E10" s="159">
        <f t="shared" si="7"/>
        <v>90</v>
      </c>
      <c r="F10" s="160">
        <f t="shared" si="8"/>
        <v>5</v>
      </c>
      <c r="G10" s="161">
        <f t="shared" si="0"/>
        <v>5902</v>
      </c>
      <c r="H10" s="159">
        <f t="shared" si="1"/>
        <v>15</v>
      </c>
      <c r="I10" s="159">
        <f t="shared" si="9"/>
        <v>10800</v>
      </c>
      <c r="J10" s="152">
        <f>VLOOKUP(A10,[2]filiation!A:C,3,FALSE)</f>
        <v>1</v>
      </c>
      <c r="K10" s="152">
        <f>VLOOKUP(J10,[2]Entourage!A:N,14,FALSE)</f>
        <v>1</v>
      </c>
      <c r="L10" s="152" t="str">
        <f t="shared" si="2"/>
        <v>战斗</v>
      </c>
      <c r="M10" s="152">
        <f>VLOOKUP(A10,[2]filiation!A:D,4,FALSE)</f>
        <v>2</v>
      </c>
      <c r="N10" s="152">
        <f>VLOOKUP(M10,[2]Entourage!A:N,14,FALSE)</f>
        <v>2</v>
      </c>
      <c r="O10" s="152" t="str">
        <f t="shared" si="3"/>
        <v>刺杀</v>
      </c>
      <c r="P10" s="152">
        <f t="shared" si="4"/>
        <v>101</v>
      </c>
      <c r="Q10" s="151">
        <f>INT(VLOOKUP(VLOOKUP(A10,[2]filiation!A:E,3,FALSE),[2]Entourage!A:AA,IF(C10=101,25,IF(C10=102,26,IF(C10=104,27))),FALSE)*VLOOKUP(N10,$AF$2:$AI$6,IF(C10=1,2,IF(C10=2,3,4)),FALSE)*VLOOKUP(B10,$AK$2:$AL$11,2,FALSE))</f>
        <v>425</v>
      </c>
      <c r="R10" s="153">
        <f>IFERROR(INDEX([3]ItemConfig!$BB:$BB,MATCH(G10,[3]ItemConfig!$A:$A,0))*H10,0)</f>
        <v>0</v>
      </c>
      <c r="S10" s="154" t="str">
        <f>VLOOKUP(J10,[2]Entourage!A:B,2,FALSE)</f>
        <v>重剑步兵</v>
      </c>
      <c r="T10" s="151" t="str">
        <f>VLOOKUP(M10,[2]Entourage!A:B,2,FALSE)</f>
        <v>女妖蒂罗亚</v>
      </c>
      <c r="U10" s="163"/>
      <c r="V10" s="147"/>
      <c r="AA10" s="138">
        <v>9</v>
      </c>
      <c r="AB10" s="138">
        <v>5902</v>
      </c>
      <c r="AC10" s="139">
        <f>AC9+3</f>
        <v>15</v>
      </c>
      <c r="AH10" s="135">
        <f>(1000+145)*10/200</f>
        <v>57.25</v>
      </c>
      <c r="AK10" s="138">
        <v>9</v>
      </c>
      <c r="AL10" s="138">
        <v>1.7696969696969698</v>
      </c>
    </row>
    <row r="11" spans="1:39">
      <c r="A11" s="159">
        <f t="shared" si="5"/>
        <v>1</v>
      </c>
      <c r="B11" s="160">
        <f>COUNTIF(A$1:A11,A11)</f>
        <v>10</v>
      </c>
      <c r="C11" s="160">
        <f t="shared" si="6"/>
        <v>101</v>
      </c>
      <c r="D11" s="159">
        <v>480</v>
      </c>
      <c r="E11" s="159">
        <f t="shared" si="7"/>
        <v>90</v>
      </c>
      <c r="F11" s="160">
        <f t="shared" si="8"/>
        <v>6</v>
      </c>
      <c r="G11" s="161">
        <f t="shared" si="0"/>
        <v>5902</v>
      </c>
      <c r="H11" s="159">
        <f t="shared" si="1"/>
        <v>18</v>
      </c>
      <c r="I11" s="159">
        <f t="shared" si="9"/>
        <v>12000</v>
      </c>
      <c r="J11" s="152">
        <f>VLOOKUP(A11,[2]filiation!A:C,3,FALSE)</f>
        <v>1</v>
      </c>
      <c r="K11" s="152">
        <f>VLOOKUP(J11,[2]Entourage!A:N,14,FALSE)</f>
        <v>1</v>
      </c>
      <c r="L11" s="152" t="str">
        <f t="shared" si="2"/>
        <v>战斗</v>
      </c>
      <c r="M11" s="152">
        <f>VLOOKUP(A11,[2]filiation!A:D,4,FALSE)</f>
        <v>2</v>
      </c>
      <c r="N11" s="152">
        <f>VLOOKUP(M11,[2]Entourage!A:N,14,FALSE)</f>
        <v>2</v>
      </c>
      <c r="O11" s="152" t="str">
        <f t="shared" si="3"/>
        <v>刺杀</v>
      </c>
      <c r="P11" s="152">
        <f t="shared" si="4"/>
        <v>101</v>
      </c>
      <c r="Q11" s="151">
        <f>INT(VLOOKUP(VLOOKUP(A11,[2]filiation!A:E,3,FALSE),[2]Entourage!A:AA,IF(C11=101,25,IF(C11=102,26,IF(C11=104,27))),FALSE)*VLOOKUP(N11,$AF$2:$AI$6,IF(C11=1,2,IF(C11=2,3,4)),FALSE)*VLOOKUP(B11,$AK$2:$AL$11,2,FALSE))</f>
        <v>480</v>
      </c>
      <c r="R11" s="153">
        <f>IFERROR(INDEX([3]ItemConfig!$BB:$BB,MATCH(G11,[3]ItemConfig!$A:$A,0))*H11,0)</f>
        <v>0</v>
      </c>
      <c r="S11" s="154" t="str">
        <f>VLOOKUP(J11,[2]Entourage!A:B,2,FALSE)</f>
        <v>重剑步兵</v>
      </c>
      <c r="T11" s="151" t="str">
        <f>VLOOKUP(M11,[2]Entourage!A:B,2,FALSE)</f>
        <v>女妖蒂罗亚</v>
      </c>
      <c r="U11" s="163"/>
      <c r="V11" s="147"/>
      <c r="AA11" s="138">
        <v>10</v>
      </c>
      <c r="AB11" s="138">
        <v>5902</v>
      </c>
      <c r="AC11" s="139">
        <f>AC10+3</f>
        <v>18</v>
      </c>
      <c r="AK11" s="138">
        <v>10</v>
      </c>
      <c r="AL11" s="138">
        <v>2</v>
      </c>
    </row>
    <row r="12" spans="1:39">
      <c r="A12" s="166">
        <f t="shared" si="5"/>
        <v>2</v>
      </c>
      <c r="B12" s="167">
        <f>COUNTIF(A$1:A12,A12)</f>
        <v>1</v>
      </c>
      <c r="C12" s="167">
        <f t="shared" si="6"/>
        <v>104</v>
      </c>
      <c r="D12" s="166">
        <v>820</v>
      </c>
      <c r="E12" s="166">
        <f t="shared" si="7"/>
        <v>10</v>
      </c>
      <c r="F12" s="167">
        <f t="shared" si="8"/>
        <v>1</v>
      </c>
      <c r="G12" s="168">
        <f t="shared" si="0"/>
        <v>5902</v>
      </c>
      <c r="H12" s="166">
        <f t="shared" si="1"/>
        <v>1</v>
      </c>
      <c r="I12" s="166">
        <f t="shared" si="9"/>
        <v>820</v>
      </c>
      <c r="J12" s="152">
        <f>VLOOKUP(A12,[2]filiation!A:C,3,FALSE)</f>
        <v>2</v>
      </c>
      <c r="K12" s="152">
        <f>VLOOKUP(J12,[2]Entourage!A:N,14,FALSE)</f>
        <v>2</v>
      </c>
      <c r="L12" s="152" t="str">
        <f t="shared" si="2"/>
        <v>刺杀</v>
      </c>
      <c r="M12" s="152">
        <f>VLOOKUP(A12,[2]filiation!A:D,4,FALSE)</f>
        <v>3</v>
      </c>
      <c r="N12" s="152">
        <f>VLOOKUP(M12,[2]Entourage!A:N,14,FALSE)</f>
        <v>3</v>
      </c>
      <c r="O12" s="152" t="str">
        <f t="shared" si="3"/>
        <v>辅助</v>
      </c>
      <c r="P12" s="152">
        <f t="shared" si="4"/>
        <v>104</v>
      </c>
      <c r="Q12" s="151">
        <f>INT(VLOOKUP(VLOOKUP(A12,[2]filiation!A:E,3,FALSE),[2]Entourage!A:AA,IF(C12=101,25,IF(C12=102,26,IF(C12=104,27))),FALSE)*VLOOKUP(N12,$AF$2:$AI$6,IF(C12=1,2,IF(C12=2,3,4)),FALSE)*VLOOKUP(B12,$AK$2:$AL$11,2,FALSE))</f>
        <v>3278</v>
      </c>
      <c r="R12" s="153">
        <f>IFERROR(INDEX([3]ItemConfig!$BB:$BB,MATCH(G12,[3]ItemConfig!$A:$A,0))*H12,0)</f>
        <v>0</v>
      </c>
      <c r="S12" s="154" t="str">
        <f>VLOOKUP(J12,[2]Entourage!A:B,2,FALSE)</f>
        <v>女妖蒂罗亚</v>
      </c>
      <c r="T12" s="151" t="str">
        <f>VLOOKUP(M12,[2]Entourage!A:B,2,FALSE)</f>
        <v>莫德雷斯</v>
      </c>
      <c r="U12" s="163"/>
      <c r="V12" s="147"/>
    </row>
    <row r="13" spans="1:39">
      <c r="A13" s="166">
        <f t="shared" si="5"/>
        <v>2</v>
      </c>
      <c r="B13" s="167">
        <f>COUNTIF(A$1:A13,A13)</f>
        <v>2</v>
      </c>
      <c r="C13" s="167">
        <f t="shared" si="6"/>
        <v>104</v>
      </c>
      <c r="D13" s="166">
        <v>1640</v>
      </c>
      <c r="E13" s="166">
        <f t="shared" si="7"/>
        <v>20</v>
      </c>
      <c r="F13" s="167">
        <f t="shared" si="8"/>
        <v>2</v>
      </c>
      <c r="G13" s="168">
        <f t="shared" si="0"/>
        <v>5902</v>
      </c>
      <c r="H13" s="166">
        <f t="shared" si="1"/>
        <v>2</v>
      </c>
      <c r="I13" s="166">
        <f t="shared" si="9"/>
        <v>1640</v>
      </c>
      <c r="J13" s="152">
        <f>VLOOKUP(A13,[2]filiation!A:C,3,FALSE)</f>
        <v>2</v>
      </c>
      <c r="K13" s="152">
        <f>VLOOKUP(J13,[2]Entourage!A:N,14,FALSE)</f>
        <v>2</v>
      </c>
      <c r="L13" s="152" t="str">
        <f t="shared" si="2"/>
        <v>刺杀</v>
      </c>
      <c r="M13" s="152">
        <f>VLOOKUP(A13,[2]filiation!A:D,4,FALSE)</f>
        <v>3</v>
      </c>
      <c r="N13" s="152">
        <f>VLOOKUP(M13,[2]Entourage!A:N,14,FALSE)</f>
        <v>3</v>
      </c>
      <c r="O13" s="152" t="str">
        <f t="shared" si="3"/>
        <v>辅助</v>
      </c>
      <c r="P13" s="152">
        <f t="shared" si="4"/>
        <v>104</v>
      </c>
      <c r="Q13" s="151">
        <f>INT(VLOOKUP(VLOOKUP(A13,[2]filiation!A:E,3,FALSE),[2]Entourage!A:AA,IF(C13=101,25,IF(C13=102,26,IF(C13=104,27))),FALSE)*VLOOKUP(N13,$AF$2:$AI$6,IF(C13=1,2,IF(C13=2,3,4)),FALSE)*VLOOKUP(B13,$AK$2:$AL$11,2,FALSE))</f>
        <v>3427</v>
      </c>
      <c r="R13" s="153">
        <f>IFERROR(INDEX([3]ItemConfig!$BB:$BB,MATCH(G13,[3]ItemConfig!$A:$A,0))*H13,0)</f>
        <v>0</v>
      </c>
      <c r="S13" s="154" t="str">
        <f>VLOOKUP(J13,[2]Entourage!A:B,2,FALSE)</f>
        <v>女妖蒂罗亚</v>
      </c>
      <c r="T13" s="151" t="str">
        <f>VLOOKUP(M13,[2]Entourage!A:B,2,FALSE)</f>
        <v>莫德雷斯</v>
      </c>
      <c r="U13" s="163"/>
      <c r="V13" s="147"/>
    </row>
    <row r="14" spans="1:39">
      <c r="A14" s="166">
        <f t="shared" si="5"/>
        <v>2</v>
      </c>
      <c r="B14" s="167">
        <f>COUNTIF(A$1:A14,A14)</f>
        <v>3</v>
      </c>
      <c r="C14" s="167">
        <f t="shared" si="6"/>
        <v>104</v>
      </c>
      <c r="D14" s="166">
        <v>2459</v>
      </c>
      <c r="E14" s="166">
        <f t="shared" si="7"/>
        <v>30</v>
      </c>
      <c r="F14" s="167">
        <f t="shared" si="8"/>
        <v>2</v>
      </c>
      <c r="G14" s="168">
        <f t="shared" si="0"/>
        <v>5902</v>
      </c>
      <c r="H14" s="166">
        <f t="shared" si="1"/>
        <v>3</v>
      </c>
      <c r="I14" s="166">
        <f t="shared" si="9"/>
        <v>2459</v>
      </c>
      <c r="J14" s="152">
        <f>VLOOKUP(A14,[2]filiation!A:C,3,FALSE)</f>
        <v>2</v>
      </c>
      <c r="K14" s="152">
        <f>VLOOKUP(J14,[2]Entourage!A:N,14,FALSE)</f>
        <v>2</v>
      </c>
      <c r="L14" s="152" t="str">
        <f t="shared" si="2"/>
        <v>刺杀</v>
      </c>
      <c r="M14" s="152">
        <f>VLOOKUP(A14,[2]filiation!A:D,4,FALSE)</f>
        <v>3</v>
      </c>
      <c r="N14" s="152">
        <f>VLOOKUP(M14,[2]Entourage!A:N,14,FALSE)</f>
        <v>3</v>
      </c>
      <c r="O14" s="152" t="str">
        <f t="shared" si="3"/>
        <v>辅助</v>
      </c>
      <c r="P14" s="152">
        <f t="shared" si="4"/>
        <v>104</v>
      </c>
      <c r="Q14" s="151">
        <f>INT(VLOOKUP(VLOOKUP(A14,[2]filiation!A:E,3,FALSE),[2]Entourage!A:AA,IF(C14=101,25,IF(C14=102,26,IF(C14=104,27))),FALSE)*VLOOKUP(N14,$AF$2:$AI$6,IF(C14=1,2,IF(C14=2,3,4)),FALSE)*VLOOKUP(B14,$AK$2:$AL$11,2,FALSE))</f>
        <v>3675</v>
      </c>
      <c r="R14" s="153">
        <f>IFERROR(INDEX([3]ItemConfig!$BB:$BB,MATCH(G14,[3]ItemConfig!$A:$A,0))*H14,0)</f>
        <v>0</v>
      </c>
      <c r="S14" s="154" t="str">
        <f>VLOOKUP(J14,[2]Entourage!A:B,2,FALSE)</f>
        <v>女妖蒂罗亚</v>
      </c>
      <c r="T14" s="151" t="str">
        <f>VLOOKUP(M14,[2]Entourage!A:B,2,FALSE)</f>
        <v>莫德雷斯</v>
      </c>
      <c r="U14" s="163"/>
      <c r="V14" s="147"/>
      <c r="X14" s="140"/>
      <c r="Y14" s="141"/>
      <c r="Z14" s="142"/>
      <c r="AH14" s="141"/>
      <c r="AI14" s="143"/>
      <c r="AJ14" s="143"/>
      <c r="AK14" s="143"/>
      <c r="AM14" s="141"/>
    </row>
    <row r="15" spans="1:39">
      <c r="A15" s="166">
        <f t="shared" si="5"/>
        <v>2</v>
      </c>
      <c r="B15" s="167">
        <f>COUNTIF(A$1:A15,A15)</f>
        <v>4</v>
      </c>
      <c r="C15" s="167">
        <f t="shared" si="6"/>
        <v>104</v>
      </c>
      <c r="D15" s="166">
        <v>3279</v>
      </c>
      <c r="E15" s="166">
        <f t="shared" si="7"/>
        <v>40</v>
      </c>
      <c r="F15" s="167">
        <f t="shared" si="8"/>
        <v>3</v>
      </c>
      <c r="G15" s="168">
        <f t="shared" si="0"/>
        <v>5902</v>
      </c>
      <c r="H15" s="166">
        <f t="shared" si="1"/>
        <v>4</v>
      </c>
      <c r="I15" s="166">
        <f t="shared" si="9"/>
        <v>3279</v>
      </c>
      <c r="J15" s="152">
        <f>VLOOKUP(A15,[2]filiation!A:C,3,FALSE)</f>
        <v>2</v>
      </c>
      <c r="K15" s="152">
        <f>VLOOKUP(J15,[2]Entourage!A:N,14,FALSE)</f>
        <v>2</v>
      </c>
      <c r="L15" s="152" t="str">
        <f t="shared" si="2"/>
        <v>刺杀</v>
      </c>
      <c r="M15" s="152">
        <f>VLOOKUP(A15,[2]filiation!A:D,4,FALSE)</f>
        <v>3</v>
      </c>
      <c r="N15" s="152">
        <f>VLOOKUP(M15,[2]Entourage!A:N,14,FALSE)</f>
        <v>3</v>
      </c>
      <c r="O15" s="152" t="str">
        <f t="shared" si="3"/>
        <v>辅助</v>
      </c>
      <c r="P15" s="152">
        <f t="shared" si="4"/>
        <v>104</v>
      </c>
      <c r="Q15" s="151">
        <f>INT(VLOOKUP(VLOOKUP(A15,[2]filiation!A:E,3,FALSE),[2]Entourage!A:AA,IF(C15=101,25,IF(C15=102,26,IF(C15=104,27))),FALSE)*VLOOKUP(N15,$AF$2:$AI$6,IF(C15=1,2,IF(C15=2,3,4)),FALSE)*VLOOKUP(B15,$AK$2:$AL$11,2,FALSE))</f>
        <v>4023</v>
      </c>
      <c r="R15" s="153">
        <f>IFERROR(INDEX([3]ItemConfig!$BB:$BB,MATCH(G15,[3]ItemConfig!$A:$A,0))*H15,0)</f>
        <v>0</v>
      </c>
      <c r="S15" s="154" t="str">
        <f>VLOOKUP(J15,[2]Entourage!A:B,2,FALSE)</f>
        <v>女妖蒂罗亚</v>
      </c>
      <c r="T15" s="151" t="str">
        <f>VLOOKUP(M15,[2]Entourage!A:B,2,FALSE)</f>
        <v>莫德雷斯</v>
      </c>
      <c r="U15" s="163"/>
      <c r="V15" s="147"/>
      <c r="X15" s="140"/>
      <c r="Y15" s="141"/>
      <c r="Z15" s="142"/>
      <c r="AH15" s="141"/>
      <c r="AI15" s="143"/>
      <c r="AJ15" s="143"/>
      <c r="AK15" s="143"/>
      <c r="AM15" s="141"/>
    </row>
    <row r="16" spans="1:39">
      <c r="A16" s="166">
        <f t="shared" si="5"/>
        <v>2</v>
      </c>
      <c r="B16" s="167">
        <f>COUNTIF(A$1:A16,A16)</f>
        <v>5</v>
      </c>
      <c r="C16" s="167">
        <f t="shared" si="6"/>
        <v>104</v>
      </c>
      <c r="D16" s="166">
        <v>4098</v>
      </c>
      <c r="E16" s="166">
        <f t="shared" si="7"/>
        <v>50</v>
      </c>
      <c r="F16" s="167">
        <f t="shared" si="8"/>
        <v>3</v>
      </c>
      <c r="G16" s="168">
        <f t="shared" si="0"/>
        <v>5902</v>
      </c>
      <c r="H16" s="166">
        <f t="shared" si="1"/>
        <v>6</v>
      </c>
      <c r="I16" s="166">
        <f t="shared" si="9"/>
        <v>4098</v>
      </c>
      <c r="J16" s="152">
        <f>VLOOKUP(A16,[2]filiation!A:C,3,FALSE)</f>
        <v>2</v>
      </c>
      <c r="K16" s="152">
        <f>VLOOKUP(J16,[2]Entourage!A:N,14,FALSE)</f>
        <v>2</v>
      </c>
      <c r="L16" s="152" t="str">
        <f t="shared" si="2"/>
        <v>刺杀</v>
      </c>
      <c r="M16" s="152">
        <f>VLOOKUP(A16,[2]filiation!A:D,4,FALSE)</f>
        <v>3</v>
      </c>
      <c r="N16" s="152">
        <f>VLOOKUP(M16,[2]Entourage!A:N,14,FALSE)</f>
        <v>3</v>
      </c>
      <c r="O16" s="152" t="str">
        <f t="shared" si="3"/>
        <v>辅助</v>
      </c>
      <c r="P16" s="152">
        <f t="shared" si="4"/>
        <v>104</v>
      </c>
      <c r="Q16" s="151">
        <f>INT(VLOOKUP(VLOOKUP(A16,[2]filiation!A:E,3,FALSE),[2]Entourage!A:AA,IF(C16=101,25,IF(C16=102,26,IF(C16=104,27))),FALSE)*VLOOKUP(N16,$AF$2:$AI$6,IF(C16=1,2,IF(C16=2,3,4)),FALSE)*VLOOKUP(B16,$AK$2:$AL$11,2,FALSE))</f>
        <v>4470</v>
      </c>
      <c r="R16" s="153">
        <f>IFERROR(INDEX([3]ItemConfig!$BB:$BB,MATCH(G16,[3]ItemConfig!$A:$A,0))*H16,0)</f>
        <v>0</v>
      </c>
      <c r="S16" s="154" t="str">
        <f>VLOOKUP(J16,[2]Entourage!A:B,2,FALSE)</f>
        <v>女妖蒂罗亚</v>
      </c>
      <c r="T16" s="151" t="str">
        <f>VLOOKUP(M16,[2]Entourage!A:B,2,FALSE)</f>
        <v>莫德雷斯</v>
      </c>
      <c r="U16" s="163"/>
      <c r="V16" s="147"/>
      <c r="X16" s="140"/>
      <c r="Y16" s="141"/>
      <c r="Z16" s="144"/>
      <c r="AH16" s="141"/>
      <c r="AI16" s="143"/>
      <c r="AJ16" s="143"/>
      <c r="AK16" s="143"/>
      <c r="AM16" s="141"/>
    </row>
    <row r="17" spans="1:39">
      <c r="A17" s="166">
        <f t="shared" si="5"/>
        <v>2</v>
      </c>
      <c r="B17" s="167">
        <f>COUNTIF(A$1:A17,A17)</f>
        <v>6</v>
      </c>
      <c r="C17" s="167">
        <f t="shared" si="6"/>
        <v>104</v>
      </c>
      <c r="D17" s="166">
        <v>4918</v>
      </c>
      <c r="E17" s="166">
        <f t="shared" si="7"/>
        <v>60</v>
      </c>
      <c r="F17" s="167">
        <f t="shared" si="8"/>
        <v>4</v>
      </c>
      <c r="G17" s="168">
        <f t="shared" si="0"/>
        <v>5902</v>
      </c>
      <c r="H17" s="166">
        <f t="shared" si="1"/>
        <v>8</v>
      </c>
      <c r="I17" s="166">
        <f t="shared" si="9"/>
        <v>4918</v>
      </c>
      <c r="J17" s="152">
        <f>VLOOKUP(A17,[2]filiation!A:C,3,FALSE)</f>
        <v>2</v>
      </c>
      <c r="K17" s="152">
        <f>VLOOKUP(J17,[2]Entourage!A:N,14,FALSE)</f>
        <v>2</v>
      </c>
      <c r="L17" s="152" t="str">
        <f t="shared" si="2"/>
        <v>刺杀</v>
      </c>
      <c r="M17" s="152">
        <f>VLOOKUP(A17,[2]filiation!A:D,4,FALSE)</f>
        <v>3</v>
      </c>
      <c r="N17" s="152">
        <f>VLOOKUP(M17,[2]Entourage!A:N,14,FALSE)</f>
        <v>3</v>
      </c>
      <c r="O17" s="152" t="str">
        <f t="shared" si="3"/>
        <v>辅助</v>
      </c>
      <c r="P17" s="152">
        <f t="shared" si="4"/>
        <v>104</v>
      </c>
      <c r="Q17" s="151">
        <f>INT(VLOOKUP(VLOOKUP(A17,[2]filiation!A:E,3,FALSE),[2]Entourage!A:AA,IF(C17=101,25,IF(C17=102,26,IF(C17=104,27))),FALSE)*VLOOKUP(N17,$AF$2:$AI$6,IF(C17=1,2,IF(C17=2,3,4)),FALSE)*VLOOKUP(B17,$AK$2:$AL$11,2,FALSE))</f>
        <v>5016</v>
      </c>
      <c r="R17" s="153">
        <f>IFERROR(INDEX([3]ItemConfig!$BB:$BB,MATCH(G17,[3]ItemConfig!$A:$A,0))*H17,0)</f>
        <v>0</v>
      </c>
      <c r="S17" s="154" t="str">
        <f>VLOOKUP(J17,[2]Entourage!A:B,2,FALSE)</f>
        <v>女妖蒂罗亚</v>
      </c>
      <c r="T17" s="151" t="str">
        <f>VLOOKUP(M17,[2]Entourage!A:B,2,FALSE)</f>
        <v>莫德雷斯</v>
      </c>
      <c r="U17" s="163"/>
      <c r="V17" s="147"/>
      <c r="X17" s="140"/>
      <c r="Y17" s="141"/>
      <c r="Z17" s="140"/>
      <c r="AH17" s="141"/>
      <c r="AI17" s="143"/>
      <c r="AJ17" s="143"/>
      <c r="AK17" s="143"/>
      <c r="AM17" s="141"/>
    </row>
    <row r="18" spans="1:39">
      <c r="A18" s="166">
        <f t="shared" si="5"/>
        <v>2</v>
      </c>
      <c r="B18" s="167">
        <f>COUNTIF(A$1:A18,A18)</f>
        <v>7</v>
      </c>
      <c r="C18" s="167">
        <f t="shared" si="6"/>
        <v>104</v>
      </c>
      <c r="D18" s="166">
        <v>5738</v>
      </c>
      <c r="E18" s="166">
        <f t="shared" si="7"/>
        <v>70</v>
      </c>
      <c r="F18" s="167">
        <f t="shared" si="8"/>
        <v>4</v>
      </c>
      <c r="G18" s="168">
        <f t="shared" si="0"/>
        <v>5902</v>
      </c>
      <c r="H18" s="166">
        <f t="shared" si="1"/>
        <v>10</v>
      </c>
      <c r="I18" s="166">
        <f t="shared" si="9"/>
        <v>5738</v>
      </c>
      <c r="J18" s="152">
        <f>VLOOKUP(A18,[2]filiation!A:C,3,FALSE)</f>
        <v>2</v>
      </c>
      <c r="K18" s="152">
        <f>VLOOKUP(J18,[2]Entourage!A:N,14,FALSE)</f>
        <v>2</v>
      </c>
      <c r="L18" s="152" t="str">
        <f t="shared" si="2"/>
        <v>刺杀</v>
      </c>
      <c r="M18" s="152">
        <f>VLOOKUP(A18,[2]filiation!A:D,4,FALSE)</f>
        <v>3</v>
      </c>
      <c r="N18" s="152">
        <f>VLOOKUP(M18,[2]Entourage!A:N,14,FALSE)</f>
        <v>3</v>
      </c>
      <c r="O18" s="152" t="str">
        <f t="shared" si="3"/>
        <v>辅助</v>
      </c>
      <c r="P18" s="152">
        <f t="shared" si="4"/>
        <v>104</v>
      </c>
      <c r="Q18" s="151">
        <f>INT(VLOOKUP(VLOOKUP(A18,[2]filiation!A:E,3,FALSE),[2]Entourage!A:AA,IF(C18=101,25,IF(C18=102,26,IF(C18=104,27))),FALSE)*VLOOKUP(N18,$AF$2:$AI$6,IF(C18=1,2,IF(C18=2,3,4)),FALSE)*VLOOKUP(B18,$AK$2:$AL$11,2,FALSE))</f>
        <v>5662</v>
      </c>
      <c r="R18" s="153">
        <f>IFERROR(INDEX([3]ItemConfig!$BB:$BB,MATCH(G18,[3]ItemConfig!$A:$A,0))*H18,0)</f>
        <v>0</v>
      </c>
      <c r="S18" s="154" t="str">
        <f>VLOOKUP(J18,[2]Entourage!A:B,2,FALSE)</f>
        <v>女妖蒂罗亚</v>
      </c>
      <c r="T18" s="151" t="str">
        <f>VLOOKUP(M18,[2]Entourage!A:B,2,FALSE)</f>
        <v>莫德雷斯</v>
      </c>
      <c r="U18" s="163"/>
      <c r="V18" s="147"/>
      <c r="X18" s="140"/>
      <c r="Y18" s="141"/>
      <c r="Z18" s="140"/>
      <c r="AH18" s="141"/>
      <c r="AI18" s="143"/>
      <c r="AJ18" s="143"/>
      <c r="AK18" s="143"/>
      <c r="AM18" s="141"/>
    </row>
    <row r="19" spans="1:39">
      <c r="A19" s="166">
        <f t="shared" si="5"/>
        <v>2</v>
      </c>
      <c r="B19" s="167">
        <f>COUNTIF(A$1:A19,A19)</f>
        <v>8</v>
      </c>
      <c r="C19" s="167">
        <f t="shared" si="6"/>
        <v>104</v>
      </c>
      <c r="D19" s="166">
        <v>6557</v>
      </c>
      <c r="E19" s="166">
        <f t="shared" si="7"/>
        <v>80</v>
      </c>
      <c r="F19" s="167">
        <f t="shared" si="8"/>
        <v>5</v>
      </c>
      <c r="G19" s="168">
        <f t="shared" si="0"/>
        <v>5902</v>
      </c>
      <c r="H19" s="166">
        <f t="shared" si="1"/>
        <v>12</v>
      </c>
      <c r="I19" s="166">
        <f t="shared" si="9"/>
        <v>6557</v>
      </c>
      <c r="J19" s="152">
        <f>VLOOKUP(A19,[2]filiation!A:C,3,FALSE)</f>
        <v>2</v>
      </c>
      <c r="K19" s="152">
        <f>VLOOKUP(J19,[2]Entourage!A:N,14,FALSE)</f>
        <v>2</v>
      </c>
      <c r="L19" s="152" t="str">
        <f t="shared" si="2"/>
        <v>刺杀</v>
      </c>
      <c r="M19" s="152">
        <f>VLOOKUP(A19,[2]filiation!A:D,4,FALSE)</f>
        <v>3</v>
      </c>
      <c r="N19" s="152">
        <f>VLOOKUP(M19,[2]Entourage!A:N,14,FALSE)</f>
        <v>3</v>
      </c>
      <c r="O19" s="152" t="str">
        <f t="shared" si="3"/>
        <v>辅助</v>
      </c>
      <c r="P19" s="152">
        <f t="shared" si="4"/>
        <v>104</v>
      </c>
      <c r="Q19" s="151">
        <f>INT(VLOOKUP(VLOOKUP(A19,[2]filiation!A:E,3,FALSE),[2]Entourage!A:AA,IF(C19=101,25,IF(C19=102,26,IF(C19=104,27))),FALSE)*VLOOKUP(N19,$AF$2:$AI$6,IF(C19=1,2,IF(C19=2,3,4)),FALSE)*VLOOKUP(B19,$AK$2:$AL$11,2,FALSE))</f>
        <v>6407</v>
      </c>
      <c r="R19" s="153">
        <f>IFERROR(INDEX([3]ItemConfig!$BB:$BB,MATCH(G19,[3]ItemConfig!$A:$A,0))*H19,0)</f>
        <v>0</v>
      </c>
      <c r="S19" s="154" t="str">
        <f>VLOOKUP(J19,[2]Entourage!A:B,2,FALSE)</f>
        <v>女妖蒂罗亚</v>
      </c>
      <c r="T19" s="151" t="str">
        <f>VLOOKUP(M19,[2]Entourage!A:B,2,FALSE)</f>
        <v>莫德雷斯</v>
      </c>
      <c r="U19" s="163"/>
      <c r="V19" s="147"/>
      <c r="X19" s="140"/>
      <c r="Y19" s="141"/>
      <c r="Z19" s="140"/>
      <c r="AH19" s="141"/>
      <c r="AI19" s="143"/>
      <c r="AJ19" s="143"/>
      <c r="AK19" s="143"/>
      <c r="AM19" s="141"/>
    </row>
    <row r="20" spans="1:39">
      <c r="A20" s="166">
        <f t="shared" si="5"/>
        <v>2</v>
      </c>
      <c r="B20" s="167">
        <f>COUNTIF(A$1:A20,A20)</f>
        <v>9</v>
      </c>
      <c r="C20" s="167">
        <f t="shared" si="6"/>
        <v>104</v>
      </c>
      <c r="D20" s="166">
        <v>7377</v>
      </c>
      <c r="E20" s="166">
        <f t="shared" si="7"/>
        <v>90</v>
      </c>
      <c r="F20" s="167">
        <f t="shared" si="8"/>
        <v>5</v>
      </c>
      <c r="G20" s="168">
        <f t="shared" si="0"/>
        <v>5902</v>
      </c>
      <c r="H20" s="166">
        <f t="shared" si="1"/>
        <v>15</v>
      </c>
      <c r="I20" s="166">
        <f t="shared" si="9"/>
        <v>7377</v>
      </c>
      <c r="J20" s="152">
        <f>VLOOKUP(A20,[2]filiation!A:C,3,FALSE)</f>
        <v>2</v>
      </c>
      <c r="K20" s="152">
        <f>VLOOKUP(J20,[2]Entourage!A:N,14,FALSE)</f>
        <v>2</v>
      </c>
      <c r="L20" s="152" t="str">
        <f t="shared" si="2"/>
        <v>刺杀</v>
      </c>
      <c r="M20" s="152">
        <f>VLOOKUP(A20,[2]filiation!A:D,4,FALSE)</f>
        <v>3</v>
      </c>
      <c r="N20" s="152">
        <f>VLOOKUP(M20,[2]Entourage!A:N,14,FALSE)</f>
        <v>3</v>
      </c>
      <c r="O20" s="152" t="str">
        <f t="shared" si="3"/>
        <v>辅助</v>
      </c>
      <c r="P20" s="152">
        <f t="shared" si="4"/>
        <v>104</v>
      </c>
      <c r="Q20" s="151">
        <f>INT(VLOOKUP(VLOOKUP(A20,[2]filiation!A:E,3,FALSE),[2]Entourage!A:AA,IF(C20=101,25,IF(C20=102,26,IF(C20=104,27))),FALSE)*VLOOKUP(N20,$AF$2:$AI$6,IF(C20=1,2,IF(C20=2,3,4)),FALSE)*VLOOKUP(B20,$AK$2:$AL$11,2,FALSE))</f>
        <v>7252</v>
      </c>
      <c r="R20" s="153">
        <f>IFERROR(INDEX([3]ItemConfig!$BB:$BB,MATCH(G20,[3]ItemConfig!$A:$A,0))*H20,0)</f>
        <v>0</v>
      </c>
      <c r="S20" s="154" t="str">
        <f>VLOOKUP(J20,[2]Entourage!A:B,2,FALSE)</f>
        <v>女妖蒂罗亚</v>
      </c>
      <c r="T20" s="151" t="str">
        <f>VLOOKUP(M20,[2]Entourage!A:B,2,FALSE)</f>
        <v>莫德雷斯</v>
      </c>
      <c r="U20" s="163"/>
      <c r="V20" s="147"/>
      <c r="X20" s="140"/>
      <c r="Y20" s="141"/>
      <c r="Z20" s="140"/>
      <c r="AH20" s="141"/>
      <c r="AI20" s="143"/>
      <c r="AJ20" s="143"/>
      <c r="AK20" s="143"/>
      <c r="AM20" s="141"/>
    </row>
    <row r="21" spans="1:39">
      <c r="A21" s="166">
        <f t="shared" si="5"/>
        <v>2</v>
      </c>
      <c r="B21" s="167">
        <f>COUNTIF(A$1:A21,A21)</f>
        <v>10</v>
      </c>
      <c r="C21" s="167">
        <f t="shared" si="6"/>
        <v>104</v>
      </c>
      <c r="D21" s="166">
        <v>8196</v>
      </c>
      <c r="E21" s="166">
        <f t="shared" si="7"/>
        <v>90</v>
      </c>
      <c r="F21" s="167">
        <f t="shared" si="8"/>
        <v>6</v>
      </c>
      <c r="G21" s="168">
        <f t="shared" si="0"/>
        <v>5902</v>
      </c>
      <c r="H21" s="166">
        <f t="shared" si="1"/>
        <v>18</v>
      </c>
      <c r="I21" s="166">
        <f t="shared" si="9"/>
        <v>8196</v>
      </c>
      <c r="J21" s="152">
        <f>VLOOKUP(A21,[2]filiation!A:C,3,FALSE)</f>
        <v>2</v>
      </c>
      <c r="K21" s="152">
        <f>VLOOKUP(J21,[2]Entourage!A:N,14,FALSE)</f>
        <v>2</v>
      </c>
      <c r="L21" s="152" t="str">
        <f t="shared" si="2"/>
        <v>刺杀</v>
      </c>
      <c r="M21" s="152">
        <f>VLOOKUP(A21,[2]filiation!A:D,4,FALSE)</f>
        <v>3</v>
      </c>
      <c r="N21" s="152">
        <f>VLOOKUP(M21,[2]Entourage!A:N,14,FALSE)</f>
        <v>3</v>
      </c>
      <c r="O21" s="152" t="str">
        <f t="shared" si="3"/>
        <v>辅助</v>
      </c>
      <c r="P21" s="152">
        <f t="shared" si="4"/>
        <v>104</v>
      </c>
      <c r="Q21" s="151">
        <f>INT(VLOOKUP(VLOOKUP(A21,[2]filiation!A:E,3,FALSE),[2]Entourage!A:AA,IF(C21=101,25,IF(C21=102,26,IF(C21=104,27))),FALSE)*VLOOKUP(N21,$AF$2:$AI$6,IF(C21=1,2,IF(C21=2,3,4)),FALSE)*VLOOKUP(B21,$AK$2:$AL$11,2,FALSE))</f>
        <v>8196</v>
      </c>
      <c r="R21" s="153">
        <f>IFERROR(INDEX([3]ItemConfig!$BB:$BB,MATCH(G21,[3]ItemConfig!$A:$A,0))*H21,0)</f>
        <v>0</v>
      </c>
      <c r="S21" s="154" t="str">
        <f>VLOOKUP(J21,[2]Entourage!A:B,2,FALSE)</f>
        <v>女妖蒂罗亚</v>
      </c>
      <c r="T21" s="151" t="str">
        <f>VLOOKUP(M21,[2]Entourage!A:B,2,FALSE)</f>
        <v>莫德雷斯</v>
      </c>
      <c r="U21" s="163"/>
      <c r="V21" s="147"/>
      <c r="X21" s="140"/>
      <c r="Y21" s="141"/>
      <c r="Z21" s="140"/>
      <c r="AH21" s="141"/>
      <c r="AI21" s="143"/>
      <c r="AJ21" s="143"/>
      <c r="AK21" s="143"/>
      <c r="AM21" s="141"/>
    </row>
    <row r="22" spans="1:39">
      <c r="A22" s="159">
        <f t="shared" si="5"/>
        <v>3</v>
      </c>
      <c r="B22" s="160">
        <f>COUNTIF(A$1:A22,A22)</f>
        <v>1</v>
      </c>
      <c r="C22" s="160">
        <f t="shared" si="6"/>
        <v>102</v>
      </c>
      <c r="D22" s="159">
        <v>54</v>
      </c>
      <c r="E22" s="159">
        <f t="shared" si="7"/>
        <v>10</v>
      </c>
      <c r="F22" s="160">
        <f t="shared" si="8"/>
        <v>1</v>
      </c>
      <c r="G22" s="161">
        <f t="shared" si="0"/>
        <v>5902</v>
      </c>
      <c r="H22" s="159">
        <f t="shared" si="1"/>
        <v>1</v>
      </c>
      <c r="I22" s="159">
        <f t="shared" si="9"/>
        <v>1350</v>
      </c>
      <c r="J22" s="152">
        <f>VLOOKUP(A22,[2]filiation!A:C,3,FALSE)</f>
        <v>3</v>
      </c>
      <c r="K22" s="152">
        <f>VLOOKUP(J22,[2]Entourage!A:N,14,FALSE)</f>
        <v>3</v>
      </c>
      <c r="L22" s="152" t="str">
        <f t="shared" si="2"/>
        <v>辅助</v>
      </c>
      <c r="M22" s="152">
        <f>VLOOKUP(A22,[2]filiation!A:D,4,FALSE)</f>
        <v>1</v>
      </c>
      <c r="N22" s="152">
        <f>VLOOKUP(M22,[2]Entourage!A:N,14,FALSE)</f>
        <v>1</v>
      </c>
      <c r="O22" s="152" t="str">
        <f t="shared" si="3"/>
        <v>战斗</v>
      </c>
      <c r="P22" s="152">
        <f t="shared" si="4"/>
        <v>102</v>
      </c>
      <c r="Q22" s="151">
        <f>INT(VLOOKUP(VLOOKUP(A22,[2]filiation!A:E,3,FALSE),[2]Entourage!A:AA,IF(C22=101,25,IF(C22=102,26,IF(C22=104,27))),FALSE)*VLOOKUP(N22,$AF$2:$AI$6,IF(C22=1,2,IF(C22=2,3,4)),FALSE)*VLOOKUP(B22,$AK$2:$AL$11,2,FALSE))</f>
        <v>213</v>
      </c>
      <c r="R22" s="153">
        <f>IFERROR(INDEX([3]ItemConfig!$BB:$BB,MATCH(G22,[3]ItemConfig!$A:$A,0))*H22,0)</f>
        <v>0</v>
      </c>
      <c r="S22" s="154" t="str">
        <f>VLOOKUP(J22,[2]Entourage!A:B,2,FALSE)</f>
        <v>莫德雷斯</v>
      </c>
      <c r="T22" s="151" t="str">
        <f>VLOOKUP(M22,[2]Entourage!A:B,2,FALSE)</f>
        <v>重剑步兵</v>
      </c>
      <c r="U22" s="163"/>
      <c r="V22" s="147"/>
      <c r="X22" s="140"/>
      <c r="Y22" s="141"/>
      <c r="Z22" s="140"/>
      <c r="AH22" s="141"/>
      <c r="AI22" s="143"/>
      <c r="AJ22" s="143"/>
      <c r="AK22" s="143"/>
      <c r="AM22" s="141"/>
    </row>
    <row r="23" spans="1:39">
      <c r="A23" s="159">
        <f t="shared" si="5"/>
        <v>3</v>
      </c>
      <c r="B23" s="160">
        <f>COUNTIF(A$1:A23,A23)</f>
        <v>2</v>
      </c>
      <c r="C23" s="160">
        <f t="shared" si="6"/>
        <v>102</v>
      </c>
      <c r="D23" s="159">
        <v>107</v>
      </c>
      <c r="E23" s="159">
        <f t="shared" si="7"/>
        <v>20</v>
      </c>
      <c r="F23" s="160">
        <f t="shared" si="8"/>
        <v>2</v>
      </c>
      <c r="G23" s="161">
        <f t="shared" si="0"/>
        <v>5902</v>
      </c>
      <c r="H23" s="159">
        <f t="shared" si="1"/>
        <v>2</v>
      </c>
      <c r="I23" s="159">
        <f t="shared" si="9"/>
        <v>2675</v>
      </c>
      <c r="J23" s="152">
        <f>VLOOKUP(A23,[2]filiation!A:C,3,FALSE)</f>
        <v>3</v>
      </c>
      <c r="K23" s="152">
        <f>VLOOKUP(J23,[2]Entourage!A:N,14,FALSE)</f>
        <v>3</v>
      </c>
      <c r="L23" s="152" t="str">
        <f t="shared" si="2"/>
        <v>辅助</v>
      </c>
      <c r="M23" s="152">
        <f>VLOOKUP(A23,[2]filiation!A:D,4,FALSE)</f>
        <v>1</v>
      </c>
      <c r="N23" s="152">
        <f>VLOOKUP(M23,[2]Entourage!A:N,14,FALSE)</f>
        <v>1</v>
      </c>
      <c r="O23" s="152" t="str">
        <f t="shared" si="3"/>
        <v>战斗</v>
      </c>
      <c r="P23" s="152">
        <f t="shared" si="4"/>
        <v>102</v>
      </c>
      <c r="Q23" s="151">
        <f>INT(VLOOKUP(VLOOKUP(A23,[2]filiation!A:E,3,FALSE),[2]Entourage!A:AA,IF(C23=101,25,IF(C23=102,26,IF(C23=104,27))),FALSE)*VLOOKUP(N23,$AF$2:$AI$6,IF(C23=1,2,IF(C23=2,3,4)),FALSE)*VLOOKUP(B23,$AK$2:$AL$11,2,FALSE))</f>
        <v>222</v>
      </c>
      <c r="R23" s="153">
        <f>IFERROR(INDEX([3]ItemConfig!$BB:$BB,MATCH(G23,[3]ItemConfig!$A:$A,0))*H23,0)</f>
        <v>0</v>
      </c>
      <c r="S23" s="154" t="str">
        <f>VLOOKUP(J23,[2]Entourage!A:B,2,FALSE)</f>
        <v>莫德雷斯</v>
      </c>
      <c r="T23" s="151" t="str">
        <f>VLOOKUP(M23,[2]Entourage!A:B,2,FALSE)</f>
        <v>重剑步兵</v>
      </c>
      <c r="U23" s="163"/>
      <c r="V23" s="147"/>
      <c r="X23" s="140"/>
      <c r="Y23" s="141"/>
      <c r="Z23" s="140"/>
      <c r="AH23" s="141"/>
      <c r="AI23" s="143"/>
      <c r="AJ23" s="143"/>
      <c r="AK23" s="143"/>
      <c r="AM23" s="141"/>
    </row>
    <row r="24" spans="1:39">
      <c r="A24" s="159">
        <f t="shared" si="5"/>
        <v>3</v>
      </c>
      <c r="B24" s="160">
        <f>COUNTIF(A$1:A24,A24)</f>
        <v>3</v>
      </c>
      <c r="C24" s="160">
        <f t="shared" si="6"/>
        <v>102</v>
      </c>
      <c r="D24" s="159">
        <v>160</v>
      </c>
      <c r="E24" s="159">
        <f t="shared" si="7"/>
        <v>30</v>
      </c>
      <c r="F24" s="160">
        <f t="shared" si="8"/>
        <v>2</v>
      </c>
      <c r="G24" s="161">
        <f t="shared" si="0"/>
        <v>5902</v>
      </c>
      <c r="H24" s="159">
        <f t="shared" si="1"/>
        <v>3</v>
      </c>
      <c r="I24" s="159">
        <f t="shared" si="9"/>
        <v>4000</v>
      </c>
      <c r="J24" s="152">
        <f>VLOOKUP(A24,[2]filiation!A:C,3,FALSE)</f>
        <v>3</v>
      </c>
      <c r="K24" s="152">
        <f>VLOOKUP(J24,[2]Entourage!A:N,14,FALSE)</f>
        <v>3</v>
      </c>
      <c r="L24" s="152" t="str">
        <f t="shared" si="2"/>
        <v>辅助</v>
      </c>
      <c r="M24" s="152">
        <f>VLOOKUP(A24,[2]filiation!A:D,4,FALSE)</f>
        <v>1</v>
      </c>
      <c r="N24" s="152">
        <f>VLOOKUP(M24,[2]Entourage!A:N,14,FALSE)</f>
        <v>1</v>
      </c>
      <c r="O24" s="152" t="str">
        <f t="shared" si="3"/>
        <v>战斗</v>
      </c>
      <c r="P24" s="152">
        <f t="shared" si="4"/>
        <v>102</v>
      </c>
      <c r="Q24" s="151">
        <f>INT(VLOOKUP(VLOOKUP(A24,[2]filiation!A:E,3,FALSE),[2]Entourage!A:AA,IF(C24=101,25,IF(C24=102,26,IF(C24=104,27))),FALSE)*VLOOKUP(N24,$AF$2:$AI$6,IF(C24=1,2,IF(C24=2,3,4)),FALSE)*VLOOKUP(B24,$AK$2:$AL$11,2,FALSE))</f>
        <v>238</v>
      </c>
      <c r="R24" s="153">
        <f>IFERROR(INDEX([3]ItemConfig!$BB:$BB,MATCH(G24,[3]ItemConfig!$A:$A,0))*H24,0)</f>
        <v>0</v>
      </c>
      <c r="S24" s="154" t="str">
        <f>VLOOKUP(J24,[2]Entourage!A:B,2,FALSE)</f>
        <v>莫德雷斯</v>
      </c>
      <c r="T24" s="151" t="str">
        <f>VLOOKUP(M24,[2]Entourage!A:B,2,FALSE)</f>
        <v>重剑步兵</v>
      </c>
      <c r="U24" s="163"/>
      <c r="V24" s="147"/>
      <c r="X24" s="140"/>
      <c r="Y24" s="141"/>
      <c r="Z24" s="140"/>
      <c r="AH24" s="141"/>
      <c r="AI24" s="143"/>
      <c r="AJ24" s="143"/>
      <c r="AK24" s="143"/>
      <c r="AM24" s="141"/>
    </row>
    <row r="25" spans="1:39">
      <c r="A25" s="159">
        <f t="shared" si="5"/>
        <v>3</v>
      </c>
      <c r="B25" s="160">
        <f>COUNTIF(A$1:A25,A25)</f>
        <v>4</v>
      </c>
      <c r="C25" s="160">
        <f t="shared" si="6"/>
        <v>102</v>
      </c>
      <c r="D25" s="159">
        <v>213</v>
      </c>
      <c r="E25" s="159">
        <f t="shared" si="7"/>
        <v>40</v>
      </c>
      <c r="F25" s="160">
        <f t="shared" si="8"/>
        <v>3</v>
      </c>
      <c r="G25" s="161">
        <f t="shared" si="0"/>
        <v>5902</v>
      </c>
      <c r="H25" s="159">
        <f t="shared" si="1"/>
        <v>4</v>
      </c>
      <c r="I25" s="159">
        <f t="shared" si="9"/>
        <v>5325</v>
      </c>
      <c r="J25" s="152">
        <f>VLOOKUP(A25,[2]filiation!A:C,3,FALSE)</f>
        <v>3</v>
      </c>
      <c r="K25" s="152">
        <f>VLOOKUP(J25,[2]Entourage!A:N,14,FALSE)</f>
        <v>3</v>
      </c>
      <c r="L25" s="152" t="str">
        <f t="shared" si="2"/>
        <v>辅助</v>
      </c>
      <c r="M25" s="152">
        <f>VLOOKUP(A25,[2]filiation!A:D,4,FALSE)</f>
        <v>1</v>
      </c>
      <c r="N25" s="152">
        <f>VLOOKUP(M25,[2]Entourage!A:N,14,FALSE)</f>
        <v>1</v>
      </c>
      <c r="O25" s="152" t="str">
        <f t="shared" si="3"/>
        <v>战斗</v>
      </c>
      <c r="P25" s="152">
        <f t="shared" si="4"/>
        <v>102</v>
      </c>
      <c r="Q25" s="151">
        <f>INT(VLOOKUP(VLOOKUP(A25,[2]filiation!A:E,3,FALSE),[2]Entourage!A:AA,IF(C25=101,25,IF(C25=102,26,IF(C25=104,27))),FALSE)*VLOOKUP(N25,$AF$2:$AI$6,IF(C25=1,2,IF(C25=2,3,4)),FALSE)*VLOOKUP(B25,$AK$2:$AL$11,2,FALSE))</f>
        <v>261</v>
      </c>
      <c r="R25" s="153">
        <f>IFERROR(INDEX([3]ItemConfig!$BB:$BB,MATCH(G25,[3]ItemConfig!$A:$A,0))*H25,0)</f>
        <v>0</v>
      </c>
      <c r="S25" s="154" t="str">
        <f>VLOOKUP(J25,[2]Entourage!A:B,2,FALSE)</f>
        <v>莫德雷斯</v>
      </c>
      <c r="T25" s="151" t="str">
        <f>VLOOKUP(M25,[2]Entourage!A:B,2,FALSE)</f>
        <v>重剑步兵</v>
      </c>
      <c r="U25" s="163"/>
      <c r="V25" s="147"/>
      <c r="X25" s="140"/>
      <c r="Y25" s="141"/>
      <c r="Z25" s="140"/>
      <c r="AH25" s="141"/>
      <c r="AI25" s="143"/>
      <c r="AJ25" s="143"/>
      <c r="AK25" s="143"/>
      <c r="AM25" s="141"/>
    </row>
    <row r="26" spans="1:39">
      <c r="A26" s="159">
        <f t="shared" si="5"/>
        <v>3</v>
      </c>
      <c r="B26" s="160">
        <f>COUNTIF(A$1:A26,A26)</f>
        <v>5</v>
      </c>
      <c r="C26" s="160">
        <f t="shared" si="6"/>
        <v>102</v>
      </c>
      <c r="D26" s="159">
        <v>266</v>
      </c>
      <c r="E26" s="159">
        <f t="shared" si="7"/>
        <v>50</v>
      </c>
      <c r="F26" s="160">
        <f t="shared" si="8"/>
        <v>3</v>
      </c>
      <c r="G26" s="161">
        <f t="shared" si="0"/>
        <v>5902</v>
      </c>
      <c r="H26" s="159">
        <f t="shared" si="1"/>
        <v>6</v>
      </c>
      <c r="I26" s="159">
        <f t="shared" si="9"/>
        <v>6650</v>
      </c>
      <c r="J26" s="152">
        <f>VLOOKUP(A26,[2]filiation!A:C,3,FALSE)</f>
        <v>3</v>
      </c>
      <c r="K26" s="152">
        <f>VLOOKUP(J26,[2]Entourage!A:N,14,FALSE)</f>
        <v>3</v>
      </c>
      <c r="L26" s="152" t="str">
        <f t="shared" si="2"/>
        <v>辅助</v>
      </c>
      <c r="M26" s="152">
        <f>VLOOKUP(A26,[2]filiation!A:D,4,FALSE)</f>
        <v>1</v>
      </c>
      <c r="N26" s="152">
        <f>VLOOKUP(M26,[2]Entourage!A:N,14,FALSE)</f>
        <v>1</v>
      </c>
      <c r="O26" s="152" t="str">
        <f t="shared" si="3"/>
        <v>战斗</v>
      </c>
      <c r="P26" s="152">
        <f t="shared" si="4"/>
        <v>102</v>
      </c>
      <c r="Q26" s="151">
        <f>INT(VLOOKUP(VLOOKUP(A26,[2]filiation!A:E,3,FALSE),[2]Entourage!A:AA,IF(C26=101,25,IF(C26=102,26,IF(C26=104,27))),FALSE)*VLOOKUP(N26,$AF$2:$AI$6,IF(C26=1,2,IF(C26=2,3,4)),FALSE)*VLOOKUP(B26,$AK$2:$AL$11,2,FALSE))</f>
        <v>290</v>
      </c>
      <c r="R26" s="153">
        <f>IFERROR(INDEX([3]ItemConfig!$BB:$BB,MATCH(G26,[3]ItemConfig!$A:$A,0))*H26,0)</f>
        <v>0</v>
      </c>
      <c r="S26" s="154" t="str">
        <f>VLOOKUP(J26,[2]Entourage!A:B,2,FALSE)</f>
        <v>莫德雷斯</v>
      </c>
      <c r="T26" s="151" t="str">
        <f>VLOOKUP(M26,[2]Entourage!A:B,2,FALSE)</f>
        <v>重剑步兵</v>
      </c>
      <c r="U26" s="163"/>
      <c r="V26" s="147"/>
      <c r="X26" s="140"/>
      <c r="Y26" s="141"/>
      <c r="Z26" s="140"/>
      <c r="AH26" s="141"/>
      <c r="AI26" s="143"/>
      <c r="AJ26" s="143"/>
      <c r="AK26" s="143"/>
      <c r="AM26" s="141"/>
    </row>
    <row r="27" spans="1:39">
      <c r="A27" s="159">
        <f t="shared" si="5"/>
        <v>3</v>
      </c>
      <c r="B27" s="160">
        <f>COUNTIF(A$1:A27,A27)</f>
        <v>6</v>
      </c>
      <c r="C27" s="160">
        <f t="shared" si="6"/>
        <v>102</v>
      </c>
      <c r="D27" s="159">
        <v>320</v>
      </c>
      <c r="E27" s="159">
        <f t="shared" si="7"/>
        <v>60</v>
      </c>
      <c r="F27" s="160">
        <f t="shared" si="8"/>
        <v>4</v>
      </c>
      <c r="G27" s="161">
        <f t="shared" si="0"/>
        <v>5902</v>
      </c>
      <c r="H27" s="159">
        <f t="shared" si="1"/>
        <v>8</v>
      </c>
      <c r="I27" s="159">
        <f t="shared" si="9"/>
        <v>8000</v>
      </c>
      <c r="J27" s="152">
        <f>VLOOKUP(A27,[2]filiation!A:C,3,FALSE)</f>
        <v>3</v>
      </c>
      <c r="K27" s="152">
        <f>VLOOKUP(J27,[2]Entourage!A:N,14,FALSE)</f>
        <v>3</v>
      </c>
      <c r="L27" s="152" t="str">
        <f t="shared" si="2"/>
        <v>辅助</v>
      </c>
      <c r="M27" s="152">
        <f>VLOOKUP(A27,[2]filiation!A:D,4,FALSE)</f>
        <v>1</v>
      </c>
      <c r="N27" s="152">
        <f>VLOOKUP(M27,[2]Entourage!A:N,14,FALSE)</f>
        <v>1</v>
      </c>
      <c r="O27" s="152" t="str">
        <f t="shared" si="3"/>
        <v>战斗</v>
      </c>
      <c r="P27" s="152">
        <f t="shared" si="4"/>
        <v>102</v>
      </c>
      <c r="Q27" s="151">
        <f>INT(VLOOKUP(VLOOKUP(A27,[2]filiation!A:E,3,FALSE),[2]Entourage!A:AA,IF(C27=101,25,IF(C27=102,26,IF(C27=104,27))),FALSE)*VLOOKUP(N27,$AF$2:$AI$6,IF(C27=1,2,IF(C27=2,3,4)),FALSE)*VLOOKUP(B27,$AK$2:$AL$11,2,FALSE))</f>
        <v>326</v>
      </c>
      <c r="R27" s="153">
        <f>IFERROR(INDEX([3]ItemConfig!$BB:$BB,MATCH(G27,[3]ItemConfig!$A:$A,0))*H27,0)</f>
        <v>0</v>
      </c>
      <c r="S27" s="154" t="str">
        <f>VLOOKUP(J27,[2]Entourage!A:B,2,FALSE)</f>
        <v>莫德雷斯</v>
      </c>
      <c r="T27" s="151" t="str">
        <f>VLOOKUP(M27,[2]Entourage!A:B,2,FALSE)</f>
        <v>重剑步兵</v>
      </c>
      <c r="U27" s="163"/>
      <c r="V27" s="147"/>
      <c r="X27" s="140"/>
      <c r="Y27" s="141"/>
      <c r="Z27" s="140"/>
      <c r="AH27" s="141"/>
      <c r="AI27" s="143"/>
      <c r="AJ27" s="143"/>
      <c r="AK27" s="143"/>
      <c r="AM27" s="141"/>
    </row>
    <row r="28" spans="1:39">
      <c r="A28" s="159">
        <f t="shared" si="5"/>
        <v>3</v>
      </c>
      <c r="B28" s="160">
        <f>COUNTIF(A$1:A28,A28)</f>
        <v>7</v>
      </c>
      <c r="C28" s="160">
        <f t="shared" si="6"/>
        <v>102</v>
      </c>
      <c r="D28" s="159">
        <v>373</v>
      </c>
      <c r="E28" s="159">
        <f t="shared" si="7"/>
        <v>70</v>
      </c>
      <c r="F28" s="160">
        <f t="shared" si="8"/>
        <v>4</v>
      </c>
      <c r="G28" s="161">
        <f t="shared" si="0"/>
        <v>5902</v>
      </c>
      <c r="H28" s="159">
        <f t="shared" si="1"/>
        <v>10</v>
      </c>
      <c r="I28" s="159">
        <f t="shared" si="9"/>
        <v>9325</v>
      </c>
      <c r="J28" s="152">
        <f>VLOOKUP(A28,[2]filiation!A:C,3,FALSE)</f>
        <v>3</v>
      </c>
      <c r="K28" s="152">
        <f>VLOOKUP(J28,[2]Entourage!A:N,14,FALSE)</f>
        <v>3</v>
      </c>
      <c r="L28" s="152" t="str">
        <f t="shared" si="2"/>
        <v>辅助</v>
      </c>
      <c r="M28" s="152">
        <f>VLOOKUP(A28,[2]filiation!A:D,4,FALSE)</f>
        <v>1</v>
      </c>
      <c r="N28" s="152">
        <f>VLOOKUP(M28,[2]Entourage!A:N,14,FALSE)</f>
        <v>1</v>
      </c>
      <c r="O28" s="152" t="str">
        <f t="shared" si="3"/>
        <v>战斗</v>
      </c>
      <c r="P28" s="152">
        <f t="shared" si="4"/>
        <v>102</v>
      </c>
      <c r="Q28" s="151">
        <f>INT(VLOOKUP(VLOOKUP(A28,[2]filiation!A:E,3,FALSE),[2]Entourage!A:AA,IF(C28=101,25,IF(C28=102,26,IF(C28=104,27))),FALSE)*VLOOKUP(N28,$AF$2:$AI$6,IF(C28=1,2,IF(C28=2,3,4)),FALSE)*VLOOKUP(B28,$AK$2:$AL$11,2,FALSE))</f>
        <v>368</v>
      </c>
      <c r="R28" s="153">
        <f>IFERROR(INDEX([3]ItemConfig!$BB:$BB,MATCH(G28,[3]ItemConfig!$A:$A,0))*H28,0)</f>
        <v>0</v>
      </c>
      <c r="S28" s="154" t="str">
        <f>VLOOKUP(J28,[2]Entourage!A:B,2,FALSE)</f>
        <v>莫德雷斯</v>
      </c>
      <c r="T28" s="151" t="str">
        <f>VLOOKUP(M28,[2]Entourage!A:B,2,FALSE)</f>
        <v>重剑步兵</v>
      </c>
      <c r="U28" s="163"/>
      <c r="V28" s="147"/>
      <c r="X28" s="140"/>
      <c r="Y28" s="141"/>
      <c r="Z28" s="142"/>
      <c r="AH28" s="141"/>
      <c r="AI28" s="143"/>
      <c r="AJ28" s="143"/>
      <c r="AK28" s="143"/>
      <c r="AM28" s="141"/>
    </row>
    <row r="29" spans="1:39">
      <c r="A29" s="159">
        <f t="shared" si="5"/>
        <v>3</v>
      </c>
      <c r="B29" s="160">
        <f>COUNTIF(A$1:A29,A29)</f>
        <v>8</v>
      </c>
      <c r="C29" s="160">
        <f t="shared" si="6"/>
        <v>102</v>
      </c>
      <c r="D29" s="159">
        <v>426</v>
      </c>
      <c r="E29" s="159">
        <f t="shared" si="7"/>
        <v>80</v>
      </c>
      <c r="F29" s="160">
        <f t="shared" si="8"/>
        <v>5</v>
      </c>
      <c r="G29" s="161">
        <f t="shared" si="0"/>
        <v>5902</v>
      </c>
      <c r="H29" s="159">
        <f t="shared" si="1"/>
        <v>12</v>
      </c>
      <c r="I29" s="159">
        <f t="shared" si="9"/>
        <v>10650</v>
      </c>
      <c r="J29" s="152">
        <f>VLOOKUP(A29,[2]filiation!A:C,3,FALSE)</f>
        <v>3</v>
      </c>
      <c r="K29" s="152">
        <f>VLOOKUP(J29,[2]Entourage!A:N,14,FALSE)</f>
        <v>3</v>
      </c>
      <c r="L29" s="152" t="str">
        <f t="shared" si="2"/>
        <v>辅助</v>
      </c>
      <c r="M29" s="152">
        <f>VLOOKUP(A29,[2]filiation!A:D,4,FALSE)</f>
        <v>1</v>
      </c>
      <c r="N29" s="152">
        <f>VLOOKUP(M29,[2]Entourage!A:N,14,FALSE)</f>
        <v>1</v>
      </c>
      <c r="O29" s="152" t="str">
        <f t="shared" si="3"/>
        <v>战斗</v>
      </c>
      <c r="P29" s="152">
        <f t="shared" si="4"/>
        <v>102</v>
      </c>
      <c r="Q29" s="151">
        <f>INT(VLOOKUP(VLOOKUP(A29,[2]filiation!A:E,3,FALSE),[2]Entourage!A:AA,IF(C29=101,25,IF(C29=102,26,IF(C29=104,27))),FALSE)*VLOOKUP(N29,$AF$2:$AI$6,IF(C29=1,2,IF(C29=2,3,4)),FALSE)*VLOOKUP(B29,$AK$2:$AL$11,2,FALSE))</f>
        <v>416</v>
      </c>
      <c r="R29" s="153">
        <f>IFERROR(INDEX([3]ItemConfig!$BB:$BB,MATCH(G29,[3]ItemConfig!$A:$A,0))*H29,0)</f>
        <v>0</v>
      </c>
      <c r="S29" s="154" t="str">
        <f>VLOOKUP(J29,[2]Entourage!A:B,2,FALSE)</f>
        <v>莫德雷斯</v>
      </c>
      <c r="T29" s="151" t="str">
        <f>VLOOKUP(M29,[2]Entourage!A:B,2,FALSE)</f>
        <v>重剑步兵</v>
      </c>
      <c r="U29" s="163"/>
      <c r="V29" s="147"/>
      <c r="X29" s="140"/>
      <c r="Y29" s="141"/>
      <c r="Z29" s="142"/>
      <c r="AH29" s="141"/>
      <c r="AI29" s="143"/>
      <c r="AJ29" s="143"/>
      <c r="AK29" s="143"/>
      <c r="AM29" s="141"/>
    </row>
    <row r="30" spans="1:39">
      <c r="A30" s="159">
        <f t="shared" si="5"/>
        <v>3</v>
      </c>
      <c r="B30" s="160">
        <f>COUNTIF(A$1:A30,A30)</f>
        <v>9</v>
      </c>
      <c r="C30" s="160">
        <f t="shared" si="6"/>
        <v>102</v>
      </c>
      <c r="D30" s="159">
        <v>479</v>
      </c>
      <c r="E30" s="159">
        <f t="shared" si="7"/>
        <v>90</v>
      </c>
      <c r="F30" s="160">
        <f t="shared" si="8"/>
        <v>5</v>
      </c>
      <c r="G30" s="161">
        <f t="shared" si="0"/>
        <v>5902</v>
      </c>
      <c r="H30" s="159">
        <f t="shared" si="1"/>
        <v>15</v>
      </c>
      <c r="I30" s="159">
        <f t="shared" si="9"/>
        <v>11975</v>
      </c>
      <c r="J30" s="152">
        <f>VLOOKUP(A30,[2]filiation!A:C,3,FALSE)</f>
        <v>3</v>
      </c>
      <c r="K30" s="152">
        <f>VLOOKUP(J30,[2]Entourage!A:N,14,FALSE)</f>
        <v>3</v>
      </c>
      <c r="L30" s="152" t="str">
        <f t="shared" si="2"/>
        <v>辅助</v>
      </c>
      <c r="M30" s="152">
        <f>VLOOKUP(A30,[2]filiation!A:D,4,FALSE)</f>
        <v>1</v>
      </c>
      <c r="N30" s="152">
        <f>VLOOKUP(M30,[2]Entourage!A:N,14,FALSE)</f>
        <v>1</v>
      </c>
      <c r="O30" s="152" t="str">
        <f t="shared" si="3"/>
        <v>战斗</v>
      </c>
      <c r="P30" s="152">
        <f t="shared" si="4"/>
        <v>102</v>
      </c>
      <c r="Q30" s="151">
        <f>INT(VLOOKUP(VLOOKUP(A30,[2]filiation!A:E,3,FALSE),[2]Entourage!A:AA,IF(C30=101,25,IF(C30=102,26,IF(C30=104,27))),FALSE)*VLOOKUP(N30,$AF$2:$AI$6,IF(C30=1,2,IF(C30=2,3,4)),FALSE)*VLOOKUP(B30,$AK$2:$AL$11,2,FALSE))</f>
        <v>471</v>
      </c>
      <c r="R30" s="153">
        <f>IFERROR(INDEX([3]ItemConfig!$BB:$BB,MATCH(G30,[3]ItemConfig!$A:$A,0))*H30,0)</f>
        <v>0</v>
      </c>
      <c r="S30" s="154" t="str">
        <f>VLOOKUP(J30,[2]Entourage!A:B,2,FALSE)</f>
        <v>莫德雷斯</v>
      </c>
      <c r="T30" s="151" t="str">
        <f>VLOOKUP(M30,[2]Entourage!A:B,2,FALSE)</f>
        <v>重剑步兵</v>
      </c>
      <c r="U30" s="163"/>
      <c r="V30" s="147"/>
      <c r="X30" s="140"/>
      <c r="Y30" s="141"/>
      <c r="Z30" s="140"/>
      <c r="AH30" s="141"/>
      <c r="AI30" s="143"/>
      <c r="AJ30" s="143"/>
      <c r="AK30" s="143"/>
      <c r="AM30" s="141"/>
    </row>
    <row r="31" spans="1:39">
      <c r="A31" s="159">
        <f t="shared" si="5"/>
        <v>3</v>
      </c>
      <c r="B31" s="160">
        <f>COUNTIF(A$1:A31,A31)</f>
        <v>10</v>
      </c>
      <c r="C31" s="160">
        <f t="shared" si="6"/>
        <v>102</v>
      </c>
      <c r="D31" s="159">
        <v>532</v>
      </c>
      <c r="E31" s="159">
        <f t="shared" si="7"/>
        <v>90</v>
      </c>
      <c r="F31" s="160">
        <f t="shared" si="8"/>
        <v>6</v>
      </c>
      <c r="G31" s="161">
        <f t="shared" si="0"/>
        <v>5902</v>
      </c>
      <c r="H31" s="159">
        <f t="shared" si="1"/>
        <v>18</v>
      </c>
      <c r="I31" s="159">
        <f t="shared" si="9"/>
        <v>13300</v>
      </c>
      <c r="J31" s="152">
        <f>VLOOKUP(A31,[2]filiation!A:C,3,FALSE)</f>
        <v>3</v>
      </c>
      <c r="K31" s="152">
        <f>VLOOKUP(J31,[2]Entourage!A:N,14,FALSE)</f>
        <v>3</v>
      </c>
      <c r="L31" s="152" t="str">
        <f t="shared" si="2"/>
        <v>辅助</v>
      </c>
      <c r="M31" s="152">
        <f>VLOOKUP(A31,[2]filiation!A:D,4,FALSE)</f>
        <v>1</v>
      </c>
      <c r="N31" s="152">
        <f>VLOOKUP(M31,[2]Entourage!A:N,14,FALSE)</f>
        <v>1</v>
      </c>
      <c r="O31" s="152" t="str">
        <f t="shared" si="3"/>
        <v>战斗</v>
      </c>
      <c r="P31" s="152">
        <f t="shared" si="4"/>
        <v>102</v>
      </c>
      <c r="Q31" s="151">
        <f>INT(VLOOKUP(VLOOKUP(A31,[2]filiation!A:E,3,FALSE),[2]Entourage!A:AA,IF(C31=101,25,IF(C31=102,26,IF(C31=104,27))),FALSE)*VLOOKUP(N31,$AF$2:$AI$6,IF(C31=1,2,IF(C31=2,3,4)),FALSE)*VLOOKUP(B31,$AK$2:$AL$11,2,FALSE))</f>
        <v>532</v>
      </c>
      <c r="R31" s="153">
        <f>IFERROR(INDEX([3]ItemConfig!$BB:$BB,MATCH(G31,[3]ItemConfig!$A:$A,0))*H31,0)</f>
        <v>0</v>
      </c>
      <c r="S31" s="154" t="str">
        <f>VLOOKUP(J31,[2]Entourage!A:B,2,FALSE)</f>
        <v>莫德雷斯</v>
      </c>
      <c r="T31" s="151" t="str">
        <f>VLOOKUP(M31,[2]Entourage!A:B,2,FALSE)</f>
        <v>重剑步兵</v>
      </c>
      <c r="U31" s="163"/>
      <c r="V31" s="147"/>
      <c r="X31" s="140"/>
      <c r="Y31" s="141"/>
      <c r="Z31" s="140"/>
      <c r="AH31" s="141"/>
      <c r="AI31" s="143"/>
      <c r="AJ31" s="143"/>
      <c r="AK31" s="143"/>
      <c r="AM31" s="141"/>
    </row>
    <row r="32" spans="1:39">
      <c r="A32" s="166">
        <f t="shared" si="5"/>
        <v>4</v>
      </c>
      <c r="B32" s="167">
        <f>COUNTIF(A$1:A32,A32)</f>
        <v>1</v>
      </c>
      <c r="C32" s="167">
        <f t="shared" si="6"/>
        <v>101</v>
      </c>
      <c r="D32" s="166">
        <v>62</v>
      </c>
      <c r="E32" s="166">
        <f t="shared" si="7"/>
        <v>10</v>
      </c>
      <c r="F32" s="167">
        <f t="shared" si="8"/>
        <v>1</v>
      </c>
      <c r="G32" s="168">
        <f t="shared" si="0"/>
        <v>5902</v>
      </c>
      <c r="H32" s="166">
        <f t="shared" si="1"/>
        <v>1</v>
      </c>
      <c r="I32" s="166">
        <f t="shared" si="9"/>
        <v>1550</v>
      </c>
      <c r="J32" s="152">
        <f>VLOOKUP(A32,[2]filiation!A:C,3,FALSE)</f>
        <v>4</v>
      </c>
      <c r="K32" s="152">
        <f>VLOOKUP(J32,[2]Entourage!A:N,14,FALSE)</f>
        <v>1</v>
      </c>
      <c r="L32" s="152" t="str">
        <f t="shared" si="2"/>
        <v>战斗</v>
      </c>
      <c r="M32" s="152">
        <f>VLOOKUP(A32,[2]filiation!A:D,4,FALSE)</f>
        <v>5</v>
      </c>
      <c r="N32" s="152">
        <f>VLOOKUP(M32,[2]Entourage!A:N,14,FALSE)</f>
        <v>2</v>
      </c>
      <c r="O32" s="152" t="str">
        <f t="shared" si="3"/>
        <v>刺杀</v>
      </c>
      <c r="P32" s="152">
        <f t="shared" si="4"/>
        <v>101</v>
      </c>
      <c r="Q32" s="151">
        <f>INT(VLOOKUP(VLOOKUP(A32,[2]filiation!A:E,3,FALSE),[2]Entourage!A:AA,IF(C32=101,25,IF(C32=102,26,IF(C32=104,27))),FALSE)*VLOOKUP(N32,$AF$2:$AI$6,IF(C32=1,2,IF(C32=2,3,4)),FALSE)*VLOOKUP(B32,$AK$2:$AL$11,2,FALSE))</f>
        <v>244</v>
      </c>
      <c r="R32" s="153">
        <f>IFERROR(INDEX([3]ItemConfig!$BB:$BB,MATCH(G32,[3]ItemConfig!$A:$A,0))*H32,0)</f>
        <v>0</v>
      </c>
      <c r="S32" s="154" t="str">
        <f>VLOOKUP(J32,[2]Entourage!A:B,2,FALSE)</f>
        <v>土元素</v>
      </c>
      <c r="T32" s="151" t="str">
        <f>VLOOKUP(M32,[2]Entourage!A:B,2,FALSE)</f>
        <v>火元素</v>
      </c>
      <c r="U32" s="163"/>
      <c r="V32" s="147"/>
      <c r="X32" s="140"/>
      <c r="Y32" s="141"/>
      <c r="Z32" s="140"/>
      <c r="AH32" s="141"/>
      <c r="AI32" s="143"/>
      <c r="AJ32" s="143"/>
      <c r="AK32" s="143"/>
      <c r="AM32" s="141"/>
    </row>
    <row r="33" spans="1:39">
      <c r="A33" s="166">
        <f t="shared" si="5"/>
        <v>4</v>
      </c>
      <c r="B33" s="167">
        <f>COUNTIF(A$1:A33,A33)</f>
        <v>2</v>
      </c>
      <c r="C33" s="167">
        <f t="shared" si="6"/>
        <v>101</v>
      </c>
      <c r="D33" s="166">
        <v>123</v>
      </c>
      <c r="E33" s="166">
        <f t="shared" si="7"/>
        <v>20</v>
      </c>
      <c r="F33" s="167">
        <f t="shared" si="8"/>
        <v>2</v>
      </c>
      <c r="G33" s="168">
        <f t="shared" si="0"/>
        <v>5902</v>
      </c>
      <c r="H33" s="166">
        <f t="shared" si="1"/>
        <v>2</v>
      </c>
      <c r="I33" s="166">
        <f t="shared" si="9"/>
        <v>3075</v>
      </c>
      <c r="J33" s="152">
        <f>VLOOKUP(A33,[2]filiation!A:C,3,FALSE)</f>
        <v>4</v>
      </c>
      <c r="K33" s="152">
        <f>VLOOKUP(J33,[2]Entourage!A:N,14,FALSE)</f>
        <v>1</v>
      </c>
      <c r="L33" s="152" t="str">
        <f t="shared" si="2"/>
        <v>战斗</v>
      </c>
      <c r="M33" s="152">
        <f>VLOOKUP(A33,[2]filiation!A:D,4,FALSE)</f>
        <v>5</v>
      </c>
      <c r="N33" s="152">
        <f>VLOOKUP(M33,[2]Entourage!A:N,14,FALSE)</f>
        <v>2</v>
      </c>
      <c r="O33" s="152" t="str">
        <f t="shared" si="3"/>
        <v>刺杀</v>
      </c>
      <c r="P33" s="152">
        <f t="shared" si="4"/>
        <v>101</v>
      </c>
      <c r="Q33" s="151">
        <f>INT(VLOOKUP(VLOOKUP(A33,[2]filiation!A:E,3,FALSE),[2]Entourage!A:AA,IF(C33=101,25,IF(C33=102,26,IF(C33=104,27))),FALSE)*VLOOKUP(N33,$AF$2:$AI$6,IF(C33=1,2,IF(C33=2,3,4)),FALSE)*VLOOKUP(B33,$AK$2:$AL$11,2,FALSE))</f>
        <v>255</v>
      </c>
      <c r="R33" s="153">
        <f>IFERROR(INDEX([3]ItemConfig!$BB:$BB,MATCH(G33,[3]ItemConfig!$A:$A,0))*H33,0)</f>
        <v>0</v>
      </c>
      <c r="S33" s="154" t="str">
        <f>VLOOKUP(J33,[2]Entourage!A:B,2,FALSE)</f>
        <v>土元素</v>
      </c>
      <c r="T33" s="151" t="str">
        <f>VLOOKUP(M33,[2]Entourage!A:B,2,FALSE)</f>
        <v>火元素</v>
      </c>
      <c r="U33" s="163"/>
      <c r="V33" s="147"/>
      <c r="X33" s="140"/>
      <c r="Y33" s="141"/>
      <c r="Z33" s="140"/>
      <c r="AH33" s="141"/>
      <c r="AI33" s="143"/>
      <c r="AJ33" s="143"/>
      <c r="AK33" s="143"/>
      <c r="AM33" s="141"/>
    </row>
    <row r="34" spans="1:39">
      <c r="A34" s="166">
        <f t="shared" si="5"/>
        <v>4</v>
      </c>
      <c r="B34" s="167">
        <f>COUNTIF(A$1:A34,A34)</f>
        <v>3</v>
      </c>
      <c r="C34" s="167">
        <f t="shared" si="6"/>
        <v>101</v>
      </c>
      <c r="D34" s="166">
        <v>184</v>
      </c>
      <c r="E34" s="166">
        <f t="shared" si="7"/>
        <v>30</v>
      </c>
      <c r="F34" s="167">
        <f t="shared" si="8"/>
        <v>2</v>
      </c>
      <c r="G34" s="168">
        <f t="shared" si="0"/>
        <v>5902</v>
      </c>
      <c r="H34" s="166">
        <f t="shared" si="1"/>
        <v>3</v>
      </c>
      <c r="I34" s="166">
        <f t="shared" si="9"/>
        <v>4600</v>
      </c>
      <c r="J34" s="152">
        <f>VLOOKUP(A34,[2]filiation!A:C,3,FALSE)</f>
        <v>4</v>
      </c>
      <c r="K34" s="152">
        <f>VLOOKUP(J34,[2]Entourage!A:N,14,FALSE)</f>
        <v>1</v>
      </c>
      <c r="L34" s="152" t="str">
        <f t="shared" si="2"/>
        <v>战斗</v>
      </c>
      <c r="M34" s="152">
        <f>VLOOKUP(A34,[2]filiation!A:D,4,FALSE)</f>
        <v>5</v>
      </c>
      <c r="N34" s="152">
        <f>VLOOKUP(M34,[2]Entourage!A:N,14,FALSE)</f>
        <v>2</v>
      </c>
      <c r="O34" s="152" t="str">
        <f t="shared" si="3"/>
        <v>刺杀</v>
      </c>
      <c r="P34" s="152">
        <f t="shared" si="4"/>
        <v>101</v>
      </c>
      <c r="Q34" s="151">
        <f>INT(VLOOKUP(VLOOKUP(A34,[2]filiation!A:E,3,FALSE),[2]Entourage!A:AA,IF(C34=101,25,IF(C34=102,26,IF(C34=104,27))),FALSE)*VLOOKUP(N34,$AF$2:$AI$6,IF(C34=1,2,IF(C34=2,3,4)),FALSE)*VLOOKUP(B34,$AK$2:$AL$11,2,FALSE))</f>
        <v>274</v>
      </c>
      <c r="R34" s="153">
        <f>IFERROR(INDEX([3]ItemConfig!$BB:$BB,MATCH(G34,[3]ItemConfig!$A:$A,0))*H34,0)</f>
        <v>0</v>
      </c>
      <c r="S34" s="154" t="str">
        <f>VLOOKUP(J34,[2]Entourage!A:B,2,FALSE)</f>
        <v>土元素</v>
      </c>
      <c r="T34" s="151" t="str">
        <f>VLOOKUP(M34,[2]Entourage!A:B,2,FALSE)</f>
        <v>火元素</v>
      </c>
      <c r="U34" s="163"/>
      <c r="V34" s="147"/>
      <c r="X34" s="140"/>
      <c r="Y34" s="141"/>
      <c r="Z34" s="140"/>
      <c r="AH34" s="141"/>
      <c r="AI34" s="143"/>
      <c r="AJ34" s="143"/>
      <c r="AK34" s="143"/>
      <c r="AM34" s="141"/>
    </row>
    <row r="35" spans="1:39">
      <c r="A35" s="166">
        <f t="shared" si="5"/>
        <v>4</v>
      </c>
      <c r="B35" s="167">
        <f>COUNTIF(A$1:A35,A35)</f>
        <v>4</v>
      </c>
      <c r="C35" s="167">
        <f t="shared" si="6"/>
        <v>101</v>
      </c>
      <c r="D35" s="166">
        <v>245</v>
      </c>
      <c r="E35" s="166">
        <f t="shared" si="7"/>
        <v>40</v>
      </c>
      <c r="F35" s="167">
        <f t="shared" si="8"/>
        <v>3</v>
      </c>
      <c r="G35" s="168">
        <f t="shared" si="0"/>
        <v>5902</v>
      </c>
      <c r="H35" s="166">
        <f t="shared" si="1"/>
        <v>4</v>
      </c>
      <c r="I35" s="166">
        <f t="shared" si="9"/>
        <v>6125</v>
      </c>
      <c r="J35" s="152">
        <f>VLOOKUP(A35,[2]filiation!A:C,3,FALSE)</f>
        <v>4</v>
      </c>
      <c r="K35" s="152">
        <f>VLOOKUP(J35,[2]Entourage!A:N,14,FALSE)</f>
        <v>1</v>
      </c>
      <c r="L35" s="152" t="str">
        <f t="shared" si="2"/>
        <v>战斗</v>
      </c>
      <c r="M35" s="152">
        <f>VLOOKUP(A35,[2]filiation!A:D,4,FALSE)</f>
        <v>5</v>
      </c>
      <c r="N35" s="152">
        <f>VLOOKUP(M35,[2]Entourage!A:N,14,FALSE)</f>
        <v>2</v>
      </c>
      <c r="O35" s="152" t="str">
        <f t="shared" si="3"/>
        <v>刺杀</v>
      </c>
      <c r="P35" s="152">
        <f t="shared" si="4"/>
        <v>101</v>
      </c>
      <c r="Q35" s="151">
        <f>INT(VLOOKUP(VLOOKUP(A35,[2]filiation!A:E,3,FALSE),[2]Entourage!A:AA,IF(C35=101,25,IF(C35=102,26,IF(C35=104,27))),FALSE)*VLOOKUP(N35,$AF$2:$AI$6,IF(C35=1,2,IF(C35=2,3,4)),FALSE)*VLOOKUP(B35,$AK$2:$AL$11,2,FALSE))</f>
        <v>300</v>
      </c>
      <c r="R35" s="153">
        <f>IFERROR(INDEX([3]ItemConfig!$BB:$BB,MATCH(G35,[3]ItemConfig!$A:$A,0))*H35,0)</f>
        <v>0</v>
      </c>
      <c r="S35" s="154" t="str">
        <f>VLOOKUP(J35,[2]Entourage!A:B,2,FALSE)</f>
        <v>土元素</v>
      </c>
      <c r="T35" s="151" t="str">
        <f>VLOOKUP(M35,[2]Entourage!A:B,2,FALSE)</f>
        <v>火元素</v>
      </c>
      <c r="U35" s="163"/>
      <c r="V35" s="147"/>
      <c r="X35" s="140"/>
      <c r="Y35" s="141"/>
      <c r="Z35" s="140"/>
      <c r="AH35" s="141"/>
      <c r="AI35" s="143"/>
      <c r="AJ35" s="143"/>
      <c r="AK35" s="143"/>
      <c r="AM35" s="141"/>
    </row>
    <row r="36" spans="1:39">
      <c r="A36" s="166">
        <f t="shared" si="5"/>
        <v>4</v>
      </c>
      <c r="B36" s="167">
        <f>COUNTIF(A$1:A36,A36)</f>
        <v>5</v>
      </c>
      <c r="C36" s="167">
        <f t="shared" si="6"/>
        <v>101</v>
      </c>
      <c r="D36" s="166">
        <v>306</v>
      </c>
      <c r="E36" s="166">
        <f t="shared" si="7"/>
        <v>50</v>
      </c>
      <c r="F36" s="167">
        <f t="shared" si="8"/>
        <v>3</v>
      </c>
      <c r="G36" s="168">
        <f t="shared" si="0"/>
        <v>5902</v>
      </c>
      <c r="H36" s="166">
        <f t="shared" si="1"/>
        <v>6</v>
      </c>
      <c r="I36" s="166">
        <f t="shared" si="9"/>
        <v>7650</v>
      </c>
      <c r="J36" s="152">
        <f>VLOOKUP(A36,[2]filiation!A:C,3,FALSE)</f>
        <v>4</v>
      </c>
      <c r="K36" s="152">
        <f>VLOOKUP(J36,[2]Entourage!A:N,14,FALSE)</f>
        <v>1</v>
      </c>
      <c r="L36" s="152" t="str">
        <f t="shared" si="2"/>
        <v>战斗</v>
      </c>
      <c r="M36" s="152">
        <f>VLOOKUP(A36,[2]filiation!A:D,4,FALSE)</f>
        <v>5</v>
      </c>
      <c r="N36" s="152">
        <f>VLOOKUP(M36,[2]Entourage!A:N,14,FALSE)</f>
        <v>2</v>
      </c>
      <c r="O36" s="152" t="str">
        <f t="shared" si="3"/>
        <v>刺杀</v>
      </c>
      <c r="P36" s="152">
        <f t="shared" si="4"/>
        <v>101</v>
      </c>
      <c r="Q36" s="151">
        <f>INT(VLOOKUP(VLOOKUP(A36,[2]filiation!A:E,3,FALSE),[2]Entourage!A:AA,IF(C36=101,25,IF(C36=102,26,IF(C36=104,27))),FALSE)*VLOOKUP(N36,$AF$2:$AI$6,IF(C36=1,2,IF(C36=2,3,4)),FALSE)*VLOOKUP(B36,$AK$2:$AL$11,2,FALSE))</f>
        <v>333</v>
      </c>
      <c r="R36" s="153">
        <f>IFERROR(INDEX([3]ItemConfig!$BB:$BB,MATCH(G36,[3]ItemConfig!$A:$A,0))*H36,0)</f>
        <v>0</v>
      </c>
      <c r="S36" s="154" t="str">
        <f>VLOOKUP(J36,[2]Entourage!A:B,2,FALSE)</f>
        <v>土元素</v>
      </c>
      <c r="T36" s="151" t="str">
        <f>VLOOKUP(M36,[2]Entourage!A:B,2,FALSE)</f>
        <v>火元素</v>
      </c>
      <c r="U36" s="163"/>
      <c r="V36" s="147"/>
      <c r="X36" s="140"/>
      <c r="Y36" s="141"/>
      <c r="Z36" s="140"/>
      <c r="AH36" s="141"/>
      <c r="AI36" s="143"/>
      <c r="AJ36" s="143"/>
      <c r="AK36" s="143"/>
      <c r="AM36" s="141"/>
    </row>
    <row r="37" spans="1:39">
      <c r="A37" s="166">
        <f t="shared" si="5"/>
        <v>4</v>
      </c>
      <c r="B37" s="167">
        <f>COUNTIF(A$1:A37,A37)</f>
        <v>6</v>
      </c>
      <c r="C37" s="167">
        <f t="shared" si="6"/>
        <v>101</v>
      </c>
      <c r="D37" s="166">
        <v>368</v>
      </c>
      <c r="E37" s="166">
        <f t="shared" si="7"/>
        <v>60</v>
      </c>
      <c r="F37" s="167">
        <f t="shared" si="8"/>
        <v>4</v>
      </c>
      <c r="G37" s="168">
        <f t="shared" si="0"/>
        <v>5902</v>
      </c>
      <c r="H37" s="166">
        <f t="shared" si="1"/>
        <v>8</v>
      </c>
      <c r="I37" s="166">
        <f t="shared" si="9"/>
        <v>9200</v>
      </c>
      <c r="J37" s="152">
        <f>VLOOKUP(A37,[2]filiation!A:C,3,FALSE)</f>
        <v>4</v>
      </c>
      <c r="K37" s="152">
        <f>VLOOKUP(J37,[2]Entourage!A:N,14,FALSE)</f>
        <v>1</v>
      </c>
      <c r="L37" s="152" t="str">
        <f t="shared" si="2"/>
        <v>战斗</v>
      </c>
      <c r="M37" s="152">
        <f>VLOOKUP(A37,[2]filiation!A:D,4,FALSE)</f>
        <v>5</v>
      </c>
      <c r="N37" s="152">
        <f>VLOOKUP(M37,[2]Entourage!A:N,14,FALSE)</f>
        <v>2</v>
      </c>
      <c r="O37" s="152" t="str">
        <f t="shared" si="3"/>
        <v>刺杀</v>
      </c>
      <c r="P37" s="152">
        <f t="shared" si="4"/>
        <v>101</v>
      </c>
      <c r="Q37" s="151">
        <f>INT(VLOOKUP(VLOOKUP(A37,[2]filiation!A:E,3,FALSE),[2]Entourage!A:AA,IF(C37=101,25,IF(C37=102,26,IF(C37=104,27))),FALSE)*VLOOKUP(N37,$AF$2:$AI$6,IF(C37=1,2,IF(C37=2,3,4)),FALSE)*VLOOKUP(B37,$AK$2:$AL$11,2,FALSE))</f>
        <v>374</v>
      </c>
      <c r="R37" s="153">
        <f>IFERROR(INDEX([3]ItemConfig!$BB:$BB,MATCH(G37,[3]ItemConfig!$A:$A,0))*H37,0)</f>
        <v>0</v>
      </c>
      <c r="S37" s="154" t="str">
        <f>VLOOKUP(J37,[2]Entourage!A:B,2,FALSE)</f>
        <v>土元素</v>
      </c>
      <c r="T37" s="151" t="str">
        <f>VLOOKUP(M37,[2]Entourage!A:B,2,FALSE)</f>
        <v>火元素</v>
      </c>
      <c r="U37" s="163"/>
      <c r="V37" s="147"/>
      <c r="X37" s="140"/>
      <c r="Y37" s="141"/>
      <c r="Z37" s="140"/>
      <c r="AH37" s="141"/>
      <c r="AI37" s="143"/>
      <c r="AJ37" s="143"/>
      <c r="AK37" s="143"/>
      <c r="AM37" s="141"/>
    </row>
    <row r="38" spans="1:39">
      <c r="A38" s="166">
        <f t="shared" si="5"/>
        <v>4</v>
      </c>
      <c r="B38" s="167">
        <f>COUNTIF(A$1:A38,A38)</f>
        <v>7</v>
      </c>
      <c r="C38" s="167">
        <f t="shared" si="6"/>
        <v>101</v>
      </c>
      <c r="D38" s="166">
        <v>429</v>
      </c>
      <c r="E38" s="166">
        <f t="shared" si="7"/>
        <v>70</v>
      </c>
      <c r="F38" s="167">
        <f t="shared" si="8"/>
        <v>4</v>
      </c>
      <c r="G38" s="168">
        <f t="shared" si="0"/>
        <v>5902</v>
      </c>
      <c r="H38" s="166">
        <f t="shared" si="1"/>
        <v>10</v>
      </c>
      <c r="I38" s="166">
        <f t="shared" si="9"/>
        <v>10725</v>
      </c>
      <c r="J38" s="152">
        <f>VLOOKUP(A38,[2]filiation!A:C,3,FALSE)</f>
        <v>4</v>
      </c>
      <c r="K38" s="152">
        <f>VLOOKUP(J38,[2]Entourage!A:N,14,FALSE)</f>
        <v>1</v>
      </c>
      <c r="L38" s="152" t="str">
        <f t="shared" si="2"/>
        <v>战斗</v>
      </c>
      <c r="M38" s="152">
        <f>VLOOKUP(A38,[2]filiation!A:D,4,FALSE)</f>
        <v>5</v>
      </c>
      <c r="N38" s="152">
        <f>VLOOKUP(M38,[2]Entourage!A:N,14,FALSE)</f>
        <v>2</v>
      </c>
      <c r="O38" s="152" t="str">
        <f t="shared" si="3"/>
        <v>刺杀</v>
      </c>
      <c r="P38" s="152">
        <f t="shared" si="4"/>
        <v>101</v>
      </c>
      <c r="Q38" s="151">
        <f>INT(VLOOKUP(VLOOKUP(A38,[2]filiation!A:E,3,FALSE),[2]Entourage!A:AA,IF(C38=101,25,IF(C38=102,26,IF(C38=104,27))),FALSE)*VLOOKUP(N38,$AF$2:$AI$6,IF(C38=1,2,IF(C38=2,3,4)),FALSE)*VLOOKUP(B38,$AK$2:$AL$11,2,FALSE))</f>
        <v>422</v>
      </c>
      <c r="R38" s="153">
        <f>IFERROR(INDEX([3]ItemConfig!$BB:$BB,MATCH(G38,[3]ItemConfig!$A:$A,0))*H38,0)</f>
        <v>0</v>
      </c>
      <c r="S38" s="154" t="str">
        <f>VLOOKUP(J38,[2]Entourage!A:B,2,FALSE)</f>
        <v>土元素</v>
      </c>
      <c r="T38" s="151" t="str">
        <f>VLOOKUP(M38,[2]Entourage!A:B,2,FALSE)</f>
        <v>火元素</v>
      </c>
      <c r="U38" s="163"/>
      <c r="V38" s="147"/>
      <c r="X38" s="140"/>
      <c r="Y38" s="141"/>
      <c r="Z38" s="140"/>
      <c r="AH38" s="141"/>
      <c r="AI38" s="143"/>
      <c r="AJ38" s="143"/>
      <c r="AK38" s="143"/>
      <c r="AM38" s="141"/>
    </row>
    <row r="39" spans="1:39">
      <c r="A39" s="166">
        <f t="shared" si="5"/>
        <v>4</v>
      </c>
      <c r="B39" s="167">
        <f>COUNTIF(A$1:A39,A39)</f>
        <v>8</v>
      </c>
      <c r="C39" s="167">
        <f t="shared" si="6"/>
        <v>101</v>
      </c>
      <c r="D39" s="166">
        <v>490</v>
      </c>
      <c r="E39" s="166">
        <f t="shared" si="7"/>
        <v>80</v>
      </c>
      <c r="F39" s="167">
        <f t="shared" si="8"/>
        <v>5</v>
      </c>
      <c r="G39" s="168">
        <f t="shared" si="0"/>
        <v>5902</v>
      </c>
      <c r="H39" s="166">
        <f t="shared" si="1"/>
        <v>12</v>
      </c>
      <c r="I39" s="166">
        <f t="shared" si="9"/>
        <v>12250</v>
      </c>
      <c r="J39" s="152">
        <f>VLOOKUP(A39,[2]filiation!A:C,3,FALSE)</f>
        <v>4</v>
      </c>
      <c r="K39" s="152">
        <f>VLOOKUP(J39,[2]Entourage!A:N,14,FALSE)</f>
        <v>1</v>
      </c>
      <c r="L39" s="152" t="str">
        <f t="shared" si="2"/>
        <v>战斗</v>
      </c>
      <c r="M39" s="152">
        <f>VLOOKUP(A39,[2]filiation!A:D,4,FALSE)</f>
        <v>5</v>
      </c>
      <c r="N39" s="152">
        <f>VLOOKUP(M39,[2]Entourage!A:N,14,FALSE)</f>
        <v>2</v>
      </c>
      <c r="O39" s="152" t="str">
        <f t="shared" si="3"/>
        <v>刺杀</v>
      </c>
      <c r="P39" s="152">
        <f t="shared" si="4"/>
        <v>101</v>
      </c>
      <c r="Q39" s="151">
        <f>INT(VLOOKUP(VLOOKUP(A39,[2]filiation!A:E,3,FALSE),[2]Entourage!A:AA,IF(C39=101,25,IF(C39=102,26,IF(C39=104,27))),FALSE)*VLOOKUP(N39,$AF$2:$AI$6,IF(C39=1,2,IF(C39=2,3,4)),FALSE)*VLOOKUP(B39,$AK$2:$AL$11,2,FALSE))</f>
        <v>478</v>
      </c>
      <c r="R39" s="153">
        <f>IFERROR(INDEX([3]ItemConfig!$BB:$BB,MATCH(G39,[3]ItemConfig!$A:$A,0))*H39,0)</f>
        <v>0</v>
      </c>
      <c r="S39" s="154" t="str">
        <f>VLOOKUP(J39,[2]Entourage!A:B,2,FALSE)</f>
        <v>土元素</v>
      </c>
      <c r="T39" s="151" t="str">
        <f>VLOOKUP(M39,[2]Entourage!A:B,2,FALSE)</f>
        <v>火元素</v>
      </c>
      <c r="U39" s="163"/>
      <c r="V39" s="147"/>
      <c r="X39" s="140"/>
      <c r="Y39" s="141"/>
      <c r="Z39" s="140"/>
      <c r="AH39" s="141"/>
      <c r="AI39" s="143"/>
      <c r="AJ39" s="143"/>
      <c r="AK39" s="143"/>
      <c r="AM39" s="141"/>
    </row>
    <row r="40" spans="1:39">
      <c r="A40" s="166">
        <f t="shared" si="5"/>
        <v>4</v>
      </c>
      <c r="B40" s="167">
        <f>COUNTIF(A$1:A40,A40)</f>
        <v>9</v>
      </c>
      <c r="C40" s="167">
        <f t="shared" si="6"/>
        <v>101</v>
      </c>
      <c r="D40" s="166">
        <v>551</v>
      </c>
      <c r="E40" s="166">
        <f t="shared" si="7"/>
        <v>90</v>
      </c>
      <c r="F40" s="167">
        <f t="shared" si="8"/>
        <v>5</v>
      </c>
      <c r="G40" s="168">
        <f t="shared" si="0"/>
        <v>5902</v>
      </c>
      <c r="H40" s="166">
        <f t="shared" si="1"/>
        <v>15</v>
      </c>
      <c r="I40" s="166">
        <f t="shared" si="9"/>
        <v>13775</v>
      </c>
      <c r="J40" s="152">
        <f>VLOOKUP(A40,[2]filiation!A:C,3,FALSE)</f>
        <v>4</v>
      </c>
      <c r="K40" s="152">
        <f>VLOOKUP(J40,[2]Entourage!A:N,14,FALSE)</f>
        <v>1</v>
      </c>
      <c r="L40" s="152" t="str">
        <f t="shared" si="2"/>
        <v>战斗</v>
      </c>
      <c r="M40" s="152">
        <f>VLOOKUP(A40,[2]filiation!A:D,4,FALSE)</f>
        <v>5</v>
      </c>
      <c r="N40" s="152">
        <f>VLOOKUP(M40,[2]Entourage!A:N,14,FALSE)</f>
        <v>2</v>
      </c>
      <c r="O40" s="152" t="str">
        <f t="shared" si="3"/>
        <v>刺杀</v>
      </c>
      <c r="P40" s="152">
        <f t="shared" si="4"/>
        <v>101</v>
      </c>
      <c r="Q40" s="151">
        <f>INT(VLOOKUP(VLOOKUP(A40,[2]filiation!A:E,3,FALSE),[2]Entourage!A:AA,IF(C40=101,25,IF(C40=102,26,IF(C40=104,27))),FALSE)*VLOOKUP(N40,$AF$2:$AI$6,IF(C40=1,2,IF(C40=2,3,4)),FALSE)*VLOOKUP(B40,$AK$2:$AL$11,2,FALSE))</f>
        <v>541</v>
      </c>
      <c r="R40" s="153">
        <f>IFERROR(INDEX([3]ItemConfig!$BB:$BB,MATCH(G40,[3]ItemConfig!$A:$A,0))*H40,0)</f>
        <v>0</v>
      </c>
      <c r="S40" s="154" t="str">
        <f>VLOOKUP(J40,[2]Entourage!A:B,2,FALSE)</f>
        <v>土元素</v>
      </c>
      <c r="T40" s="151" t="str">
        <f>VLOOKUP(M40,[2]Entourage!A:B,2,FALSE)</f>
        <v>火元素</v>
      </c>
      <c r="U40" s="163"/>
      <c r="V40" s="147"/>
      <c r="X40" s="140"/>
      <c r="Y40" s="141"/>
      <c r="Z40" s="140"/>
      <c r="AH40" s="141"/>
      <c r="AI40" s="143"/>
      <c r="AJ40" s="143"/>
      <c r="AK40" s="143"/>
      <c r="AM40" s="141"/>
    </row>
    <row r="41" spans="1:39">
      <c r="A41" s="166">
        <f t="shared" si="5"/>
        <v>4</v>
      </c>
      <c r="B41" s="167">
        <f>COUNTIF(A$1:A41,A41)</f>
        <v>10</v>
      </c>
      <c r="C41" s="167">
        <f t="shared" si="6"/>
        <v>101</v>
      </c>
      <c r="D41" s="166">
        <v>612</v>
      </c>
      <c r="E41" s="166">
        <f t="shared" si="7"/>
        <v>90</v>
      </c>
      <c r="F41" s="167">
        <f t="shared" si="8"/>
        <v>6</v>
      </c>
      <c r="G41" s="168">
        <f t="shared" si="0"/>
        <v>5902</v>
      </c>
      <c r="H41" s="166">
        <f t="shared" si="1"/>
        <v>18</v>
      </c>
      <c r="I41" s="166">
        <f t="shared" si="9"/>
        <v>15300</v>
      </c>
      <c r="J41" s="152">
        <f>VLOOKUP(A41,[2]filiation!A:C,3,FALSE)</f>
        <v>4</v>
      </c>
      <c r="K41" s="152">
        <f>VLOOKUP(J41,[2]Entourage!A:N,14,FALSE)</f>
        <v>1</v>
      </c>
      <c r="L41" s="152" t="str">
        <f t="shared" si="2"/>
        <v>战斗</v>
      </c>
      <c r="M41" s="152">
        <f>VLOOKUP(A41,[2]filiation!A:D,4,FALSE)</f>
        <v>5</v>
      </c>
      <c r="N41" s="152">
        <f>VLOOKUP(M41,[2]Entourage!A:N,14,FALSE)</f>
        <v>2</v>
      </c>
      <c r="O41" s="152" t="str">
        <f t="shared" si="3"/>
        <v>刺杀</v>
      </c>
      <c r="P41" s="152">
        <f t="shared" si="4"/>
        <v>101</v>
      </c>
      <c r="Q41" s="151">
        <f>INT(VLOOKUP(VLOOKUP(A41,[2]filiation!A:E,3,FALSE),[2]Entourage!A:AA,IF(C41=101,25,IF(C41=102,26,IF(C41=104,27))),FALSE)*VLOOKUP(N41,$AF$2:$AI$6,IF(C41=1,2,IF(C41=2,3,4)),FALSE)*VLOOKUP(B41,$AK$2:$AL$11,2,FALSE))</f>
        <v>612</v>
      </c>
      <c r="R41" s="153">
        <f>IFERROR(INDEX([3]ItemConfig!$BB:$BB,MATCH(G41,[3]ItemConfig!$A:$A,0))*H41,0)</f>
        <v>0</v>
      </c>
      <c r="S41" s="154" t="str">
        <f>VLOOKUP(J41,[2]Entourage!A:B,2,FALSE)</f>
        <v>土元素</v>
      </c>
      <c r="T41" s="151" t="str">
        <f>VLOOKUP(M41,[2]Entourage!A:B,2,FALSE)</f>
        <v>火元素</v>
      </c>
      <c r="U41" s="163"/>
      <c r="V41" s="147"/>
    </row>
    <row r="42" spans="1:39">
      <c r="A42" s="159">
        <f t="shared" si="5"/>
        <v>5</v>
      </c>
      <c r="B42" s="160">
        <f>COUNTIF(A$1:A42,A42)</f>
        <v>1</v>
      </c>
      <c r="C42" s="160">
        <f t="shared" si="6"/>
        <v>104</v>
      </c>
      <c r="D42" s="159">
        <v>1275</v>
      </c>
      <c r="E42" s="159">
        <f t="shared" si="7"/>
        <v>10</v>
      </c>
      <c r="F42" s="160">
        <f t="shared" si="8"/>
        <v>1</v>
      </c>
      <c r="G42" s="161">
        <f t="shared" si="0"/>
        <v>5902</v>
      </c>
      <c r="H42" s="159">
        <f t="shared" si="1"/>
        <v>1</v>
      </c>
      <c r="I42" s="159">
        <f t="shared" si="9"/>
        <v>1275</v>
      </c>
      <c r="J42" s="152">
        <f>VLOOKUP(A42,[2]filiation!A:C,3,FALSE)</f>
        <v>4</v>
      </c>
      <c r="K42" s="152">
        <f>VLOOKUP(J42,[2]Entourage!A:N,14,FALSE)</f>
        <v>1</v>
      </c>
      <c r="L42" s="152" t="str">
        <f t="shared" si="2"/>
        <v>战斗</v>
      </c>
      <c r="M42" s="152">
        <f>VLOOKUP(A42,[2]filiation!A:D,4,FALSE)</f>
        <v>6</v>
      </c>
      <c r="N42" s="152">
        <f>VLOOKUP(M42,[2]Entourage!A:N,14,FALSE)</f>
        <v>3</v>
      </c>
      <c r="O42" s="152" t="str">
        <f t="shared" si="3"/>
        <v>辅助</v>
      </c>
      <c r="P42" s="152">
        <f t="shared" si="4"/>
        <v>104</v>
      </c>
      <c r="Q42" s="151">
        <f>INT(VLOOKUP(VLOOKUP(A42,[2]filiation!A:E,3,FALSE),[2]Entourage!A:AA,IF(C42=101,25,IF(C42=102,26,IF(C42=104,27))),FALSE)*VLOOKUP(N42,$AF$2:$AI$6,IF(C42=1,2,IF(C42=2,3,4)),FALSE)*VLOOKUP(B42,$AK$2:$AL$11,2,FALSE))</f>
        <v>5100</v>
      </c>
      <c r="R42" s="153">
        <f>IFERROR(INDEX([3]ItemConfig!$BB:$BB,MATCH(G42,[3]ItemConfig!$A:$A,0))*H42,0)</f>
        <v>0</v>
      </c>
      <c r="S42" s="154" t="str">
        <f>VLOOKUP(J42,[2]Entourage!A:B,2,FALSE)</f>
        <v>土元素</v>
      </c>
      <c r="T42" s="151" t="str">
        <f>VLOOKUP(M42,[2]Entourage!A:B,2,FALSE)</f>
        <v>风元素</v>
      </c>
      <c r="U42" s="163"/>
      <c r="V42" s="147"/>
    </row>
    <row r="43" spans="1:39">
      <c r="A43" s="159">
        <f t="shared" si="5"/>
        <v>5</v>
      </c>
      <c r="B43" s="160">
        <f>COUNTIF(A$1:A43,A43)</f>
        <v>2</v>
      </c>
      <c r="C43" s="160">
        <f t="shared" si="6"/>
        <v>104</v>
      </c>
      <c r="D43" s="159">
        <v>2550</v>
      </c>
      <c r="E43" s="159">
        <f t="shared" si="7"/>
        <v>20</v>
      </c>
      <c r="F43" s="160">
        <f t="shared" si="8"/>
        <v>2</v>
      </c>
      <c r="G43" s="161">
        <f t="shared" si="0"/>
        <v>5902</v>
      </c>
      <c r="H43" s="159">
        <f t="shared" si="1"/>
        <v>2</v>
      </c>
      <c r="I43" s="159">
        <f t="shared" si="9"/>
        <v>2550</v>
      </c>
      <c r="J43" s="152">
        <f>VLOOKUP(A43,[2]filiation!A:C,3,FALSE)</f>
        <v>4</v>
      </c>
      <c r="K43" s="152">
        <f>VLOOKUP(J43,[2]Entourage!A:N,14,FALSE)</f>
        <v>1</v>
      </c>
      <c r="L43" s="152" t="str">
        <f t="shared" si="2"/>
        <v>战斗</v>
      </c>
      <c r="M43" s="152">
        <f>VLOOKUP(A43,[2]filiation!A:D,4,FALSE)</f>
        <v>6</v>
      </c>
      <c r="N43" s="152">
        <f>VLOOKUP(M43,[2]Entourage!A:N,14,FALSE)</f>
        <v>3</v>
      </c>
      <c r="O43" s="152" t="str">
        <f t="shared" si="3"/>
        <v>辅助</v>
      </c>
      <c r="P43" s="152">
        <f t="shared" si="4"/>
        <v>104</v>
      </c>
      <c r="Q43" s="151">
        <f>INT(VLOOKUP(VLOOKUP(A43,[2]filiation!A:E,3,FALSE),[2]Entourage!A:AA,IF(C43=101,25,IF(C43=102,26,IF(C43=104,27))),FALSE)*VLOOKUP(N43,$AF$2:$AI$6,IF(C43=1,2,IF(C43=2,3,4)),FALSE)*VLOOKUP(B43,$AK$2:$AL$11,2,FALSE))</f>
        <v>5331</v>
      </c>
      <c r="R43" s="153">
        <f>IFERROR(INDEX([3]ItemConfig!$BB:$BB,MATCH(G43,[3]ItemConfig!$A:$A,0))*H43,0)</f>
        <v>0</v>
      </c>
      <c r="S43" s="154" t="str">
        <f>VLOOKUP(J43,[2]Entourage!A:B,2,FALSE)</f>
        <v>土元素</v>
      </c>
      <c r="T43" s="151" t="str">
        <f>VLOOKUP(M43,[2]Entourage!A:B,2,FALSE)</f>
        <v>风元素</v>
      </c>
      <c r="U43" s="163"/>
      <c r="V43" s="147"/>
    </row>
    <row r="44" spans="1:39">
      <c r="A44" s="159">
        <f t="shared" si="5"/>
        <v>5</v>
      </c>
      <c r="B44" s="160">
        <f>COUNTIF(A$1:A44,A44)</f>
        <v>3</v>
      </c>
      <c r="C44" s="160">
        <f t="shared" si="6"/>
        <v>104</v>
      </c>
      <c r="D44" s="159">
        <v>3825</v>
      </c>
      <c r="E44" s="159">
        <f t="shared" si="7"/>
        <v>30</v>
      </c>
      <c r="F44" s="160">
        <f t="shared" si="8"/>
        <v>2</v>
      </c>
      <c r="G44" s="161">
        <f t="shared" si="0"/>
        <v>5902</v>
      </c>
      <c r="H44" s="159">
        <f t="shared" si="1"/>
        <v>3</v>
      </c>
      <c r="I44" s="159">
        <f t="shared" si="9"/>
        <v>3825</v>
      </c>
      <c r="J44" s="152">
        <f>VLOOKUP(A44,[2]filiation!A:C,3,FALSE)</f>
        <v>4</v>
      </c>
      <c r="K44" s="152">
        <f>VLOOKUP(J44,[2]Entourage!A:N,14,FALSE)</f>
        <v>1</v>
      </c>
      <c r="L44" s="152" t="str">
        <f t="shared" si="2"/>
        <v>战斗</v>
      </c>
      <c r="M44" s="152">
        <f>VLOOKUP(A44,[2]filiation!A:D,4,FALSE)</f>
        <v>6</v>
      </c>
      <c r="N44" s="152">
        <f>VLOOKUP(M44,[2]Entourage!A:N,14,FALSE)</f>
        <v>3</v>
      </c>
      <c r="O44" s="152" t="str">
        <f t="shared" si="3"/>
        <v>辅助</v>
      </c>
      <c r="P44" s="152">
        <f t="shared" si="4"/>
        <v>104</v>
      </c>
      <c r="Q44" s="151">
        <f>INT(VLOOKUP(VLOOKUP(A44,[2]filiation!A:E,3,FALSE),[2]Entourage!A:AA,IF(C44=101,25,IF(C44=102,26,IF(C44=104,27))),FALSE)*VLOOKUP(N44,$AF$2:$AI$6,IF(C44=1,2,IF(C44=2,3,4)),FALSE)*VLOOKUP(B44,$AK$2:$AL$11,2,FALSE))</f>
        <v>5718</v>
      </c>
      <c r="R44" s="153">
        <f>IFERROR(INDEX([3]ItemConfig!$BB:$BB,MATCH(G44,[3]ItemConfig!$A:$A,0))*H44,0)</f>
        <v>0</v>
      </c>
      <c r="S44" s="154" t="str">
        <f>VLOOKUP(J44,[2]Entourage!A:B,2,FALSE)</f>
        <v>土元素</v>
      </c>
      <c r="T44" s="151" t="str">
        <f>VLOOKUP(M44,[2]Entourage!A:B,2,FALSE)</f>
        <v>风元素</v>
      </c>
      <c r="U44" s="163"/>
      <c r="V44" s="147"/>
    </row>
    <row r="45" spans="1:39">
      <c r="A45" s="159">
        <f t="shared" si="5"/>
        <v>5</v>
      </c>
      <c r="B45" s="160">
        <f>COUNTIF(A$1:A45,A45)</f>
        <v>4</v>
      </c>
      <c r="C45" s="160">
        <f t="shared" si="6"/>
        <v>104</v>
      </c>
      <c r="D45" s="159">
        <v>5100</v>
      </c>
      <c r="E45" s="159">
        <f t="shared" si="7"/>
        <v>40</v>
      </c>
      <c r="F45" s="160">
        <f t="shared" si="8"/>
        <v>3</v>
      </c>
      <c r="G45" s="161">
        <f t="shared" si="0"/>
        <v>5902</v>
      </c>
      <c r="H45" s="159">
        <f t="shared" si="1"/>
        <v>4</v>
      </c>
      <c r="I45" s="159">
        <f t="shared" si="9"/>
        <v>5100</v>
      </c>
      <c r="J45" s="152">
        <f>VLOOKUP(A45,[2]filiation!A:C,3,FALSE)</f>
        <v>4</v>
      </c>
      <c r="K45" s="152">
        <f>VLOOKUP(J45,[2]Entourage!A:N,14,FALSE)</f>
        <v>1</v>
      </c>
      <c r="L45" s="152" t="str">
        <f t="shared" si="2"/>
        <v>战斗</v>
      </c>
      <c r="M45" s="152">
        <f>VLOOKUP(A45,[2]filiation!A:D,4,FALSE)</f>
        <v>6</v>
      </c>
      <c r="N45" s="152">
        <f>VLOOKUP(M45,[2]Entourage!A:N,14,FALSE)</f>
        <v>3</v>
      </c>
      <c r="O45" s="152" t="str">
        <f t="shared" si="3"/>
        <v>辅助</v>
      </c>
      <c r="P45" s="152">
        <f t="shared" si="4"/>
        <v>104</v>
      </c>
      <c r="Q45" s="151">
        <f>INT(VLOOKUP(VLOOKUP(A45,[2]filiation!A:E,3,FALSE),[2]Entourage!A:AA,IF(C45=101,25,IF(C45=102,26,IF(C45=104,27))),FALSE)*VLOOKUP(N45,$AF$2:$AI$6,IF(C45=1,2,IF(C45=2,3,4)),FALSE)*VLOOKUP(B45,$AK$2:$AL$11,2,FALSE))</f>
        <v>6259</v>
      </c>
      <c r="R45" s="153">
        <f>IFERROR(INDEX([3]ItemConfig!$BB:$BB,MATCH(G45,[3]ItemConfig!$A:$A,0))*H45,0)</f>
        <v>0</v>
      </c>
      <c r="S45" s="154" t="str">
        <f>VLOOKUP(J45,[2]Entourage!A:B,2,FALSE)</f>
        <v>土元素</v>
      </c>
      <c r="T45" s="151" t="str">
        <f>VLOOKUP(M45,[2]Entourage!A:B,2,FALSE)</f>
        <v>风元素</v>
      </c>
      <c r="U45" s="163"/>
      <c r="V45" s="147"/>
    </row>
    <row r="46" spans="1:39">
      <c r="A46" s="159">
        <f t="shared" si="5"/>
        <v>5</v>
      </c>
      <c r="B46" s="160">
        <f>COUNTIF(A$1:A46,A46)</f>
        <v>5</v>
      </c>
      <c r="C46" s="160">
        <f t="shared" si="6"/>
        <v>104</v>
      </c>
      <c r="D46" s="159">
        <v>6375</v>
      </c>
      <c r="E46" s="159">
        <f t="shared" si="7"/>
        <v>50</v>
      </c>
      <c r="F46" s="160">
        <f t="shared" si="8"/>
        <v>3</v>
      </c>
      <c r="G46" s="161">
        <f t="shared" si="0"/>
        <v>5902</v>
      </c>
      <c r="H46" s="159">
        <f t="shared" si="1"/>
        <v>6</v>
      </c>
      <c r="I46" s="159">
        <f t="shared" si="9"/>
        <v>6375</v>
      </c>
      <c r="J46" s="152">
        <f>VLOOKUP(A46,[2]filiation!A:C,3,FALSE)</f>
        <v>4</v>
      </c>
      <c r="K46" s="152">
        <f>VLOOKUP(J46,[2]Entourage!A:N,14,FALSE)</f>
        <v>1</v>
      </c>
      <c r="L46" s="152" t="str">
        <f t="shared" si="2"/>
        <v>战斗</v>
      </c>
      <c r="M46" s="152">
        <f>VLOOKUP(A46,[2]filiation!A:D,4,FALSE)</f>
        <v>6</v>
      </c>
      <c r="N46" s="152">
        <f>VLOOKUP(M46,[2]Entourage!A:N,14,FALSE)</f>
        <v>3</v>
      </c>
      <c r="O46" s="152" t="str">
        <f t="shared" si="3"/>
        <v>辅助</v>
      </c>
      <c r="P46" s="152">
        <f t="shared" si="4"/>
        <v>104</v>
      </c>
      <c r="Q46" s="151">
        <f>INT(VLOOKUP(VLOOKUP(A46,[2]filiation!A:E,3,FALSE),[2]Entourage!A:AA,IF(C46=101,25,IF(C46=102,26,IF(C46=104,27))),FALSE)*VLOOKUP(N46,$AF$2:$AI$6,IF(C46=1,2,IF(C46=2,3,4)),FALSE)*VLOOKUP(B46,$AK$2:$AL$11,2,FALSE))</f>
        <v>6954</v>
      </c>
      <c r="R46" s="153">
        <f>IFERROR(INDEX([3]ItemConfig!$BB:$BB,MATCH(G46,[3]ItemConfig!$A:$A,0))*H46,0)</f>
        <v>0</v>
      </c>
      <c r="S46" s="154" t="str">
        <f>VLOOKUP(J46,[2]Entourage!A:B,2,FALSE)</f>
        <v>土元素</v>
      </c>
      <c r="T46" s="151" t="str">
        <f>VLOOKUP(M46,[2]Entourage!A:B,2,FALSE)</f>
        <v>风元素</v>
      </c>
      <c r="U46" s="163"/>
      <c r="V46" s="147"/>
    </row>
    <row r="47" spans="1:39">
      <c r="A47" s="159">
        <f t="shared" si="5"/>
        <v>5</v>
      </c>
      <c r="B47" s="160">
        <f>COUNTIF(A$1:A47,A47)</f>
        <v>6</v>
      </c>
      <c r="C47" s="160">
        <f t="shared" si="6"/>
        <v>104</v>
      </c>
      <c r="D47" s="159">
        <v>7650</v>
      </c>
      <c r="E47" s="159">
        <f t="shared" si="7"/>
        <v>60</v>
      </c>
      <c r="F47" s="160">
        <f t="shared" si="8"/>
        <v>4</v>
      </c>
      <c r="G47" s="161">
        <f t="shared" si="0"/>
        <v>5902</v>
      </c>
      <c r="H47" s="159">
        <f t="shared" si="1"/>
        <v>8</v>
      </c>
      <c r="I47" s="159">
        <f t="shared" si="9"/>
        <v>7650</v>
      </c>
      <c r="J47" s="152">
        <f>VLOOKUP(A47,[2]filiation!A:C,3,FALSE)</f>
        <v>4</v>
      </c>
      <c r="K47" s="152">
        <f>VLOOKUP(J47,[2]Entourage!A:N,14,FALSE)</f>
        <v>1</v>
      </c>
      <c r="L47" s="152" t="str">
        <f t="shared" si="2"/>
        <v>战斗</v>
      </c>
      <c r="M47" s="152">
        <f>VLOOKUP(A47,[2]filiation!A:D,4,FALSE)</f>
        <v>6</v>
      </c>
      <c r="N47" s="152">
        <f>VLOOKUP(M47,[2]Entourage!A:N,14,FALSE)</f>
        <v>3</v>
      </c>
      <c r="O47" s="152" t="str">
        <f t="shared" si="3"/>
        <v>辅助</v>
      </c>
      <c r="P47" s="152">
        <f t="shared" si="4"/>
        <v>104</v>
      </c>
      <c r="Q47" s="151">
        <f>INT(VLOOKUP(VLOOKUP(A47,[2]filiation!A:E,3,FALSE),[2]Entourage!A:AA,IF(C47=101,25,IF(C47=102,26,IF(C47=104,27))),FALSE)*VLOOKUP(N47,$AF$2:$AI$6,IF(C47=1,2,IF(C47=2,3,4)),FALSE)*VLOOKUP(B47,$AK$2:$AL$11,2,FALSE))</f>
        <v>7804</v>
      </c>
      <c r="R47" s="153">
        <f>IFERROR(INDEX([3]ItemConfig!$BB:$BB,MATCH(G47,[3]ItemConfig!$A:$A,0))*H47,0)</f>
        <v>0</v>
      </c>
      <c r="S47" s="154" t="str">
        <f>VLOOKUP(J47,[2]Entourage!A:B,2,FALSE)</f>
        <v>土元素</v>
      </c>
      <c r="T47" s="151" t="str">
        <f>VLOOKUP(M47,[2]Entourage!A:B,2,FALSE)</f>
        <v>风元素</v>
      </c>
      <c r="U47" s="163"/>
      <c r="V47" s="147"/>
    </row>
    <row r="48" spans="1:39">
      <c r="A48" s="159">
        <f t="shared" si="5"/>
        <v>5</v>
      </c>
      <c r="B48" s="160">
        <f>COUNTIF(A$1:A48,A48)</f>
        <v>7</v>
      </c>
      <c r="C48" s="160">
        <f t="shared" si="6"/>
        <v>104</v>
      </c>
      <c r="D48" s="159">
        <v>8925</v>
      </c>
      <c r="E48" s="159">
        <f t="shared" si="7"/>
        <v>70</v>
      </c>
      <c r="F48" s="160">
        <f t="shared" si="8"/>
        <v>4</v>
      </c>
      <c r="G48" s="161">
        <f t="shared" si="0"/>
        <v>5902</v>
      </c>
      <c r="H48" s="159">
        <f t="shared" si="1"/>
        <v>10</v>
      </c>
      <c r="I48" s="159">
        <f t="shared" si="9"/>
        <v>8925</v>
      </c>
      <c r="J48" s="152">
        <f>VLOOKUP(A48,[2]filiation!A:C,3,FALSE)</f>
        <v>4</v>
      </c>
      <c r="K48" s="152">
        <f>VLOOKUP(J48,[2]Entourage!A:N,14,FALSE)</f>
        <v>1</v>
      </c>
      <c r="L48" s="152" t="str">
        <f t="shared" si="2"/>
        <v>战斗</v>
      </c>
      <c r="M48" s="152">
        <f>VLOOKUP(A48,[2]filiation!A:D,4,FALSE)</f>
        <v>6</v>
      </c>
      <c r="N48" s="152">
        <f>VLOOKUP(M48,[2]Entourage!A:N,14,FALSE)</f>
        <v>3</v>
      </c>
      <c r="O48" s="152" t="str">
        <f t="shared" si="3"/>
        <v>辅助</v>
      </c>
      <c r="P48" s="152">
        <f t="shared" si="4"/>
        <v>104</v>
      </c>
      <c r="Q48" s="151">
        <f>INT(VLOOKUP(VLOOKUP(A48,[2]filiation!A:E,3,FALSE),[2]Entourage!A:AA,IF(C48=101,25,IF(C48=102,26,IF(C48=104,27))),FALSE)*VLOOKUP(N48,$AF$2:$AI$6,IF(C48=1,2,IF(C48=2,3,4)),FALSE)*VLOOKUP(B48,$AK$2:$AL$11,2,FALSE))</f>
        <v>8809</v>
      </c>
      <c r="R48" s="153">
        <f>IFERROR(INDEX([3]ItemConfig!$BB:$BB,MATCH(G48,[3]ItemConfig!$A:$A,0))*H48,0)</f>
        <v>0</v>
      </c>
      <c r="S48" s="154" t="str">
        <f>VLOOKUP(J48,[2]Entourage!A:B,2,FALSE)</f>
        <v>土元素</v>
      </c>
      <c r="T48" s="151" t="str">
        <f>VLOOKUP(M48,[2]Entourage!A:B,2,FALSE)</f>
        <v>风元素</v>
      </c>
      <c r="U48" s="163"/>
      <c r="V48" s="147"/>
    </row>
    <row r="49" spans="1:22">
      <c r="A49" s="159">
        <f t="shared" si="5"/>
        <v>5</v>
      </c>
      <c r="B49" s="160">
        <f>COUNTIF(A$1:A49,A49)</f>
        <v>8</v>
      </c>
      <c r="C49" s="160">
        <f t="shared" si="6"/>
        <v>104</v>
      </c>
      <c r="D49" s="159">
        <v>10200</v>
      </c>
      <c r="E49" s="159">
        <f t="shared" si="7"/>
        <v>80</v>
      </c>
      <c r="F49" s="160">
        <f t="shared" si="8"/>
        <v>5</v>
      </c>
      <c r="G49" s="161">
        <f t="shared" si="0"/>
        <v>5902</v>
      </c>
      <c r="H49" s="159">
        <f t="shared" si="1"/>
        <v>12</v>
      </c>
      <c r="I49" s="159">
        <f t="shared" si="9"/>
        <v>10200</v>
      </c>
      <c r="J49" s="152">
        <f>VLOOKUP(A49,[2]filiation!A:C,3,FALSE)</f>
        <v>4</v>
      </c>
      <c r="K49" s="152">
        <f>VLOOKUP(J49,[2]Entourage!A:N,14,FALSE)</f>
        <v>1</v>
      </c>
      <c r="L49" s="152" t="str">
        <f t="shared" si="2"/>
        <v>战斗</v>
      </c>
      <c r="M49" s="152">
        <f>VLOOKUP(A49,[2]filiation!A:D,4,FALSE)</f>
        <v>6</v>
      </c>
      <c r="N49" s="152">
        <f>VLOOKUP(M49,[2]Entourage!A:N,14,FALSE)</f>
        <v>3</v>
      </c>
      <c r="O49" s="152" t="str">
        <f t="shared" si="3"/>
        <v>辅助</v>
      </c>
      <c r="P49" s="152">
        <f t="shared" si="4"/>
        <v>104</v>
      </c>
      <c r="Q49" s="151">
        <f>INT(VLOOKUP(VLOOKUP(A49,[2]filiation!A:E,3,FALSE),[2]Entourage!A:AA,IF(C49=101,25,IF(C49=102,26,IF(C49=104,27))),FALSE)*VLOOKUP(N49,$AF$2:$AI$6,IF(C49=1,2,IF(C49=2,3,4)),FALSE)*VLOOKUP(B49,$AK$2:$AL$11,2,FALSE))</f>
        <v>9968</v>
      </c>
      <c r="R49" s="153">
        <f>IFERROR(INDEX([3]ItemConfig!$BB:$BB,MATCH(G49,[3]ItemConfig!$A:$A,0))*H49,0)</f>
        <v>0</v>
      </c>
      <c r="S49" s="154" t="str">
        <f>VLOOKUP(J49,[2]Entourage!A:B,2,FALSE)</f>
        <v>土元素</v>
      </c>
      <c r="T49" s="151" t="str">
        <f>VLOOKUP(M49,[2]Entourage!A:B,2,FALSE)</f>
        <v>风元素</v>
      </c>
      <c r="U49" s="163"/>
      <c r="V49" s="147"/>
    </row>
    <row r="50" spans="1:22">
      <c r="A50" s="159">
        <f t="shared" si="5"/>
        <v>5</v>
      </c>
      <c r="B50" s="160">
        <f>COUNTIF(A$1:A50,A50)</f>
        <v>9</v>
      </c>
      <c r="C50" s="160">
        <f t="shared" si="6"/>
        <v>104</v>
      </c>
      <c r="D50" s="159">
        <v>11475</v>
      </c>
      <c r="E50" s="159">
        <f t="shared" si="7"/>
        <v>90</v>
      </c>
      <c r="F50" s="160">
        <f t="shared" si="8"/>
        <v>5</v>
      </c>
      <c r="G50" s="161">
        <f t="shared" si="0"/>
        <v>5902</v>
      </c>
      <c r="H50" s="159">
        <f t="shared" si="1"/>
        <v>15</v>
      </c>
      <c r="I50" s="159">
        <f t="shared" si="9"/>
        <v>11475</v>
      </c>
      <c r="J50" s="152">
        <f>VLOOKUP(A50,[2]filiation!A:C,3,FALSE)</f>
        <v>4</v>
      </c>
      <c r="K50" s="152">
        <f>VLOOKUP(J50,[2]Entourage!A:N,14,FALSE)</f>
        <v>1</v>
      </c>
      <c r="L50" s="152" t="str">
        <f t="shared" si="2"/>
        <v>战斗</v>
      </c>
      <c r="M50" s="152">
        <f>VLOOKUP(A50,[2]filiation!A:D,4,FALSE)</f>
        <v>6</v>
      </c>
      <c r="N50" s="152">
        <f>VLOOKUP(M50,[2]Entourage!A:N,14,FALSE)</f>
        <v>3</v>
      </c>
      <c r="O50" s="152" t="str">
        <f t="shared" si="3"/>
        <v>辅助</v>
      </c>
      <c r="P50" s="152">
        <f t="shared" si="4"/>
        <v>104</v>
      </c>
      <c r="Q50" s="151">
        <f>INT(VLOOKUP(VLOOKUP(A50,[2]filiation!A:E,3,FALSE),[2]Entourage!A:AA,IF(C50=101,25,IF(C50=102,26,IF(C50=104,27))),FALSE)*VLOOKUP(N50,$AF$2:$AI$6,IF(C50=1,2,IF(C50=2,3,4)),FALSE)*VLOOKUP(B50,$AK$2:$AL$11,2,FALSE))</f>
        <v>11281</v>
      </c>
      <c r="R50" s="153">
        <f>IFERROR(INDEX([3]ItemConfig!$BB:$BB,MATCH(G50,[3]ItemConfig!$A:$A,0))*H50,0)</f>
        <v>0</v>
      </c>
      <c r="S50" s="154" t="str">
        <f>VLOOKUP(J50,[2]Entourage!A:B,2,FALSE)</f>
        <v>土元素</v>
      </c>
      <c r="T50" s="151" t="str">
        <f>VLOOKUP(M50,[2]Entourage!A:B,2,FALSE)</f>
        <v>风元素</v>
      </c>
      <c r="U50" s="163"/>
      <c r="V50" s="147"/>
    </row>
    <row r="51" spans="1:22">
      <c r="A51" s="159">
        <f t="shared" si="5"/>
        <v>5</v>
      </c>
      <c r="B51" s="160">
        <f>COUNTIF(A$1:A51,A51)</f>
        <v>10</v>
      </c>
      <c r="C51" s="160">
        <f t="shared" si="6"/>
        <v>104</v>
      </c>
      <c r="D51" s="159">
        <v>12750</v>
      </c>
      <c r="E51" s="159">
        <f t="shared" si="7"/>
        <v>90</v>
      </c>
      <c r="F51" s="160">
        <f t="shared" si="8"/>
        <v>6</v>
      </c>
      <c r="G51" s="161">
        <f t="shared" si="0"/>
        <v>5902</v>
      </c>
      <c r="H51" s="159">
        <f t="shared" si="1"/>
        <v>18</v>
      </c>
      <c r="I51" s="159">
        <f t="shared" si="9"/>
        <v>12750</v>
      </c>
      <c r="J51" s="152">
        <f>VLOOKUP(A51,[2]filiation!A:C,3,FALSE)</f>
        <v>4</v>
      </c>
      <c r="K51" s="152">
        <f>VLOOKUP(J51,[2]Entourage!A:N,14,FALSE)</f>
        <v>1</v>
      </c>
      <c r="L51" s="152" t="str">
        <f t="shared" si="2"/>
        <v>战斗</v>
      </c>
      <c r="M51" s="152">
        <f>VLOOKUP(A51,[2]filiation!A:D,4,FALSE)</f>
        <v>6</v>
      </c>
      <c r="N51" s="152">
        <f>VLOOKUP(M51,[2]Entourage!A:N,14,FALSE)</f>
        <v>3</v>
      </c>
      <c r="O51" s="152" t="str">
        <f t="shared" si="3"/>
        <v>辅助</v>
      </c>
      <c r="P51" s="152">
        <f t="shared" si="4"/>
        <v>104</v>
      </c>
      <c r="Q51" s="151">
        <f>INT(VLOOKUP(VLOOKUP(A51,[2]filiation!A:E,3,FALSE),[2]Entourage!A:AA,IF(C51=101,25,IF(C51=102,26,IF(C51=104,27))),FALSE)*VLOOKUP(N51,$AF$2:$AI$6,IF(C51=1,2,IF(C51=2,3,4)),FALSE)*VLOOKUP(B51,$AK$2:$AL$11,2,FALSE))</f>
        <v>12750</v>
      </c>
      <c r="R51" s="153">
        <f>IFERROR(INDEX([3]ItemConfig!$BB:$BB,MATCH(G51,[3]ItemConfig!$A:$A,0))*H51,0)</f>
        <v>0</v>
      </c>
      <c r="S51" s="154" t="str">
        <f>VLOOKUP(J51,[2]Entourage!A:B,2,FALSE)</f>
        <v>土元素</v>
      </c>
      <c r="T51" s="151" t="str">
        <f>VLOOKUP(M51,[2]Entourage!A:B,2,FALSE)</f>
        <v>风元素</v>
      </c>
      <c r="U51" s="163"/>
      <c r="V51" s="147"/>
    </row>
    <row r="52" spans="1:22">
      <c r="A52" s="166">
        <f t="shared" si="5"/>
        <v>6</v>
      </c>
      <c r="B52" s="167">
        <f>COUNTIF(A$1:A52,A52)</f>
        <v>1</v>
      </c>
      <c r="C52" s="167">
        <f t="shared" si="6"/>
        <v>102</v>
      </c>
      <c r="D52" s="166">
        <v>61</v>
      </c>
      <c r="E52" s="166">
        <f t="shared" si="7"/>
        <v>10</v>
      </c>
      <c r="F52" s="167">
        <f t="shared" si="8"/>
        <v>1</v>
      </c>
      <c r="G52" s="168">
        <f t="shared" si="0"/>
        <v>5902</v>
      </c>
      <c r="H52" s="166">
        <f t="shared" si="1"/>
        <v>1</v>
      </c>
      <c r="I52" s="166">
        <f t="shared" si="9"/>
        <v>1525</v>
      </c>
      <c r="J52" s="152">
        <f>VLOOKUP(A52,[2]filiation!A:C,3,FALSE)</f>
        <v>5</v>
      </c>
      <c r="K52" s="152">
        <f>VLOOKUP(J52,[2]Entourage!A:N,14,FALSE)</f>
        <v>2</v>
      </c>
      <c r="L52" s="152" t="str">
        <f t="shared" si="2"/>
        <v>刺杀</v>
      </c>
      <c r="M52" s="152">
        <f>VLOOKUP(A52,[2]filiation!A:D,4,FALSE)</f>
        <v>4</v>
      </c>
      <c r="N52" s="152">
        <f>VLOOKUP(M52,[2]Entourage!A:N,14,FALSE)</f>
        <v>1</v>
      </c>
      <c r="O52" s="152" t="str">
        <f t="shared" si="3"/>
        <v>战斗</v>
      </c>
      <c r="P52" s="152">
        <f t="shared" si="4"/>
        <v>102</v>
      </c>
      <c r="Q52" s="151">
        <f>INT(VLOOKUP(VLOOKUP(A52,[2]filiation!A:E,3,FALSE),[2]Entourage!A:AA,IF(C52=101,25,IF(C52=102,26,IF(C52=104,27))),FALSE)*VLOOKUP(N52,$AF$2:$AI$6,IF(C52=1,2,IF(C52=2,3,4)),FALSE)*VLOOKUP(B52,$AK$2:$AL$11,2,FALSE))</f>
        <v>243</v>
      </c>
      <c r="R52" s="153">
        <f>IFERROR(INDEX([3]ItemConfig!$BB:$BB,MATCH(G52,[3]ItemConfig!$A:$A,0))*H52,0)</f>
        <v>0</v>
      </c>
      <c r="S52" s="154" t="str">
        <f>VLOOKUP(J52,[2]Entourage!A:B,2,FALSE)</f>
        <v>火元素</v>
      </c>
      <c r="T52" s="151" t="str">
        <f>VLOOKUP(M52,[2]Entourage!A:B,2,FALSE)</f>
        <v>土元素</v>
      </c>
      <c r="U52" s="163"/>
      <c r="V52" s="147"/>
    </row>
    <row r="53" spans="1:22">
      <c r="A53" s="166">
        <f t="shared" si="5"/>
        <v>6</v>
      </c>
      <c r="B53" s="167">
        <f>COUNTIF(A$1:A53,A53)</f>
        <v>2</v>
      </c>
      <c r="C53" s="167">
        <f t="shared" si="6"/>
        <v>102</v>
      </c>
      <c r="D53" s="166">
        <v>122</v>
      </c>
      <c r="E53" s="166">
        <f t="shared" si="7"/>
        <v>20</v>
      </c>
      <c r="F53" s="167">
        <f t="shared" si="8"/>
        <v>2</v>
      </c>
      <c r="G53" s="168">
        <f t="shared" si="0"/>
        <v>5902</v>
      </c>
      <c r="H53" s="166">
        <f t="shared" si="1"/>
        <v>2</v>
      </c>
      <c r="I53" s="166">
        <f t="shared" si="9"/>
        <v>3050</v>
      </c>
      <c r="J53" s="152">
        <f>VLOOKUP(A53,[2]filiation!A:C,3,FALSE)</f>
        <v>5</v>
      </c>
      <c r="K53" s="152">
        <f>VLOOKUP(J53,[2]Entourage!A:N,14,FALSE)</f>
        <v>2</v>
      </c>
      <c r="L53" s="152" t="str">
        <f t="shared" si="2"/>
        <v>刺杀</v>
      </c>
      <c r="M53" s="152">
        <f>VLOOKUP(A53,[2]filiation!A:D,4,FALSE)</f>
        <v>4</v>
      </c>
      <c r="N53" s="152">
        <f>VLOOKUP(M53,[2]Entourage!A:N,14,FALSE)</f>
        <v>1</v>
      </c>
      <c r="O53" s="152" t="str">
        <f t="shared" si="3"/>
        <v>战斗</v>
      </c>
      <c r="P53" s="152">
        <f t="shared" si="4"/>
        <v>102</v>
      </c>
      <c r="Q53" s="151">
        <f>INT(VLOOKUP(VLOOKUP(A53,[2]filiation!A:E,3,FALSE),[2]Entourage!A:AA,IF(C53=101,25,IF(C53=102,26,IF(C53=104,27))),FALSE)*VLOOKUP(N53,$AF$2:$AI$6,IF(C53=1,2,IF(C53=2,3,4)),FALSE)*VLOOKUP(B53,$AK$2:$AL$11,2,FALSE))</f>
        <v>254</v>
      </c>
      <c r="R53" s="153">
        <f>IFERROR(INDEX([3]ItemConfig!$BB:$BB,MATCH(G53,[3]ItemConfig!$A:$A,0))*H53,0)</f>
        <v>0</v>
      </c>
      <c r="S53" s="154" t="str">
        <f>VLOOKUP(J53,[2]Entourage!A:B,2,FALSE)</f>
        <v>火元素</v>
      </c>
      <c r="T53" s="151" t="str">
        <f>VLOOKUP(M53,[2]Entourage!A:B,2,FALSE)</f>
        <v>土元素</v>
      </c>
      <c r="U53" s="163"/>
      <c r="V53" s="147"/>
    </row>
    <row r="54" spans="1:22">
      <c r="A54" s="166">
        <f t="shared" si="5"/>
        <v>6</v>
      </c>
      <c r="B54" s="167">
        <f>COUNTIF(A$1:A54,A54)</f>
        <v>3</v>
      </c>
      <c r="C54" s="167">
        <f t="shared" si="6"/>
        <v>102</v>
      </c>
      <c r="D54" s="166">
        <v>183</v>
      </c>
      <c r="E54" s="166">
        <f t="shared" si="7"/>
        <v>30</v>
      </c>
      <c r="F54" s="167">
        <f t="shared" si="8"/>
        <v>2</v>
      </c>
      <c r="G54" s="168">
        <f t="shared" si="0"/>
        <v>5902</v>
      </c>
      <c r="H54" s="166">
        <f t="shared" si="1"/>
        <v>3</v>
      </c>
      <c r="I54" s="166">
        <f t="shared" si="9"/>
        <v>4575</v>
      </c>
      <c r="J54" s="152">
        <f>VLOOKUP(A54,[2]filiation!A:C,3,FALSE)</f>
        <v>5</v>
      </c>
      <c r="K54" s="152">
        <f>VLOOKUP(J54,[2]Entourage!A:N,14,FALSE)</f>
        <v>2</v>
      </c>
      <c r="L54" s="152" t="str">
        <f t="shared" si="2"/>
        <v>刺杀</v>
      </c>
      <c r="M54" s="152">
        <f>VLOOKUP(A54,[2]filiation!A:D,4,FALSE)</f>
        <v>4</v>
      </c>
      <c r="N54" s="152">
        <f>VLOOKUP(M54,[2]Entourage!A:N,14,FALSE)</f>
        <v>1</v>
      </c>
      <c r="O54" s="152" t="str">
        <f t="shared" si="3"/>
        <v>战斗</v>
      </c>
      <c r="P54" s="152">
        <f t="shared" si="4"/>
        <v>102</v>
      </c>
      <c r="Q54" s="151">
        <f>INT(VLOOKUP(VLOOKUP(A54,[2]filiation!A:E,3,FALSE),[2]Entourage!A:AA,IF(C54=101,25,IF(C54=102,26,IF(C54=104,27))),FALSE)*VLOOKUP(N54,$AF$2:$AI$6,IF(C54=1,2,IF(C54=2,3,4)),FALSE)*VLOOKUP(B54,$AK$2:$AL$11,2,FALSE))</f>
        <v>273</v>
      </c>
      <c r="R54" s="153">
        <f>IFERROR(INDEX([3]ItemConfig!$BB:$BB,MATCH(G54,[3]ItemConfig!$A:$A,0))*H54,0)</f>
        <v>0</v>
      </c>
      <c r="S54" s="154" t="str">
        <f>VLOOKUP(J54,[2]Entourage!A:B,2,FALSE)</f>
        <v>火元素</v>
      </c>
      <c r="T54" s="151" t="str">
        <f>VLOOKUP(M54,[2]Entourage!A:B,2,FALSE)</f>
        <v>土元素</v>
      </c>
      <c r="U54" s="163"/>
      <c r="V54" s="147"/>
    </row>
    <row r="55" spans="1:22">
      <c r="A55" s="166">
        <f t="shared" si="5"/>
        <v>6</v>
      </c>
      <c r="B55" s="167">
        <f>COUNTIF(A$1:A55,A55)</f>
        <v>4</v>
      </c>
      <c r="C55" s="167">
        <f t="shared" si="6"/>
        <v>102</v>
      </c>
      <c r="D55" s="166">
        <v>244</v>
      </c>
      <c r="E55" s="166">
        <f t="shared" si="7"/>
        <v>40</v>
      </c>
      <c r="F55" s="167">
        <f t="shared" si="8"/>
        <v>3</v>
      </c>
      <c r="G55" s="168">
        <f t="shared" si="0"/>
        <v>5902</v>
      </c>
      <c r="H55" s="166">
        <f t="shared" si="1"/>
        <v>4</v>
      </c>
      <c r="I55" s="166">
        <f t="shared" si="9"/>
        <v>6100</v>
      </c>
      <c r="J55" s="152">
        <f>VLOOKUP(A55,[2]filiation!A:C,3,FALSE)</f>
        <v>5</v>
      </c>
      <c r="K55" s="152">
        <f>VLOOKUP(J55,[2]Entourage!A:N,14,FALSE)</f>
        <v>2</v>
      </c>
      <c r="L55" s="152" t="str">
        <f t="shared" si="2"/>
        <v>刺杀</v>
      </c>
      <c r="M55" s="152">
        <f>VLOOKUP(A55,[2]filiation!A:D,4,FALSE)</f>
        <v>4</v>
      </c>
      <c r="N55" s="152">
        <f>VLOOKUP(M55,[2]Entourage!A:N,14,FALSE)</f>
        <v>1</v>
      </c>
      <c r="O55" s="152" t="str">
        <f t="shared" si="3"/>
        <v>战斗</v>
      </c>
      <c r="P55" s="152">
        <f t="shared" si="4"/>
        <v>102</v>
      </c>
      <c r="Q55" s="151">
        <f>INT(VLOOKUP(VLOOKUP(A55,[2]filiation!A:E,3,FALSE),[2]Entourage!A:AA,IF(C55=101,25,IF(C55=102,26,IF(C55=104,27))),FALSE)*VLOOKUP(N55,$AF$2:$AI$6,IF(C55=1,2,IF(C55=2,3,4)),FALSE)*VLOOKUP(B55,$AK$2:$AL$11,2,FALSE))</f>
        <v>299</v>
      </c>
      <c r="R55" s="153">
        <f>IFERROR(INDEX([3]ItemConfig!$BB:$BB,MATCH(G55,[3]ItemConfig!$A:$A,0))*H55,0)</f>
        <v>0</v>
      </c>
      <c r="S55" s="154" t="str">
        <f>VLOOKUP(J55,[2]Entourage!A:B,2,FALSE)</f>
        <v>火元素</v>
      </c>
      <c r="T55" s="151" t="str">
        <f>VLOOKUP(M55,[2]Entourage!A:B,2,FALSE)</f>
        <v>土元素</v>
      </c>
      <c r="U55" s="163"/>
      <c r="V55" s="147"/>
    </row>
    <row r="56" spans="1:22">
      <c r="A56" s="166">
        <f t="shared" si="5"/>
        <v>6</v>
      </c>
      <c r="B56" s="167">
        <f>COUNTIF(A$1:A56,A56)</f>
        <v>5</v>
      </c>
      <c r="C56" s="167">
        <f t="shared" si="6"/>
        <v>102</v>
      </c>
      <c r="D56" s="166">
        <v>305</v>
      </c>
      <c r="E56" s="166">
        <f t="shared" si="7"/>
        <v>50</v>
      </c>
      <c r="F56" s="167">
        <f t="shared" si="8"/>
        <v>3</v>
      </c>
      <c r="G56" s="168">
        <f t="shared" si="0"/>
        <v>5902</v>
      </c>
      <c r="H56" s="166">
        <f t="shared" si="1"/>
        <v>6</v>
      </c>
      <c r="I56" s="166">
        <f t="shared" si="9"/>
        <v>7625</v>
      </c>
      <c r="J56" s="152">
        <f>VLOOKUP(A56,[2]filiation!A:C,3,FALSE)</f>
        <v>5</v>
      </c>
      <c r="K56" s="152">
        <f>VLOOKUP(J56,[2]Entourage!A:N,14,FALSE)</f>
        <v>2</v>
      </c>
      <c r="L56" s="152" t="str">
        <f t="shared" si="2"/>
        <v>刺杀</v>
      </c>
      <c r="M56" s="152">
        <f>VLOOKUP(A56,[2]filiation!A:D,4,FALSE)</f>
        <v>4</v>
      </c>
      <c r="N56" s="152">
        <f>VLOOKUP(M56,[2]Entourage!A:N,14,FALSE)</f>
        <v>1</v>
      </c>
      <c r="O56" s="152" t="str">
        <f t="shared" si="3"/>
        <v>战斗</v>
      </c>
      <c r="P56" s="152">
        <f t="shared" si="4"/>
        <v>102</v>
      </c>
      <c r="Q56" s="151">
        <f>INT(VLOOKUP(VLOOKUP(A56,[2]filiation!A:E,3,FALSE),[2]Entourage!A:AA,IF(C56=101,25,IF(C56=102,26,IF(C56=104,27))),FALSE)*VLOOKUP(N56,$AF$2:$AI$6,IF(C56=1,2,IF(C56=2,3,4)),FALSE)*VLOOKUP(B56,$AK$2:$AL$11,2,FALSE))</f>
        <v>332</v>
      </c>
      <c r="R56" s="153">
        <f>IFERROR(INDEX([3]ItemConfig!$BB:$BB,MATCH(G56,[3]ItemConfig!$A:$A,0))*H56,0)</f>
        <v>0</v>
      </c>
      <c r="S56" s="154" t="str">
        <f>VLOOKUP(J56,[2]Entourage!A:B,2,FALSE)</f>
        <v>火元素</v>
      </c>
      <c r="T56" s="151" t="str">
        <f>VLOOKUP(M56,[2]Entourage!A:B,2,FALSE)</f>
        <v>土元素</v>
      </c>
      <c r="U56" s="163"/>
      <c r="V56" s="147"/>
    </row>
    <row r="57" spans="1:22">
      <c r="A57" s="166">
        <f t="shared" si="5"/>
        <v>6</v>
      </c>
      <c r="B57" s="167">
        <f>COUNTIF(A$1:A57,A57)</f>
        <v>6</v>
      </c>
      <c r="C57" s="167">
        <f t="shared" si="6"/>
        <v>102</v>
      </c>
      <c r="D57" s="166">
        <v>366</v>
      </c>
      <c r="E57" s="166">
        <f t="shared" si="7"/>
        <v>60</v>
      </c>
      <c r="F57" s="167">
        <f t="shared" si="8"/>
        <v>4</v>
      </c>
      <c r="G57" s="168">
        <f t="shared" si="0"/>
        <v>5902</v>
      </c>
      <c r="H57" s="166">
        <f t="shared" si="1"/>
        <v>8</v>
      </c>
      <c r="I57" s="166">
        <f t="shared" si="9"/>
        <v>9150</v>
      </c>
      <c r="J57" s="152">
        <f>VLOOKUP(A57,[2]filiation!A:C,3,FALSE)</f>
        <v>5</v>
      </c>
      <c r="K57" s="152">
        <f>VLOOKUP(J57,[2]Entourage!A:N,14,FALSE)</f>
        <v>2</v>
      </c>
      <c r="L57" s="152" t="str">
        <f t="shared" si="2"/>
        <v>刺杀</v>
      </c>
      <c r="M57" s="152">
        <f>VLOOKUP(A57,[2]filiation!A:D,4,FALSE)</f>
        <v>4</v>
      </c>
      <c r="N57" s="152">
        <f>VLOOKUP(M57,[2]Entourage!A:N,14,FALSE)</f>
        <v>1</v>
      </c>
      <c r="O57" s="152" t="str">
        <f t="shared" si="3"/>
        <v>战斗</v>
      </c>
      <c r="P57" s="152">
        <f t="shared" si="4"/>
        <v>102</v>
      </c>
      <c r="Q57" s="151">
        <f>INT(VLOOKUP(VLOOKUP(A57,[2]filiation!A:E,3,FALSE),[2]Entourage!A:AA,IF(C57=101,25,IF(C57=102,26,IF(C57=104,27))),FALSE)*VLOOKUP(N57,$AF$2:$AI$6,IF(C57=1,2,IF(C57=2,3,4)),FALSE)*VLOOKUP(B57,$AK$2:$AL$11,2,FALSE))</f>
        <v>373</v>
      </c>
      <c r="R57" s="153">
        <f>IFERROR(INDEX([3]ItemConfig!$BB:$BB,MATCH(G57,[3]ItemConfig!$A:$A,0))*H57,0)</f>
        <v>0</v>
      </c>
      <c r="S57" s="154" t="str">
        <f>VLOOKUP(J57,[2]Entourage!A:B,2,FALSE)</f>
        <v>火元素</v>
      </c>
      <c r="T57" s="151" t="str">
        <f>VLOOKUP(M57,[2]Entourage!A:B,2,FALSE)</f>
        <v>土元素</v>
      </c>
      <c r="U57" s="163"/>
      <c r="V57" s="147"/>
    </row>
    <row r="58" spans="1:22">
      <c r="A58" s="166">
        <f t="shared" si="5"/>
        <v>6</v>
      </c>
      <c r="B58" s="167">
        <f>COUNTIF(A$1:A58,A58)</f>
        <v>7</v>
      </c>
      <c r="C58" s="167">
        <f t="shared" si="6"/>
        <v>102</v>
      </c>
      <c r="D58" s="166">
        <v>427</v>
      </c>
      <c r="E58" s="166">
        <f t="shared" si="7"/>
        <v>70</v>
      </c>
      <c r="F58" s="167">
        <f t="shared" si="8"/>
        <v>4</v>
      </c>
      <c r="G58" s="168">
        <f t="shared" si="0"/>
        <v>5902</v>
      </c>
      <c r="H58" s="166">
        <f t="shared" si="1"/>
        <v>10</v>
      </c>
      <c r="I58" s="166">
        <f t="shared" si="9"/>
        <v>10675</v>
      </c>
      <c r="J58" s="152">
        <f>VLOOKUP(A58,[2]filiation!A:C,3,FALSE)</f>
        <v>5</v>
      </c>
      <c r="K58" s="152">
        <f>VLOOKUP(J58,[2]Entourage!A:N,14,FALSE)</f>
        <v>2</v>
      </c>
      <c r="L58" s="152" t="str">
        <f t="shared" si="2"/>
        <v>刺杀</v>
      </c>
      <c r="M58" s="152">
        <f>VLOOKUP(A58,[2]filiation!A:D,4,FALSE)</f>
        <v>4</v>
      </c>
      <c r="N58" s="152">
        <f>VLOOKUP(M58,[2]Entourage!A:N,14,FALSE)</f>
        <v>1</v>
      </c>
      <c r="O58" s="152" t="str">
        <f t="shared" si="3"/>
        <v>战斗</v>
      </c>
      <c r="P58" s="152">
        <f t="shared" si="4"/>
        <v>102</v>
      </c>
      <c r="Q58" s="151">
        <f>INT(VLOOKUP(VLOOKUP(A58,[2]filiation!A:E,3,FALSE),[2]Entourage!A:AA,IF(C58=101,25,IF(C58=102,26,IF(C58=104,27))),FALSE)*VLOOKUP(N58,$AF$2:$AI$6,IF(C58=1,2,IF(C58=2,3,4)),FALSE)*VLOOKUP(B58,$AK$2:$AL$11,2,FALSE))</f>
        <v>421</v>
      </c>
      <c r="R58" s="153">
        <f>IFERROR(INDEX([3]ItemConfig!$BB:$BB,MATCH(G58,[3]ItemConfig!$A:$A,0))*H58,0)</f>
        <v>0</v>
      </c>
      <c r="S58" s="154" t="str">
        <f>VLOOKUP(J58,[2]Entourage!A:B,2,FALSE)</f>
        <v>火元素</v>
      </c>
      <c r="T58" s="151" t="str">
        <f>VLOOKUP(M58,[2]Entourage!A:B,2,FALSE)</f>
        <v>土元素</v>
      </c>
      <c r="U58" s="163"/>
      <c r="V58" s="147"/>
    </row>
    <row r="59" spans="1:22">
      <c r="A59" s="166">
        <f t="shared" si="5"/>
        <v>6</v>
      </c>
      <c r="B59" s="167">
        <f>COUNTIF(A$1:A59,A59)</f>
        <v>8</v>
      </c>
      <c r="C59" s="167">
        <f t="shared" si="6"/>
        <v>102</v>
      </c>
      <c r="D59" s="166">
        <v>488</v>
      </c>
      <c r="E59" s="166">
        <f t="shared" si="7"/>
        <v>80</v>
      </c>
      <c r="F59" s="167">
        <f t="shared" si="8"/>
        <v>5</v>
      </c>
      <c r="G59" s="168">
        <f t="shared" si="0"/>
        <v>5902</v>
      </c>
      <c r="H59" s="166">
        <f t="shared" si="1"/>
        <v>12</v>
      </c>
      <c r="I59" s="166">
        <f t="shared" si="9"/>
        <v>12200</v>
      </c>
      <c r="J59" s="152">
        <f>VLOOKUP(A59,[2]filiation!A:C,3,FALSE)</f>
        <v>5</v>
      </c>
      <c r="K59" s="152">
        <f>VLOOKUP(J59,[2]Entourage!A:N,14,FALSE)</f>
        <v>2</v>
      </c>
      <c r="L59" s="152" t="str">
        <f t="shared" si="2"/>
        <v>刺杀</v>
      </c>
      <c r="M59" s="152">
        <f>VLOOKUP(A59,[2]filiation!A:D,4,FALSE)</f>
        <v>4</v>
      </c>
      <c r="N59" s="152">
        <f>VLOOKUP(M59,[2]Entourage!A:N,14,FALSE)</f>
        <v>1</v>
      </c>
      <c r="O59" s="152" t="str">
        <f t="shared" si="3"/>
        <v>战斗</v>
      </c>
      <c r="P59" s="152">
        <f t="shared" si="4"/>
        <v>102</v>
      </c>
      <c r="Q59" s="151">
        <f>INT(VLOOKUP(VLOOKUP(A59,[2]filiation!A:E,3,FALSE),[2]Entourage!A:AA,IF(C59=101,25,IF(C59=102,26,IF(C59=104,27))),FALSE)*VLOOKUP(N59,$AF$2:$AI$6,IF(C59=1,2,IF(C59=2,3,4)),FALSE)*VLOOKUP(B59,$AK$2:$AL$11,2,FALSE))</f>
        <v>476</v>
      </c>
      <c r="R59" s="153">
        <f>IFERROR(INDEX([3]ItemConfig!$BB:$BB,MATCH(G59,[3]ItemConfig!$A:$A,0))*H59,0)</f>
        <v>0</v>
      </c>
      <c r="S59" s="154" t="str">
        <f>VLOOKUP(J59,[2]Entourage!A:B,2,FALSE)</f>
        <v>火元素</v>
      </c>
      <c r="T59" s="151" t="str">
        <f>VLOOKUP(M59,[2]Entourage!A:B,2,FALSE)</f>
        <v>土元素</v>
      </c>
      <c r="U59" s="163"/>
      <c r="V59" s="147"/>
    </row>
    <row r="60" spans="1:22">
      <c r="A60" s="166">
        <f t="shared" si="5"/>
        <v>6</v>
      </c>
      <c r="B60" s="167">
        <f>COUNTIF(A$1:A60,A60)</f>
        <v>9</v>
      </c>
      <c r="C60" s="167">
        <f t="shared" si="6"/>
        <v>102</v>
      </c>
      <c r="D60" s="166">
        <v>549</v>
      </c>
      <c r="E60" s="166">
        <f t="shared" si="7"/>
        <v>90</v>
      </c>
      <c r="F60" s="167">
        <f t="shared" si="8"/>
        <v>5</v>
      </c>
      <c r="G60" s="168">
        <f t="shared" si="0"/>
        <v>5902</v>
      </c>
      <c r="H60" s="166">
        <f t="shared" si="1"/>
        <v>15</v>
      </c>
      <c r="I60" s="166">
        <f t="shared" si="9"/>
        <v>13725</v>
      </c>
      <c r="J60" s="152">
        <f>VLOOKUP(A60,[2]filiation!A:C,3,FALSE)</f>
        <v>5</v>
      </c>
      <c r="K60" s="152">
        <f>VLOOKUP(J60,[2]Entourage!A:N,14,FALSE)</f>
        <v>2</v>
      </c>
      <c r="L60" s="152" t="str">
        <f t="shared" si="2"/>
        <v>刺杀</v>
      </c>
      <c r="M60" s="152">
        <f>VLOOKUP(A60,[2]filiation!A:D,4,FALSE)</f>
        <v>4</v>
      </c>
      <c r="N60" s="152">
        <f>VLOOKUP(M60,[2]Entourage!A:N,14,FALSE)</f>
        <v>1</v>
      </c>
      <c r="O60" s="152" t="str">
        <f t="shared" si="3"/>
        <v>战斗</v>
      </c>
      <c r="P60" s="152">
        <f t="shared" si="4"/>
        <v>102</v>
      </c>
      <c r="Q60" s="151">
        <f>INT(VLOOKUP(VLOOKUP(A60,[2]filiation!A:E,3,FALSE),[2]Entourage!A:AA,IF(C60=101,25,IF(C60=102,26,IF(C60=104,27))),FALSE)*VLOOKUP(N60,$AF$2:$AI$6,IF(C60=1,2,IF(C60=2,3,4)),FALSE)*VLOOKUP(B60,$AK$2:$AL$11,2,FALSE))</f>
        <v>539</v>
      </c>
      <c r="R60" s="153">
        <f>IFERROR(INDEX([3]ItemConfig!$BB:$BB,MATCH(G60,[3]ItemConfig!$A:$A,0))*H60,0)</f>
        <v>0</v>
      </c>
      <c r="S60" s="154" t="str">
        <f>VLOOKUP(J60,[2]Entourage!A:B,2,FALSE)</f>
        <v>火元素</v>
      </c>
      <c r="T60" s="151" t="str">
        <f>VLOOKUP(M60,[2]Entourage!A:B,2,FALSE)</f>
        <v>土元素</v>
      </c>
      <c r="U60" s="163"/>
      <c r="V60" s="147"/>
    </row>
    <row r="61" spans="1:22">
      <c r="A61" s="166">
        <f t="shared" si="5"/>
        <v>6</v>
      </c>
      <c r="B61" s="167">
        <f>COUNTIF(A$1:A61,A61)</f>
        <v>10</v>
      </c>
      <c r="C61" s="167">
        <f t="shared" si="6"/>
        <v>102</v>
      </c>
      <c r="D61" s="166">
        <v>609</v>
      </c>
      <c r="E61" s="166">
        <f t="shared" si="7"/>
        <v>90</v>
      </c>
      <c r="F61" s="167">
        <f t="shared" si="8"/>
        <v>6</v>
      </c>
      <c r="G61" s="168">
        <f t="shared" si="0"/>
        <v>5902</v>
      </c>
      <c r="H61" s="166">
        <f t="shared" si="1"/>
        <v>18</v>
      </c>
      <c r="I61" s="166">
        <f t="shared" si="9"/>
        <v>15225</v>
      </c>
      <c r="J61" s="152">
        <f>VLOOKUP(A61,[2]filiation!A:C,3,FALSE)</f>
        <v>5</v>
      </c>
      <c r="K61" s="152">
        <f>VLOOKUP(J61,[2]Entourage!A:N,14,FALSE)</f>
        <v>2</v>
      </c>
      <c r="L61" s="152" t="str">
        <f t="shared" si="2"/>
        <v>刺杀</v>
      </c>
      <c r="M61" s="152">
        <f>VLOOKUP(A61,[2]filiation!A:D,4,FALSE)</f>
        <v>4</v>
      </c>
      <c r="N61" s="152">
        <f>VLOOKUP(M61,[2]Entourage!A:N,14,FALSE)</f>
        <v>1</v>
      </c>
      <c r="O61" s="152" t="str">
        <f t="shared" si="3"/>
        <v>战斗</v>
      </c>
      <c r="P61" s="152">
        <f t="shared" si="4"/>
        <v>102</v>
      </c>
      <c r="Q61" s="151">
        <f>INT(VLOOKUP(VLOOKUP(A61,[2]filiation!A:E,3,FALSE),[2]Entourage!A:AA,IF(C61=101,25,IF(C61=102,26,IF(C61=104,27))),FALSE)*VLOOKUP(N61,$AF$2:$AI$6,IF(C61=1,2,IF(C61=2,3,4)),FALSE)*VLOOKUP(B61,$AK$2:$AL$11,2,FALSE))</f>
        <v>609</v>
      </c>
      <c r="R61" s="153">
        <f>IFERROR(INDEX([3]ItemConfig!$BB:$BB,MATCH(G61,[3]ItemConfig!$A:$A,0))*H61,0)</f>
        <v>0</v>
      </c>
      <c r="S61" s="154" t="str">
        <f>VLOOKUP(J61,[2]Entourage!A:B,2,FALSE)</f>
        <v>火元素</v>
      </c>
      <c r="T61" s="151" t="str">
        <f>VLOOKUP(M61,[2]Entourage!A:B,2,FALSE)</f>
        <v>土元素</v>
      </c>
      <c r="U61" s="163"/>
      <c r="V61" s="147"/>
    </row>
    <row r="62" spans="1:22">
      <c r="A62" s="159">
        <f t="shared" si="5"/>
        <v>7</v>
      </c>
      <c r="B62" s="160">
        <f>COUNTIF(A$1:A62,A62)</f>
        <v>1</v>
      </c>
      <c r="C62" s="160">
        <f t="shared" si="6"/>
        <v>104</v>
      </c>
      <c r="D62" s="159">
        <v>1044</v>
      </c>
      <c r="E62" s="159">
        <f t="shared" si="7"/>
        <v>10</v>
      </c>
      <c r="F62" s="160">
        <f t="shared" si="8"/>
        <v>1</v>
      </c>
      <c r="G62" s="161">
        <f t="shared" si="0"/>
        <v>5902</v>
      </c>
      <c r="H62" s="159">
        <f t="shared" si="1"/>
        <v>1</v>
      </c>
      <c r="I62" s="159">
        <f t="shared" si="9"/>
        <v>1044</v>
      </c>
      <c r="J62" s="152">
        <f>VLOOKUP(A62,[2]filiation!A:C,3,FALSE)</f>
        <v>5</v>
      </c>
      <c r="K62" s="152">
        <f>VLOOKUP(J62,[2]Entourage!A:N,14,FALSE)</f>
        <v>2</v>
      </c>
      <c r="L62" s="152" t="str">
        <f t="shared" si="2"/>
        <v>刺杀</v>
      </c>
      <c r="M62" s="152">
        <f>VLOOKUP(A62,[2]filiation!A:D,4,FALSE)</f>
        <v>6</v>
      </c>
      <c r="N62" s="152">
        <f>VLOOKUP(M62,[2]Entourage!A:N,14,FALSE)</f>
        <v>3</v>
      </c>
      <c r="O62" s="152" t="str">
        <f t="shared" si="3"/>
        <v>辅助</v>
      </c>
      <c r="P62" s="152">
        <f t="shared" si="4"/>
        <v>104</v>
      </c>
      <c r="Q62" s="151">
        <f>INT(VLOOKUP(VLOOKUP(A62,[2]filiation!A:E,3,FALSE),[2]Entourage!A:AA,IF(C62=101,25,IF(C62=102,26,IF(C62=104,27))),FALSE)*VLOOKUP(N62,$AF$2:$AI$6,IF(C62=1,2,IF(C62=2,3,4)),FALSE)*VLOOKUP(B62,$AK$2:$AL$11,2,FALSE))</f>
        <v>4172</v>
      </c>
      <c r="R62" s="153">
        <f>IFERROR(INDEX([3]ItemConfig!$BB:$BB,MATCH(G62,[3]ItemConfig!$A:$A,0))*H62,0)</f>
        <v>0</v>
      </c>
      <c r="S62" s="154" t="str">
        <f>VLOOKUP(J62,[2]Entourage!A:B,2,FALSE)</f>
        <v>火元素</v>
      </c>
      <c r="T62" s="151" t="str">
        <f>VLOOKUP(M62,[2]Entourage!A:B,2,FALSE)</f>
        <v>风元素</v>
      </c>
      <c r="U62" s="163"/>
      <c r="V62" s="147"/>
    </row>
    <row r="63" spans="1:22">
      <c r="A63" s="159">
        <f t="shared" si="5"/>
        <v>7</v>
      </c>
      <c r="B63" s="160">
        <f>COUNTIF(A$1:A63,A63)</f>
        <v>2</v>
      </c>
      <c r="C63" s="160">
        <f t="shared" si="6"/>
        <v>104</v>
      </c>
      <c r="D63" s="159">
        <v>2087</v>
      </c>
      <c r="E63" s="159">
        <f t="shared" si="7"/>
        <v>20</v>
      </c>
      <c r="F63" s="160">
        <f t="shared" si="8"/>
        <v>2</v>
      </c>
      <c r="G63" s="161">
        <f t="shared" si="0"/>
        <v>5902</v>
      </c>
      <c r="H63" s="159">
        <f t="shared" si="1"/>
        <v>2</v>
      </c>
      <c r="I63" s="159">
        <f t="shared" si="9"/>
        <v>2087</v>
      </c>
      <c r="J63" s="152">
        <f>VLOOKUP(A63,[2]filiation!A:C,3,FALSE)</f>
        <v>5</v>
      </c>
      <c r="K63" s="152">
        <f>VLOOKUP(J63,[2]Entourage!A:N,14,FALSE)</f>
        <v>2</v>
      </c>
      <c r="L63" s="152" t="str">
        <f t="shared" si="2"/>
        <v>刺杀</v>
      </c>
      <c r="M63" s="152">
        <f>VLOOKUP(A63,[2]filiation!A:D,4,FALSE)</f>
        <v>6</v>
      </c>
      <c r="N63" s="152">
        <f>VLOOKUP(M63,[2]Entourage!A:N,14,FALSE)</f>
        <v>3</v>
      </c>
      <c r="O63" s="152" t="str">
        <f t="shared" si="3"/>
        <v>辅助</v>
      </c>
      <c r="P63" s="152">
        <f t="shared" si="4"/>
        <v>104</v>
      </c>
      <c r="Q63" s="151">
        <f>INT(VLOOKUP(VLOOKUP(A63,[2]filiation!A:E,3,FALSE),[2]Entourage!A:AA,IF(C63=101,25,IF(C63=102,26,IF(C63=104,27))),FALSE)*VLOOKUP(N63,$AF$2:$AI$6,IF(C63=1,2,IF(C63=2,3,4)),FALSE)*VLOOKUP(B63,$AK$2:$AL$11,2,FALSE))</f>
        <v>4362</v>
      </c>
      <c r="R63" s="153">
        <f>IFERROR(INDEX([3]ItemConfig!$BB:$BB,MATCH(G63,[3]ItemConfig!$A:$A,0))*H63,0)</f>
        <v>0</v>
      </c>
      <c r="S63" s="154" t="str">
        <f>VLOOKUP(J63,[2]Entourage!A:B,2,FALSE)</f>
        <v>火元素</v>
      </c>
      <c r="T63" s="151" t="str">
        <f>VLOOKUP(M63,[2]Entourage!A:B,2,FALSE)</f>
        <v>风元素</v>
      </c>
      <c r="U63" s="163"/>
      <c r="V63" s="147"/>
    </row>
    <row r="64" spans="1:22">
      <c r="A64" s="159">
        <f t="shared" si="5"/>
        <v>7</v>
      </c>
      <c r="B64" s="160">
        <f>COUNTIF(A$1:A64,A64)</f>
        <v>3</v>
      </c>
      <c r="C64" s="160">
        <f t="shared" si="6"/>
        <v>104</v>
      </c>
      <c r="D64" s="159">
        <v>3130</v>
      </c>
      <c r="E64" s="159">
        <f t="shared" si="7"/>
        <v>30</v>
      </c>
      <c r="F64" s="160">
        <f t="shared" si="8"/>
        <v>2</v>
      </c>
      <c r="G64" s="161">
        <f t="shared" si="0"/>
        <v>5902</v>
      </c>
      <c r="H64" s="159">
        <f t="shared" si="1"/>
        <v>3</v>
      </c>
      <c r="I64" s="159">
        <f t="shared" si="9"/>
        <v>3130</v>
      </c>
      <c r="J64" s="152">
        <f>VLOOKUP(A64,[2]filiation!A:C,3,FALSE)</f>
        <v>5</v>
      </c>
      <c r="K64" s="152">
        <f>VLOOKUP(J64,[2]Entourage!A:N,14,FALSE)</f>
        <v>2</v>
      </c>
      <c r="L64" s="152" t="str">
        <f t="shared" si="2"/>
        <v>刺杀</v>
      </c>
      <c r="M64" s="152">
        <f>VLOOKUP(A64,[2]filiation!A:D,4,FALSE)</f>
        <v>6</v>
      </c>
      <c r="N64" s="152">
        <f>VLOOKUP(M64,[2]Entourage!A:N,14,FALSE)</f>
        <v>3</v>
      </c>
      <c r="O64" s="152" t="str">
        <f t="shared" si="3"/>
        <v>辅助</v>
      </c>
      <c r="P64" s="152">
        <f t="shared" si="4"/>
        <v>104</v>
      </c>
      <c r="Q64" s="151">
        <f>INT(VLOOKUP(VLOOKUP(A64,[2]filiation!A:E,3,FALSE),[2]Entourage!A:AA,IF(C64=101,25,IF(C64=102,26,IF(C64=104,27))),FALSE)*VLOOKUP(N64,$AF$2:$AI$6,IF(C64=1,2,IF(C64=2,3,4)),FALSE)*VLOOKUP(B64,$AK$2:$AL$11,2,FALSE))</f>
        <v>4678</v>
      </c>
      <c r="R64" s="153">
        <f>IFERROR(INDEX([3]ItemConfig!$BB:$BB,MATCH(G64,[3]ItemConfig!$A:$A,0))*H64,0)</f>
        <v>0</v>
      </c>
      <c r="S64" s="154" t="str">
        <f>VLOOKUP(J64,[2]Entourage!A:B,2,FALSE)</f>
        <v>火元素</v>
      </c>
      <c r="T64" s="151" t="str">
        <f>VLOOKUP(M64,[2]Entourage!A:B,2,FALSE)</f>
        <v>风元素</v>
      </c>
      <c r="U64" s="163"/>
      <c r="V64" s="147"/>
    </row>
    <row r="65" spans="1:22">
      <c r="A65" s="159">
        <f t="shared" si="5"/>
        <v>7</v>
      </c>
      <c r="B65" s="160">
        <f>COUNTIF(A$1:A65,A65)</f>
        <v>4</v>
      </c>
      <c r="C65" s="160">
        <f t="shared" si="6"/>
        <v>104</v>
      </c>
      <c r="D65" s="159">
        <v>4173</v>
      </c>
      <c r="E65" s="159">
        <f t="shared" si="7"/>
        <v>40</v>
      </c>
      <c r="F65" s="160">
        <f t="shared" si="8"/>
        <v>3</v>
      </c>
      <c r="G65" s="161">
        <f t="shared" si="0"/>
        <v>5902</v>
      </c>
      <c r="H65" s="159">
        <f t="shared" si="1"/>
        <v>4</v>
      </c>
      <c r="I65" s="159">
        <f t="shared" si="9"/>
        <v>4173</v>
      </c>
      <c r="J65" s="152">
        <f>VLOOKUP(A65,[2]filiation!A:C,3,FALSE)</f>
        <v>5</v>
      </c>
      <c r="K65" s="152">
        <f>VLOOKUP(J65,[2]Entourage!A:N,14,FALSE)</f>
        <v>2</v>
      </c>
      <c r="L65" s="152" t="str">
        <f t="shared" si="2"/>
        <v>刺杀</v>
      </c>
      <c r="M65" s="152">
        <f>VLOOKUP(A65,[2]filiation!A:D,4,FALSE)</f>
        <v>6</v>
      </c>
      <c r="N65" s="152">
        <f>VLOOKUP(M65,[2]Entourage!A:N,14,FALSE)</f>
        <v>3</v>
      </c>
      <c r="O65" s="152" t="str">
        <f t="shared" si="3"/>
        <v>辅助</v>
      </c>
      <c r="P65" s="152">
        <f t="shared" si="4"/>
        <v>104</v>
      </c>
      <c r="Q65" s="151">
        <f>INT(VLOOKUP(VLOOKUP(A65,[2]filiation!A:E,3,FALSE),[2]Entourage!A:AA,IF(C65=101,25,IF(C65=102,26,IF(C65=104,27))),FALSE)*VLOOKUP(N65,$AF$2:$AI$6,IF(C65=1,2,IF(C65=2,3,4)),FALSE)*VLOOKUP(B65,$AK$2:$AL$11,2,FALSE))</f>
        <v>5121</v>
      </c>
      <c r="R65" s="153">
        <f>IFERROR(INDEX([3]ItemConfig!$BB:$BB,MATCH(G65,[3]ItemConfig!$A:$A,0))*H65,0)</f>
        <v>0</v>
      </c>
      <c r="S65" s="154" t="str">
        <f>VLOOKUP(J65,[2]Entourage!A:B,2,FALSE)</f>
        <v>火元素</v>
      </c>
      <c r="T65" s="151" t="str">
        <f>VLOOKUP(M65,[2]Entourage!A:B,2,FALSE)</f>
        <v>风元素</v>
      </c>
      <c r="U65" s="163"/>
      <c r="V65" s="147"/>
    </row>
    <row r="66" spans="1:22">
      <c r="A66" s="159">
        <f t="shared" si="5"/>
        <v>7</v>
      </c>
      <c r="B66" s="160">
        <f>COUNTIF(A$1:A66,A66)</f>
        <v>5</v>
      </c>
      <c r="C66" s="160">
        <f t="shared" si="6"/>
        <v>104</v>
      </c>
      <c r="D66" s="159">
        <v>5216</v>
      </c>
      <c r="E66" s="159">
        <f t="shared" si="7"/>
        <v>50</v>
      </c>
      <c r="F66" s="160">
        <f t="shared" si="8"/>
        <v>3</v>
      </c>
      <c r="G66" s="161">
        <f t="shared" ref="G66:G129" si="12">VLOOKUP(B66,AA$2:AC$11,2,FALSE)</f>
        <v>5902</v>
      </c>
      <c r="H66" s="159">
        <f t="shared" ref="H66:H129" si="13">VLOOKUP(B66,AA$2:AC$11,3,FALSE)</f>
        <v>6</v>
      </c>
      <c r="I66" s="159">
        <f t="shared" si="9"/>
        <v>5216</v>
      </c>
      <c r="J66" s="152">
        <f>VLOOKUP(A66,[2]filiation!A:C,3,FALSE)</f>
        <v>5</v>
      </c>
      <c r="K66" s="152">
        <f>VLOOKUP(J66,[2]Entourage!A:N,14,FALSE)</f>
        <v>2</v>
      </c>
      <c r="L66" s="152" t="str">
        <f t="shared" ref="L66:L129" si="14">VLOOKUP(K66,$X$2:$Y$4,2,FALSE)</f>
        <v>刺杀</v>
      </c>
      <c r="M66" s="152">
        <f>VLOOKUP(A66,[2]filiation!A:D,4,FALSE)</f>
        <v>6</v>
      </c>
      <c r="N66" s="152">
        <f>VLOOKUP(M66,[2]Entourage!A:N,14,FALSE)</f>
        <v>3</v>
      </c>
      <c r="O66" s="152" t="str">
        <f t="shared" ref="O66:O129" si="15">VLOOKUP(N66,$X$2:$Y$4,2,FALSE)</f>
        <v>辅助</v>
      </c>
      <c r="P66" s="152">
        <f t="shared" ref="P66:P129" si="16">VLOOKUP(N66,$X$2:$Z$4,3,FALSE)</f>
        <v>104</v>
      </c>
      <c r="Q66" s="151">
        <f>INT(VLOOKUP(VLOOKUP(A66,[2]filiation!A:E,3,FALSE),[2]Entourage!A:AA,IF(C66=101,25,IF(C66=102,26,IF(C66=104,27))),FALSE)*VLOOKUP(N66,$AF$2:$AI$6,IF(C66=1,2,IF(C66=2,3,4)),FALSE)*VLOOKUP(B66,$AK$2:$AL$11,2,FALSE))</f>
        <v>5690</v>
      </c>
      <c r="R66" s="153">
        <f>IFERROR(INDEX([3]ItemConfig!$BB:$BB,MATCH(G66,[3]ItemConfig!$A:$A,0))*H66,0)</f>
        <v>0</v>
      </c>
      <c r="S66" s="154" t="str">
        <f>VLOOKUP(J66,[2]Entourage!A:B,2,FALSE)</f>
        <v>火元素</v>
      </c>
      <c r="T66" s="151" t="str">
        <f>VLOOKUP(M66,[2]Entourage!A:B,2,FALSE)</f>
        <v>风元素</v>
      </c>
      <c r="U66" s="163"/>
      <c r="V66" s="147"/>
    </row>
    <row r="67" spans="1:22">
      <c r="A67" s="159">
        <f t="shared" ref="A67:A130" si="17">INT((ROW(A67)+8)/10)</f>
        <v>7</v>
      </c>
      <c r="B67" s="160">
        <f>COUNTIF(A$1:A67,A67)</f>
        <v>6</v>
      </c>
      <c r="C67" s="160">
        <f t="shared" ref="C67:C130" si="18">P67</f>
        <v>104</v>
      </c>
      <c r="D67" s="159">
        <v>6260</v>
      </c>
      <c r="E67" s="159">
        <f t="shared" ref="E67:E130" si="19">MIN(B67*10,90)</f>
        <v>60</v>
      </c>
      <c r="F67" s="160">
        <f t="shared" ref="F67:F130" si="20">INT(B67/2)+1</f>
        <v>4</v>
      </c>
      <c r="G67" s="161">
        <f t="shared" si="12"/>
        <v>5902</v>
      </c>
      <c r="H67" s="159">
        <f t="shared" si="13"/>
        <v>8</v>
      </c>
      <c r="I67" s="159">
        <f t="shared" ref="I67:I130" si="21">INT(IF(C67=104,D67,D67*25))</f>
        <v>6260</v>
      </c>
      <c r="J67" s="152">
        <f>VLOOKUP(A67,[2]filiation!A:C,3,FALSE)</f>
        <v>5</v>
      </c>
      <c r="K67" s="152">
        <f>VLOOKUP(J67,[2]Entourage!A:N,14,FALSE)</f>
        <v>2</v>
      </c>
      <c r="L67" s="152" t="str">
        <f t="shared" si="14"/>
        <v>刺杀</v>
      </c>
      <c r="M67" s="152">
        <f>VLOOKUP(A67,[2]filiation!A:D,4,FALSE)</f>
        <v>6</v>
      </c>
      <c r="N67" s="152">
        <f>VLOOKUP(M67,[2]Entourage!A:N,14,FALSE)</f>
        <v>3</v>
      </c>
      <c r="O67" s="152" t="str">
        <f t="shared" si="15"/>
        <v>辅助</v>
      </c>
      <c r="P67" s="152">
        <f t="shared" si="16"/>
        <v>104</v>
      </c>
      <c r="Q67" s="151">
        <f>INT(VLOOKUP(VLOOKUP(A67,[2]filiation!A:E,3,FALSE),[2]Entourage!A:AA,IF(C67=101,25,IF(C67=102,26,IF(C67=104,27))),FALSE)*VLOOKUP(N67,$AF$2:$AI$6,IF(C67=1,2,IF(C67=2,3,4)),FALSE)*VLOOKUP(B67,$AK$2:$AL$11,2,FALSE))</f>
        <v>6385</v>
      </c>
      <c r="R67" s="153">
        <f>IFERROR(INDEX([3]ItemConfig!$BB:$BB,MATCH(G67,[3]ItemConfig!$A:$A,0))*H67,0)</f>
        <v>0</v>
      </c>
      <c r="S67" s="154" t="str">
        <f>VLOOKUP(J67,[2]Entourage!A:B,2,FALSE)</f>
        <v>火元素</v>
      </c>
      <c r="T67" s="151" t="str">
        <f>VLOOKUP(M67,[2]Entourage!A:B,2,FALSE)</f>
        <v>风元素</v>
      </c>
      <c r="U67" s="163"/>
      <c r="V67" s="147"/>
    </row>
    <row r="68" spans="1:22">
      <c r="A68" s="159">
        <f t="shared" si="17"/>
        <v>7</v>
      </c>
      <c r="B68" s="160">
        <f>COUNTIF(A$1:A68,A68)</f>
        <v>7</v>
      </c>
      <c r="C68" s="160">
        <f t="shared" si="18"/>
        <v>104</v>
      </c>
      <c r="D68" s="159">
        <v>7303</v>
      </c>
      <c r="E68" s="159">
        <f t="shared" si="19"/>
        <v>70</v>
      </c>
      <c r="F68" s="160">
        <f t="shared" si="20"/>
        <v>4</v>
      </c>
      <c r="G68" s="161">
        <f t="shared" si="12"/>
        <v>5902</v>
      </c>
      <c r="H68" s="159">
        <f t="shared" si="13"/>
        <v>10</v>
      </c>
      <c r="I68" s="159">
        <f t="shared" si="21"/>
        <v>7303</v>
      </c>
      <c r="J68" s="152">
        <f>VLOOKUP(A68,[2]filiation!A:C,3,FALSE)</f>
        <v>5</v>
      </c>
      <c r="K68" s="152">
        <f>VLOOKUP(J68,[2]Entourage!A:N,14,FALSE)</f>
        <v>2</v>
      </c>
      <c r="L68" s="152" t="str">
        <f t="shared" si="14"/>
        <v>刺杀</v>
      </c>
      <c r="M68" s="152">
        <f>VLOOKUP(A68,[2]filiation!A:D,4,FALSE)</f>
        <v>6</v>
      </c>
      <c r="N68" s="152">
        <f>VLOOKUP(M68,[2]Entourage!A:N,14,FALSE)</f>
        <v>3</v>
      </c>
      <c r="O68" s="152" t="str">
        <f t="shared" si="15"/>
        <v>辅助</v>
      </c>
      <c r="P68" s="152">
        <f t="shared" si="16"/>
        <v>104</v>
      </c>
      <c r="Q68" s="151">
        <f>INT(VLOOKUP(VLOOKUP(A68,[2]filiation!A:E,3,FALSE),[2]Entourage!A:AA,IF(C68=101,25,IF(C68=102,26,IF(C68=104,27))),FALSE)*VLOOKUP(N68,$AF$2:$AI$6,IF(C68=1,2,IF(C68=2,3,4)),FALSE)*VLOOKUP(B68,$AK$2:$AL$11,2,FALSE))</f>
        <v>7207</v>
      </c>
      <c r="R68" s="153">
        <f>IFERROR(INDEX([3]ItemConfig!$BB:$BB,MATCH(G68,[3]ItemConfig!$A:$A,0))*H68,0)</f>
        <v>0</v>
      </c>
      <c r="S68" s="154" t="str">
        <f>VLOOKUP(J68,[2]Entourage!A:B,2,FALSE)</f>
        <v>火元素</v>
      </c>
      <c r="T68" s="151" t="str">
        <f>VLOOKUP(M68,[2]Entourage!A:B,2,FALSE)</f>
        <v>风元素</v>
      </c>
      <c r="U68" s="163"/>
      <c r="V68" s="147"/>
    </row>
    <row r="69" spans="1:22">
      <c r="A69" s="159">
        <f t="shared" si="17"/>
        <v>7</v>
      </c>
      <c r="B69" s="160">
        <f>COUNTIF(A$1:A69,A69)</f>
        <v>8</v>
      </c>
      <c r="C69" s="160">
        <f t="shared" si="18"/>
        <v>104</v>
      </c>
      <c r="D69" s="159">
        <v>8346</v>
      </c>
      <c r="E69" s="159">
        <f t="shared" si="19"/>
        <v>80</v>
      </c>
      <c r="F69" s="160">
        <f t="shared" si="20"/>
        <v>5</v>
      </c>
      <c r="G69" s="161">
        <f t="shared" si="12"/>
        <v>5902</v>
      </c>
      <c r="H69" s="159">
        <f t="shared" si="13"/>
        <v>12</v>
      </c>
      <c r="I69" s="159">
        <f t="shared" si="21"/>
        <v>8346</v>
      </c>
      <c r="J69" s="152">
        <f>VLOOKUP(A69,[2]filiation!A:C,3,FALSE)</f>
        <v>5</v>
      </c>
      <c r="K69" s="152">
        <f>VLOOKUP(J69,[2]Entourage!A:N,14,FALSE)</f>
        <v>2</v>
      </c>
      <c r="L69" s="152" t="str">
        <f t="shared" si="14"/>
        <v>刺杀</v>
      </c>
      <c r="M69" s="152">
        <f>VLOOKUP(A69,[2]filiation!A:D,4,FALSE)</f>
        <v>6</v>
      </c>
      <c r="N69" s="152">
        <f>VLOOKUP(M69,[2]Entourage!A:N,14,FALSE)</f>
        <v>3</v>
      </c>
      <c r="O69" s="152" t="str">
        <f t="shared" si="15"/>
        <v>辅助</v>
      </c>
      <c r="P69" s="152">
        <f t="shared" si="16"/>
        <v>104</v>
      </c>
      <c r="Q69" s="151">
        <f>INT(VLOOKUP(VLOOKUP(A69,[2]filiation!A:E,3,FALSE),[2]Entourage!A:AA,IF(C69=101,25,IF(C69=102,26,IF(C69=104,27))),FALSE)*VLOOKUP(N69,$AF$2:$AI$6,IF(C69=1,2,IF(C69=2,3,4)),FALSE)*VLOOKUP(B69,$AK$2:$AL$11,2,FALSE))</f>
        <v>8155</v>
      </c>
      <c r="R69" s="153">
        <f>IFERROR(INDEX([3]ItemConfig!$BB:$BB,MATCH(G69,[3]ItemConfig!$A:$A,0))*H69,0)</f>
        <v>0</v>
      </c>
      <c r="S69" s="154" t="str">
        <f>VLOOKUP(J69,[2]Entourage!A:B,2,FALSE)</f>
        <v>火元素</v>
      </c>
      <c r="T69" s="151" t="str">
        <f>VLOOKUP(M69,[2]Entourage!A:B,2,FALSE)</f>
        <v>风元素</v>
      </c>
      <c r="U69" s="163"/>
      <c r="V69" s="147"/>
    </row>
    <row r="70" spans="1:22">
      <c r="A70" s="159">
        <f t="shared" si="17"/>
        <v>7</v>
      </c>
      <c r="B70" s="160">
        <f>COUNTIF(A$1:A70,A70)</f>
        <v>9</v>
      </c>
      <c r="C70" s="160">
        <f t="shared" si="18"/>
        <v>104</v>
      </c>
      <c r="D70" s="159">
        <v>9389</v>
      </c>
      <c r="E70" s="159">
        <f t="shared" si="19"/>
        <v>90</v>
      </c>
      <c r="F70" s="160">
        <f t="shared" si="20"/>
        <v>5</v>
      </c>
      <c r="G70" s="161">
        <f t="shared" si="12"/>
        <v>5902</v>
      </c>
      <c r="H70" s="159">
        <f t="shared" si="13"/>
        <v>15</v>
      </c>
      <c r="I70" s="159">
        <f t="shared" si="21"/>
        <v>9389</v>
      </c>
      <c r="J70" s="152">
        <f>VLOOKUP(A70,[2]filiation!A:C,3,FALSE)</f>
        <v>5</v>
      </c>
      <c r="K70" s="152">
        <f>VLOOKUP(J70,[2]Entourage!A:N,14,FALSE)</f>
        <v>2</v>
      </c>
      <c r="L70" s="152" t="str">
        <f t="shared" si="14"/>
        <v>刺杀</v>
      </c>
      <c r="M70" s="152">
        <f>VLOOKUP(A70,[2]filiation!A:D,4,FALSE)</f>
        <v>6</v>
      </c>
      <c r="N70" s="152">
        <f>VLOOKUP(M70,[2]Entourage!A:N,14,FALSE)</f>
        <v>3</v>
      </c>
      <c r="O70" s="152" t="str">
        <f t="shared" si="15"/>
        <v>辅助</v>
      </c>
      <c r="P70" s="152">
        <f t="shared" si="16"/>
        <v>104</v>
      </c>
      <c r="Q70" s="151">
        <f>INT(VLOOKUP(VLOOKUP(A70,[2]filiation!A:E,3,FALSE),[2]Entourage!A:AA,IF(C70=101,25,IF(C70=102,26,IF(C70=104,27))),FALSE)*VLOOKUP(N70,$AF$2:$AI$6,IF(C70=1,2,IF(C70=2,3,4)),FALSE)*VLOOKUP(B70,$AK$2:$AL$11,2,FALSE))</f>
        <v>9230</v>
      </c>
      <c r="R70" s="153">
        <f>IFERROR(INDEX([3]ItemConfig!$BB:$BB,MATCH(G70,[3]ItemConfig!$A:$A,0))*H70,0)</f>
        <v>0</v>
      </c>
      <c r="S70" s="154" t="str">
        <f>VLOOKUP(J70,[2]Entourage!A:B,2,FALSE)</f>
        <v>火元素</v>
      </c>
      <c r="T70" s="151" t="str">
        <f>VLOOKUP(M70,[2]Entourage!A:B,2,FALSE)</f>
        <v>风元素</v>
      </c>
      <c r="U70" s="163"/>
      <c r="V70" s="147"/>
    </row>
    <row r="71" spans="1:22">
      <c r="A71" s="159">
        <f t="shared" si="17"/>
        <v>7</v>
      </c>
      <c r="B71" s="160">
        <f>COUNTIF(A$1:A71,A71)</f>
        <v>10</v>
      </c>
      <c r="C71" s="160">
        <f t="shared" si="18"/>
        <v>104</v>
      </c>
      <c r="D71" s="159">
        <v>10432</v>
      </c>
      <c r="E71" s="159">
        <f t="shared" si="19"/>
        <v>90</v>
      </c>
      <c r="F71" s="160">
        <f t="shared" si="20"/>
        <v>6</v>
      </c>
      <c r="G71" s="161">
        <f t="shared" si="12"/>
        <v>5902</v>
      </c>
      <c r="H71" s="159">
        <f t="shared" si="13"/>
        <v>18</v>
      </c>
      <c r="I71" s="159">
        <f t="shared" si="21"/>
        <v>10432</v>
      </c>
      <c r="J71" s="152">
        <f>VLOOKUP(A71,[2]filiation!A:C,3,FALSE)</f>
        <v>5</v>
      </c>
      <c r="K71" s="152">
        <f>VLOOKUP(J71,[2]Entourage!A:N,14,FALSE)</f>
        <v>2</v>
      </c>
      <c r="L71" s="152" t="str">
        <f t="shared" si="14"/>
        <v>刺杀</v>
      </c>
      <c r="M71" s="152">
        <f>VLOOKUP(A71,[2]filiation!A:D,4,FALSE)</f>
        <v>6</v>
      </c>
      <c r="N71" s="152">
        <f>VLOOKUP(M71,[2]Entourage!A:N,14,FALSE)</f>
        <v>3</v>
      </c>
      <c r="O71" s="152" t="str">
        <f t="shared" si="15"/>
        <v>辅助</v>
      </c>
      <c r="P71" s="152">
        <f t="shared" si="16"/>
        <v>104</v>
      </c>
      <c r="Q71" s="151">
        <f>INT(VLOOKUP(VLOOKUP(A71,[2]filiation!A:E,3,FALSE),[2]Entourage!A:AA,IF(C71=101,25,IF(C71=102,26,IF(C71=104,27))),FALSE)*VLOOKUP(N71,$AF$2:$AI$6,IF(C71=1,2,IF(C71=2,3,4)),FALSE)*VLOOKUP(B71,$AK$2:$AL$11,2,FALSE))</f>
        <v>10432</v>
      </c>
      <c r="R71" s="153">
        <f>IFERROR(INDEX([3]ItemConfig!$BB:$BB,MATCH(G71,[3]ItemConfig!$A:$A,0))*H71,0)</f>
        <v>0</v>
      </c>
      <c r="S71" s="154" t="str">
        <f>VLOOKUP(J71,[2]Entourage!A:B,2,FALSE)</f>
        <v>火元素</v>
      </c>
      <c r="T71" s="151" t="str">
        <f>VLOOKUP(M71,[2]Entourage!A:B,2,FALSE)</f>
        <v>风元素</v>
      </c>
      <c r="U71" s="163"/>
      <c r="V71" s="147"/>
    </row>
    <row r="72" spans="1:22">
      <c r="A72" s="166">
        <f t="shared" si="17"/>
        <v>8</v>
      </c>
      <c r="B72" s="167">
        <f>COUNTIF(A$1:A72,A72)</f>
        <v>1</v>
      </c>
      <c r="C72" s="167">
        <f t="shared" si="18"/>
        <v>102</v>
      </c>
      <c r="D72" s="166">
        <v>68</v>
      </c>
      <c r="E72" s="166">
        <f t="shared" si="19"/>
        <v>10</v>
      </c>
      <c r="F72" s="167">
        <f t="shared" si="20"/>
        <v>1</v>
      </c>
      <c r="G72" s="168">
        <f t="shared" si="12"/>
        <v>5902</v>
      </c>
      <c r="H72" s="166">
        <f t="shared" si="13"/>
        <v>1</v>
      </c>
      <c r="I72" s="166">
        <f t="shared" si="21"/>
        <v>1700</v>
      </c>
      <c r="J72" s="152">
        <f>VLOOKUP(A72,[2]filiation!A:C,3,FALSE)</f>
        <v>6</v>
      </c>
      <c r="K72" s="152">
        <f>VLOOKUP(J72,[2]Entourage!A:N,14,FALSE)</f>
        <v>3</v>
      </c>
      <c r="L72" s="152" t="str">
        <f t="shared" si="14"/>
        <v>辅助</v>
      </c>
      <c r="M72" s="152">
        <f>VLOOKUP(A72,[2]filiation!A:D,4,FALSE)</f>
        <v>4</v>
      </c>
      <c r="N72" s="152">
        <f>VLOOKUP(M72,[2]Entourage!A:N,14,FALSE)</f>
        <v>1</v>
      </c>
      <c r="O72" s="152" t="str">
        <f t="shared" si="15"/>
        <v>战斗</v>
      </c>
      <c r="P72" s="152">
        <f t="shared" si="16"/>
        <v>102</v>
      </c>
      <c r="Q72" s="151">
        <f>INT(VLOOKUP(VLOOKUP(A72,[2]filiation!A:E,3,FALSE),[2]Entourage!A:AA,IF(C72=101,25,IF(C72=102,26,IF(C72=104,27))),FALSE)*VLOOKUP(N72,$AF$2:$AI$6,IF(C72=1,2,IF(C72=2,3,4)),FALSE)*VLOOKUP(B72,$AK$2:$AL$11,2,FALSE))</f>
        <v>270</v>
      </c>
      <c r="R72" s="153">
        <f>IFERROR(INDEX([3]ItemConfig!$BB:$BB,MATCH(G72,[3]ItemConfig!$A:$A,0))*H72,0)</f>
        <v>0</v>
      </c>
      <c r="S72" s="154" t="str">
        <f>VLOOKUP(J72,[2]Entourage!A:B,2,FALSE)</f>
        <v>风元素</v>
      </c>
      <c r="T72" s="151" t="str">
        <f>VLOOKUP(M72,[2]Entourage!A:B,2,FALSE)</f>
        <v>土元素</v>
      </c>
      <c r="U72" s="163"/>
      <c r="V72" s="147"/>
    </row>
    <row r="73" spans="1:22">
      <c r="A73" s="166">
        <f t="shared" si="17"/>
        <v>8</v>
      </c>
      <c r="B73" s="167">
        <f>COUNTIF(A$1:A73,A73)</f>
        <v>2</v>
      </c>
      <c r="C73" s="167">
        <f t="shared" si="18"/>
        <v>102</v>
      </c>
      <c r="D73" s="166">
        <v>136</v>
      </c>
      <c r="E73" s="166">
        <f t="shared" si="19"/>
        <v>20</v>
      </c>
      <c r="F73" s="167">
        <f t="shared" si="20"/>
        <v>2</v>
      </c>
      <c r="G73" s="168">
        <f t="shared" si="12"/>
        <v>5902</v>
      </c>
      <c r="H73" s="166">
        <f t="shared" si="13"/>
        <v>2</v>
      </c>
      <c r="I73" s="166">
        <f t="shared" si="21"/>
        <v>3400</v>
      </c>
      <c r="J73" s="152">
        <f>VLOOKUP(A73,[2]filiation!A:C,3,FALSE)</f>
        <v>6</v>
      </c>
      <c r="K73" s="152">
        <f>VLOOKUP(J73,[2]Entourage!A:N,14,FALSE)</f>
        <v>3</v>
      </c>
      <c r="L73" s="152" t="str">
        <f t="shared" si="14"/>
        <v>辅助</v>
      </c>
      <c r="M73" s="152">
        <f>VLOOKUP(A73,[2]filiation!A:D,4,FALSE)</f>
        <v>4</v>
      </c>
      <c r="N73" s="152">
        <f>VLOOKUP(M73,[2]Entourage!A:N,14,FALSE)</f>
        <v>1</v>
      </c>
      <c r="O73" s="152" t="str">
        <f t="shared" si="15"/>
        <v>战斗</v>
      </c>
      <c r="P73" s="152">
        <f t="shared" si="16"/>
        <v>102</v>
      </c>
      <c r="Q73" s="151">
        <f>INT(VLOOKUP(VLOOKUP(A73,[2]filiation!A:E,3,FALSE),[2]Entourage!A:AA,IF(C73=101,25,IF(C73=102,26,IF(C73=104,27))),FALSE)*VLOOKUP(N73,$AF$2:$AI$6,IF(C73=1,2,IF(C73=2,3,4)),FALSE)*VLOOKUP(B73,$AK$2:$AL$11,2,FALSE))</f>
        <v>283</v>
      </c>
      <c r="R73" s="153">
        <f>IFERROR(INDEX([3]ItemConfig!$BB:$BB,MATCH(G73,[3]ItemConfig!$A:$A,0))*H73,0)</f>
        <v>0</v>
      </c>
      <c r="S73" s="154" t="str">
        <f>VLOOKUP(J73,[2]Entourage!A:B,2,FALSE)</f>
        <v>风元素</v>
      </c>
      <c r="T73" s="151" t="str">
        <f>VLOOKUP(M73,[2]Entourage!A:B,2,FALSE)</f>
        <v>土元素</v>
      </c>
      <c r="U73" s="163"/>
      <c r="V73" s="147"/>
    </row>
    <row r="74" spans="1:22">
      <c r="A74" s="166">
        <f t="shared" si="17"/>
        <v>8</v>
      </c>
      <c r="B74" s="167">
        <f>COUNTIF(A$1:A74,A74)</f>
        <v>3</v>
      </c>
      <c r="C74" s="167">
        <f t="shared" si="18"/>
        <v>102</v>
      </c>
      <c r="D74" s="166">
        <v>203</v>
      </c>
      <c r="E74" s="166">
        <f t="shared" si="19"/>
        <v>30</v>
      </c>
      <c r="F74" s="167">
        <f t="shared" si="20"/>
        <v>2</v>
      </c>
      <c r="G74" s="168">
        <f t="shared" si="12"/>
        <v>5902</v>
      </c>
      <c r="H74" s="166">
        <f t="shared" si="13"/>
        <v>3</v>
      </c>
      <c r="I74" s="166">
        <f t="shared" si="21"/>
        <v>5075</v>
      </c>
      <c r="J74" s="152">
        <f>VLOOKUP(A74,[2]filiation!A:C,3,FALSE)</f>
        <v>6</v>
      </c>
      <c r="K74" s="152">
        <f>VLOOKUP(J74,[2]Entourage!A:N,14,FALSE)</f>
        <v>3</v>
      </c>
      <c r="L74" s="152" t="str">
        <f t="shared" si="14"/>
        <v>辅助</v>
      </c>
      <c r="M74" s="152">
        <f>VLOOKUP(A74,[2]filiation!A:D,4,FALSE)</f>
        <v>4</v>
      </c>
      <c r="N74" s="152">
        <f>VLOOKUP(M74,[2]Entourage!A:N,14,FALSE)</f>
        <v>1</v>
      </c>
      <c r="O74" s="152" t="str">
        <f t="shared" si="15"/>
        <v>战斗</v>
      </c>
      <c r="P74" s="152">
        <f t="shared" si="16"/>
        <v>102</v>
      </c>
      <c r="Q74" s="151">
        <f>INT(VLOOKUP(VLOOKUP(A74,[2]filiation!A:E,3,FALSE),[2]Entourage!A:AA,IF(C74=101,25,IF(C74=102,26,IF(C74=104,27))),FALSE)*VLOOKUP(N74,$AF$2:$AI$6,IF(C74=1,2,IF(C74=2,3,4)),FALSE)*VLOOKUP(B74,$AK$2:$AL$11,2,FALSE))</f>
        <v>303</v>
      </c>
      <c r="R74" s="153">
        <f>IFERROR(INDEX([3]ItemConfig!$BB:$BB,MATCH(G74,[3]ItemConfig!$A:$A,0))*H74,0)</f>
        <v>0</v>
      </c>
      <c r="S74" s="154" t="str">
        <f>VLOOKUP(J74,[2]Entourage!A:B,2,FALSE)</f>
        <v>风元素</v>
      </c>
      <c r="T74" s="151" t="str">
        <f>VLOOKUP(M74,[2]Entourage!A:B,2,FALSE)</f>
        <v>土元素</v>
      </c>
      <c r="U74" s="163"/>
      <c r="V74" s="147"/>
    </row>
    <row r="75" spans="1:22">
      <c r="A75" s="166">
        <f t="shared" si="17"/>
        <v>8</v>
      </c>
      <c r="B75" s="167">
        <f>COUNTIF(A$1:A75,A75)</f>
        <v>4</v>
      </c>
      <c r="C75" s="167">
        <f t="shared" si="18"/>
        <v>102</v>
      </c>
      <c r="D75" s="166">
        <v>271</v>
      </c>
      <c r="E75" s="166">
        <f t="shared" si="19"/>
        <v>40</v>
      </c>
      <c r="F75" s="167">
        <f t="shared" si="20"/>
        <v>3</v>
      </c>
      <c r="G75" s="168">
        <f t="shared" si="12"/>
        <v>5902</v>
      </c>
      <c r="H75" s="166">
        <f t="shared" si="13"/>
        <v>4</v>
      </c>
      <c r="I75" s="166">
        <f t="shared" si="21"/>
        <v>6775</v>
      </c>
      <c r="J75" s="152">
        <f>VLOOKUP(A75,[2]filiation!A:C,3,FALSE)</f>
        <v>6</v>
      </c>
      <c r="K75" s="152">
        <f>VLOOKUP(J75,[2]Entourage!A:N,14,FALSE)</f>
        <v>3</v>
      </c>
      <c r="L75" s="152" t="str">
        <f t="shared" si="14"/>
        <v>辅助</v>
      </c>
      <c r="M75" s="152">
        <f>VLOOKUP(A75,[2]filiation!A:D,4,FALSE)</f>
        <v>4</v>
      </c>
      <c r="N75" s="152">
        <f>VLOOKUP(M75,[2]Entourage!A:N,14,FALSE)</f>
        <v>1</v>
      </c>
      <c r="O75" s="152" t="str">
        <f t="shared" si="15"/>
        <v>战斗</v>
      </c>
      <c r="P75" s="152">
        <f t="shared" si="16"/>
        <v>102</v>
      </c>
      <c r="Q75" s="151">
        <f>INT(VLOOKUP(VLOOKUP(A75,[2]filiation!A:E,3,FALSE),[2]Entourage!A:AA,IF(C75=101,25,IF(C75=102,26,IF(C75=104,27))),FALSE)*VLOOKUP(N75,$AF$2:$AI$6,IF(C75=1,2,IF(C75=2,3,4)),FALSE)*VLOOKUP(B75,$AK$2:$AL$11,2,FALSE))</f>
        <v>332</v>
      </c>
      <c r="R75" s="153">
        <f>IFERROR(INDEX([3]ItemConfig!$BB:$BB,MATCH(G75,[3]ItemConfig!$A:$A,0))*H75,0)</f>
        <v>0</v>
      </c>
      <c r="S75" s="154" t="str">
        <f>VLOOKUP(J75,[2]Entourage!A:B,2,FALSE)</f>
        <v>风元素</v>
      </c>
      <c r="T75" s="151" t="str">
        <f>VLOOKUP(M75,[2]Entourage!A:B,2,FALSE)</f>
        <v>土元素</v>
      </c>
      <c r="U75" s="163"/>
      <c r="V75" s="147"/>
    </row>
    <row r="76" spans="1:22">
      <c r="A76" s="166">
        <f t="shared" si="17"/>
        <v>8</v>
      </c>
      <c r="B76" s="167">
        <f>COUNTIF(A$1:A76,A76)</f>
        <v>5</v>
      </c>
      <c r="C76" s="167">
        <f t="shared" si="18"/>
        <v>102</v>
      </c>
      <c r="D76" s="166">
        <v>338</v>
      </c>
      <c r="E76" s="166">
        <f t="shared" si="19"/>
        <v>50</v>
      </c>
      <c r="F76" s="167">
        <f t="shared" si="20"/>
        <v>3</v>
      </c>
      <c r="G76" s="168">
        <f t="shared" si="12"/>
        <v>5902</v>
      </c>
      <c r="H76" s="166">
        <f t="shared" si="13"/>
        <v>6</v>
      </c>
      <c r="I76" s="166">
        <f t="shared" si="21"/>
        <v>8450</v>
      </c>
      <c r="J76" s="152">
        <f>VLOOKUP(A76,[2]filiation!A:C,3,FALSE)</f>
        <v>6</v>
      </c>
      <c r="K76" s="152">
        <f>VLOOKUP(J76,[2]Entourage!A:N,14,FALSE)</f>
        <v>3</v>
      </c>
      <c r="L76" s="152" t="str">
        <f t="shared" si="14"/>
        <v>辅助</v>
      </c>
      <c r="M76" s="152">
        <f>VLOOKUP(A76,[2]filiation!A:D,4,FALSE)</f>
        <v>4</v>
      </c>
      <c r="N76" s="152">
        <f>VLOOKUP(M76,[2]Entourage!A:N,14,FALSE)</f>
        <v>1</v>
      </c>
      <c r="O76" s="152" t="str">
        <f t="shared" si="15"/>
        <v>战斗</v>
      </c>
      <c r="P76" s="152">
        <f t="shared" si="16"/>
        <v>102</v>
      </c>
      <c r="Q76" s="151">
        <f>INT(VLOOKUP(VLOOKUP(A76,[2]filiation!A:E,3,FALSE),[2]Entourage!A:AA,IF(C76=101,25,IF(C76=102,26,IF(C76=104,27))),FALSE)*VLOOKUP(N76,$AF$2:$AI$6,IF(C76=1,2,IF(C76=2,3,4)),FALSE)*VLOOKUP(B76,$AK$2:$AL$11,2,FALSE))</f>
        <v>369</v>
      </c>
      <c r="R76" s="153">
        <f>IFERROR(INDEX([3]ItemConfig!$BB:$BB,MATCH(G76,[3]ItemConfig!$A:$A,0))*H76,0)</f>
        <v>0</v>
      </c>
      <c r="S76" s="154" t="str">
        <f>VLOOKUP(J76,[2]Entourage!A:B,2,FALSE)</f>
        <v>风元素</v>
      </c>
      <c r="T76" s="151" t="str">
        <f>VLOOKUP(M76,[2]Entourage!A:B,2,FALSE)</f>
        <v>土元素</v>
      </c>
      <c r="U76" s="163"/>
      <c r="V76" s="147"/>
    </row>
    <row r="77" spans="1:22">
      <c r="A77" s="166">
        <f t="shared" si="17"/>
        <v>8</v>
      </c>
      <c r="B77" s="167">
        <f>COUNTIF(A$1:A77,A77)</f>
        <v>6</v>
      </c>
      <c r="C77" s="167">
        <f t="shared" si="18"/>
        <v>102</v>
      </c>
      <c r="D77" s="166">
        <v>406</v>
      </c>
      <c r="E77" s="166">
        <f t="shared" si="19"/>
        <v>60</v>
      </c>
      <c r="F77" s="167">
        <f t="shared" si="20"/>
        <v>4</v>
      </c>
      <c r="G77" s="168">
        <f t="shared" si="12"/>
        <v>5902</v>
      </c>
      <c r="H77" s="166">
        <f t="shared" si="13"/>
        <v>8</v>
      </c>
      <c r="I77" s="166">
        <f t="shared" si="21"/>
        <v>10150</v>
      </c>
      <c r="J77" s="152">
        <f>VLOOKUP(A77,[2]filiation!A:C,3,FALSE)</f>
        <v>6</v>
      </c>
      <c r="K77" s="152">
        <f>VLOOKUP(J77,[2]Entourage!A:N,14,FALSE)</f>
        <v>3</v>
      </c>
      <c r="L77" s="152" t="str">
        <f t="shared" si="14"/>
        <v>辅助</v>
      </c>
      <c r="M77" s="152">
        <f>VLOOKUP(A77,[2]filiation!A:D,4,FALSE)</f>
        <v>4</v>
      </c>
      <c r="N77" s="152">
        <f>VLOOKUP(M77,[2]Entourage!A:N,14,FALSE)</f>
        <v>1</v>
      </c>
      <c r="O77" s="152" t="str">
        <f t="shared" si="15"/>
        <v>战斗</v>
      </c>
      <c r="P77" s="152">
        <f t="shared" si="16"/>
        <v>102</v>
      </c>
      <c r="Q77" s="151">
        <f>INT(VLOOKUP(VLOOKUP(A77,[2]filiation!A:E,3,FALSE),[2]Entourage!A:AA,IF(C77=101,25,IF(C77=102,26,IF(C77=104,27))),FALSE)*VLOOKUP(N77,$AF$2:$AI$6,IF(C77=1,2,IF(C77=2,3,4)),FALSE)*VLOOKUP(B77,$AK$2:$AL$11,2,FALSE))</f>
        <v>414</v>
      </c>
      <c r="R77" s="153">
        <f>IFERROR(INDEX([3]ItemConfig!$BB:$BB,MATCH(G77,[3]ItemConfig!$A:$A,0))*H77,0)</f>
        <v>0</v>
      </c>
      <c r="S77" s="154" t="str">
        <f>VLOOKUP(J77,[2]Entourage!A:B,2,FALSE)</f>
        <v>风元素</v>
      </c>
      <c r="T77" s="151" t="str">
        <f>VLOOKUP(M77,[2]Entourage!A:B,2,FALSE)</f>
        <v>土元素</v>
      </c>
      <c r="U77" s="163"/>
      <c r="V77" s="147"/>
    </row>
    <row r="78" spans="1:22">
      <c r="A78" s="166">
        <f t="shared" si="17"/>
        <v>8</v>
      </c>
      <c r="B78" s="167">
        <f>COUNTIF(A$1:A78,A78)</f>
        <v>7</v>
      </c>
      <c r="C78" s="167">
        <f t="shared" si="18"/>
        <v>102</v>
      </c>
      <c r="D78" s="166">
        <v>474</v>
      </c>
      <c r="E78" s="166">
        <f t="shared" si="19"/>
        <v>70</v>
      </c>
      <c r="F78" s="167">
        <f t="shared" si="20"/>
        <v>4</v>
      </c>
      <c r="G78" s="168">
        <f t="shared" si="12"/>
        <v>5902</v>
      </c>
      <c r="H78" s="166">
        <f t="shared" si="13"/>
        <v>10</v>
      </c>
      <c r="I78" s="166">
        <f t="shared" si="21"/>
        <v>11850</v>
      </c>
      <c r="J78" s="152">
        <f>VLOOKUP(A78,[2]filiation!A:C,3,FALSE)</f>
        <v>6</v>
      </c>
      <c r="K78" s="152">
        <f>VLOOKUP(J78,[2]Entourage!A:N,14,FALSE)</f>
        <v>3</v>
      </c>
      <c r="L78" s="152" t="str">
        <f t="shared" si="14"/>
        <v>辅助</v>
      </c>
      <c r="M78" s="152">
        <f>VLOOKUP(A78,[2]filiation!A:D,4,FALSE)</f>
        <v>4</v>
      </c>
      <c r="N78" s="152">
        <f>VLOOKUP(M78,[2]Entourage!A:N,14,FALSE)</f>
        <v>1</v>
      </c>
      <c r="O78" s="152" t="str">
        <f t="shared" si="15"/>
        <v>战斗</v>
      </c>
      <c r="P78" s="152">
        <f t="shared" si="16"/>
        <v>102</v>
      </c>
      <c r="Q78" s="151">
        <f>INT(VLOOKUP(VLOOKUP(A78,[2]filiation!A:E,3,FALSE),[2]Entourage!A:AA,IF(C78=101,25,IF(C78=102,26,IF(C78=104,27))),FALSE)*VLOOKUP(N78,$AF$2:$AI$6,IF(C78=1,2,IF(C78=2,3,4)),FALSE)*VLOOKUP(B78,$AK$2:$AL$11,2,FALSE))</f>
        <v>467</v>
      </c>
      <c r="R78" s="153">
        <f>IFERROR(INDEX([3]ItemConfig!$BB:$BB,MATCH(G78,[3]ItemConfig!$A:$A,0))*H78,0)</f>
        <v>0</v>
      </c>
      <c r="S78" s="154" t="str">
        <f>VLOOKUP(J78,[2]Entourage!A:B,2,FALSE)</f>
        <v>风元素</v>
      </c>
      <c r="T78" s="151" t="str">
        <f>VLOOKUP(M78,[2]Entourage!A:B,2,FALSE)</f>
        <v>土元素</v>
      </c>
      <c r="U78" s="163"/>
      <c r="V78" s="147"/>
    </row>
    <row r="79" spans="1:22">
      <c r="A79" s="166">
        <f t="shared" si="17"/>
        <v>8</v>
      </c>
      <c r="B79" s="167">
        <f>COUNTIF(A$1:A79,A79)</f>
        <v>8</v>
      </c>
      <c r="C79" s="167">
        <f t="shared" si="18"/>
        <v>102</v>
      </c>
      <c r="D79" s="166">
        <v>541</v>
      </c>
      <c r="E79" s="166">
        <f t="shared" si="19"/>
        <v>80</v>
      </c>
      <c r="F79" s="167">
        <f t="shared" si="20"/>
        <v>5</v>
      </c>
      <c r="G79" s="168">
        <f t="shared" si="12"/>
        <v>5902</v>
      </c>
      <c r="H79" s="166">
        <f t="shared" si="13"/>
        <v>12</v>
      </c>
      <c r="I79" s="166">
        <f t="shared" si="21"/>
        <v>13525</v>
      </c>
      <c r="J79" s="152">
        <f>VLOOKUP(A79,[2]filiation!A:C,3,FALSE)</f>
        <v>6</v>
      </c>
      <c r="K79" s="152">
        <f>VLOOKUP(J79,[2]Entourage!A:N,14,FALSE)</f>
        <v>3</v>
      </c>
      <c r="L79" s="152" t="str">
        <f t="shared" si="14"/>
        <v>辅助</v>
      </c>
      <c r="M79" s="152">
        <f>VLOOKUP(A79,[2]filiation!A:D,4,FALSE)</f>
        <v>4</v>
      </c>
      <c r="N79" s="152">
        <f>VLOOKUP(M79,[2]Entourage!A:N,14,FALSE)</f>
        <v>1</v>
      </c>
      <c r="O79" s="152" t="str">
        <f t="shared" si="15"/>
        <v>战斗</v>
      </c>
      <c r="P79" s="152">
        <f t="shared" si="16"/>
        <v>102</v>
      </c>
      <c r="Q79" s="151">
        <f>INT(VLOOKUP(VLOOKUP(A79,[2]filiation!A:E,3,FALSE),[2]Entourage!A:AA,IF(C79=101,25,IF(C79=102,26,IF(C79=104,27))),FALSE)*VLOOKUP(N79,$AF$2:$AI$6,IF(C79=1,2,IF(C79=2,3,4)),FALSE)*VLOOKUP(B79,$AK$2:$AL$11,2,FALSE))</f>
        <v>529</v>
      </c>
      <c r="R79" s="153">
        <f>IFERROR(INDEX([3]ItemConfig!$BB:$BB,MATCH(G79,[3]ItemConfig!$A:$A,0))*H79,0)</f>
        <v>0</v>
      </c>
      <c r="S79" s="154" t="str">
        <f>VLOOKUP(J79,[2]Entourage!A:B,2,FALSE)</f>
        <v>风元素</v>
      </c>
      <c r="T79" s="151" t="str">
        <f>VLOOKUP(M79,[2]Entourage!A:B,2,FALSE)</f>
        <v>土元素</v>
      </c>
      <c r="U79" s="163"/>
      <c r="V79" s="147"/>
    </row>
    <row r="80" spans="1:22">
      <c r="A80" s="166">
        <f t="shared" si="17"/>
        <v>8</v>
      </c>
      <c r="B80" s="167">
        <f>COUNTIF(A$1:A80,A80)</f>
        <v>9</v>
      </c>
      <c r="C80" s="167">
        <f t="shared" si="18"/>
        <v>102</v>
      </c>
      <c r="D80" s="166">
        <v>609</v>
      </c>
      <c r="E80" s="166">
        <f t="shared" si="19"/>
        <v>90</v>
      </c>
      <c r="F80" s="167">
        <f t="shared" si="20"/>
        <v>5</v>
      </c>
      <c r="G80" s="168">
        <f t="shared" si="12"/>
        <v>5902</v>
      </c>
      <c r="H80" s="166">
        <f t="shared" si="13"/>
        <v>15</v>
      </c>
      <c r="I80" s="166">
        <f t="shared" si="21"/>
        <v>15225</v>
      </c>
      <c r="J80" s="152">
        <f>VLOOKUP(A80,[2]filiation!A:C,3,FALSE)</f>
        <v>6</v>
      </c>
      <c r="K80" s="152">
        <f>VLOOKUP(J80,[2]Entourage!A:N,14,FALSE)</f>
        <v>3</v>
      </c>
      <c r="L80" s="152" t="str">
        <f t="shared" si="14"/>
        <v>辅助</v>
      </c>
      <c r="M80" s="152">
        <f>VLOOKUP(A80,[2]filiation!A:D,4,FALSE)</f>
        <v>4</v>
      </c>
      <c r="N80" s="152">
        <f>VLOOKUP(M80,[2]Entourage!A:N,14,FALSE)</f>
        <v>1</v>
      </c>
      <c r="O80" s="152" t="str">
        <f t="shared" si="15"/>
        <v>战斗</v>
      </c>
      <c r="P80" s="152">
        <f t="shared" si="16"/>
        <v>102</v>
      </c>
      <c r="Q80" s="151">
        <f>INT(VLOOKUP(VLOOKUP(A80,[2]filiation!A:E,3,FALSE),[2]Entourage!A:AA,IF(C80=101,25,IF(C80=102,26,IF(C80=104,27))),FALSE)*VLOOKUP(N80,$AF$2:$AI$6,IF(C80=1,2,IF(C80=2,3,4)),FALSE)*VLOOKUP(B80,$AK$2:$AL$11,2,FALSE))</f>
        <v>598</v>
      </c>
      <c r="R80" s="153">
        <f>IFERROR(INDEX([3]ItemConfig!$BB:$BB,MATCH(G80,[3]ItemConfig!$A:$A,0))*H80,0)</f>
        <v>0</v>
      </c>
      <c r="S80" s="154" t="str">
        <f>VLOOKUP(J80,[2]Entourage!A:B,2,FALSE)</f>
        <v>风元素</v>
      </c>
      <c r="T80" s="151" t="str">
        <f>VLOOKUP(M80,[2]Entourage!A:B,2,FALSE)</f>
        <v>土元素</v>
      </c>
      <c r="U80" s="163"/>
      <c r="V80" s="147"/>
    </row>
    <row r="81" spans="1:22">
      <c r="A81" s="166">
        <f t="shared" si="17"/>
        <v>8</v>
      </c>
      <c r="B81" s="167">
        <f>COUNTIF(A$1:A81,A81)</f>
        <v>10</v>
      </c>
      <c r="C81" s="167">
        <f t="shared" si="18"/>
        <v>102</v>
      </c>
      <c r="D81" s="166">
        <v>676</v>
      </c>
      <c r="E81" s="166">
        <f t="shared" si="19"/>
        <v>90</v>
      </c>
      <c r="F81" s="167">
        <f t="shared" si="20"/>
        <v>6</v>
      </c>
      <c r="G81" s="168">
        <f t="shared" si="12"/>
        <v>5902</v>
      </c>
      <c r="H81" s="166">
        <f t="shared" si="13"/>
        <v>18</v>
      </c>
      <c r="I81" s="166">
        <f t="shared" si="21"/>
        <v>16900</v>
      </c>
      <c r="J81" s="152">
        <f>VLOOKUP(A81,[2]filiation!A:C,3,FALSE)</f>
        <v>6</v>
      </c>
      <c r="K81" s="152">
        <f>VLOOKUP(J81,[2]Entourage!A:N,14,FALSE)</f>
        <v>3</v>
      </c>
      <c r="L81" s="152" t="str">
        <f t="shared" si="14"/>
        <v>辅助</v>
      </c>
      <c r="M81" s="152">
        <f>VLOOKUP(A81,[2]filiation!A:D,4,FALSE)</f>
        <v>4</v>
      </c>
      <c r="N81" s="152">
        <f>VLOOKUP(M81,[2]Entourage!A:N,14,FALSE)</f>
        <v>1</v>
      </c>
      <c r="O81" s="152" t="str">
        <f t="shared" si="15"/>
        <v>战斗</v>
      </c>
      <c r="P81" s="152">
        <f t="shared" si="16"/>
        <v>102</v>
      </c>
      <c r="Q81" s="151">
        <f>INT(VLOOKUP(VLOOKUP(A81,[2]filiation!A:E,3,FALSE),[2]Entourage!A:AA,IF(C81=101,25,IF(C81=102,26,IF(C81=104,27))),FALSE)*VLOOKUP(N81,$AF$2:$AI$6,IF(C81=1,2,IF(C81=2,3,4)),FALSE)*VLOOKUP(B81,$AK$2:$AL$11,2,FALSE))</f>
        <v>676</v>
      </c>
      <c r="R81" s="153">
        <f>IFERROR(INDEX([3]ItemConfig!$BB:$BB,MATCH(G81,[3]ItemConfig!$A:$A,0))*H81,0)</f>
        <v>0</v>
      </c>
      <c r="S81" s="154" t="str">
        <f>VLOOKUP(J81,[2]Entourage!A:B,2,FALSE)</f>
        <v>风元素</v>
      </c>
      <c r="T81" s="151" t="str">
        <f>VLOOKUP(M81,[2]Entourage!A:B,2,FALSE)</f>
        <v>土元素</v>
      </c>
      <c r="U81" s="163"/>
      <c r="V81" s="147"/>
    </row>
    <row r="82" spans="1:22">
      <c r="A82" s="159">
        <f t="shared" si="17"/>
        <v>9</v>
      </c>
      <c r="B82" s="160">
        <f>COUNTIF(A$1:A82,A82)</f>
        <v>1</v>
      </c>
      <c r="C82" s="160">
        <f t="shared" si="18"/>
        <v>101</v>
      </c>
      <c r="D82" s="159">
        <v>62</v>
      </c>
      <c r="E82" s="159">
        <f t="shared" si="19"/>
        <v>10</v>
      </c>
      <c r="F82" s="160">
        <f t="shared" si="20"/>
        <v>1</v>
      </c>
      <c r="G82" s="161">
        <f t="shared" si="12"/>
        <v>5902</v>
      </c>
      <c r="H82" s="159">
        <f t="shared" si="13"/>
        <v>1</v>
      </c>
      <c r="I82" s="159">
        <f t="shared" si="21"/>
        <v>1550</v>
      </c>
      <c r="J82" s="152">
        <f>VLOOKUP(A82,[2]filiation!A:C,3,FALSE)</f>
        <v>6</v>
      </c>
      <c r="K82" s="152">
        <f>VLOOKUP(J82,[2]Entourage!A:N,14,FALSE)</f>
        <v>3</v>
      </c>
      <c r="L82" s="152" t="str">
        <f t="shared" si="14"/>
        <v>辅助</v>
      </c>
      <c r="M82" s="152">
        <f>VLOOKUP(A82,[2]filiation!A:D,4,FALSE)</f>
        <v>5</v>
      </c>
      <c r="N82" s="152">
        <f>VLOOKUP(M82,[2]Entourage!A:N,14,FALSE)</f>
        <v>2</v>
      </c>
      <c r="O82" s="152" t="str">
        <f t="shared" si="15"/>
        <v>刺杀</v>
      </c>
      <c r="P82" s="152">
        <f t="shared" si="16"/>
        <v>101</v>
      </c>
      <c r="Q82" s="151">
        <f>INT(VLOOKUP(VLOOKUP(A82,[2]filiation!A:E,3,FALSE),[2]Entourage!A:AA,IF(C82=101,25,IF(C82=102,26,IF(C82=104,27))),FALSE)*VLOOKUP(N82,$AF$2:$AI$6,IF(C82=1,2,IF(C82=2,3,4)),FALSE)*VLOOKUP(B82,$AK$2:$AL$11,2,FALSE))</f>
        <v>244</v>
      </c>
      <c r="R82" s="153">
        <f>IFERROR(INDEX([3]ItemConfig!$BB:$BB,MATCH(G82,[3]ItemConfig!$A:$A,0))*H82,0)</f>
        <v>0</v>
      </c>
      <c r="S82" s="154" t="str">
        <f>VLOOKUP(J82,[2]Entourage!A:B,2,FALSE)</f>
        <v>风元素</v>
      </c>
      <c r="T82" s="151" t="str">
        <f>VLOOKUP(M82,[2]Entourage!A:B,2,FALSE)</f>
        <v>火元素</v>
      </c>
      <c r="U82" s="163"/>
      <c r="V82" s="147"/>
    </row>
    <row r="83" spans="1:22">
      <c r="A83" s="159">
        <f t="shared" si="17"/>
        <v>9</v>
      </c>
      <c r="B83" s="160">
        <f>COUNTIF(A$1:A83,A83)</f>
        <v>2</v>
      </c>
      <c r="C83" s="160">
        <f t="shared" si="18"/>
        <v>101</v>
      </c>
      <c r="D83" s="159">
        <v>123</v>
      </c>
      <c r="E83" s="159">
        <f t="shared" si="19"/>
        <v>20</v>
      </c>
      <c r="F83" s="160">
        <f t="shared" si="20"/>
        <v>2</v>
      </c>
      <c r="G83" s="161">
        <f t="shared" si="12"/>
        <v>5902</v>
      </c>
      <c r="H83" s="159">
        <f t="shared" si="13"/>
        <v>2</v>
      </c>
      <c r="I83" s="159">
        <f t="shared" si="21"/>
        <v>3075</v>
      </c>
      <c r="J83" s="152">
        <f>VLOOKUP(A83,[2]filiation!A:C,3,FALSE)</f>
        <v>6</v>
      </c>
      <c r="K83" s="152">
        <f>VLOOKUP(J83,[2]Entourage!A:N,14,FALSE)</f>
        <v>3</v>
      </c>
      <c r="L83" s="152" t="str">
        <f t="shared" si="14"/>
        <v>辅助</v>
      </c>
      <c r="M83" s="152">
        <f>VLOOKUP(A83,[2]filiation!A:D,4,FALSE)</f>
        <v>5</v>
      </c>
      <c r="N83" s="152">
        <f>VLOOKUP(M83,[2]Entourage!A:N,14,FALSE)</f>
        <v>2</v>
      </c>
      <c r="O83" s="152" t="str">
        <f t="shared" si="15"/>
        <v>刺杀</v>
      </c>
      <c r="P83" s="152">
        <f t="shared" si="16"/>
        <v>101</v>
      </c>
      <c r="Q83" s="151">
        <f>INT(VLOOKUP(VLOOKUP(A83,[2]filiation!A:E,3,FALSE),[2]Entourage!A:AA,IF(C83=101,25,IF(C83=102,26,IF(C83=104,27))),FALSE)*VLOOKUP(N83,$AF$2:$AI$6,IF(C83=1,2,IF(C83=2,3,4)),FALSE)*VLOOKUP(B83,$AK$2:$AL$11,2,FALSE))</f>
        <v>255</v>
      </c>
      <c r="R83" s="153">
        <f>IFERROR(INDEX([3]ItemConfig!$BB:$BB,MATCH(G83,[3]ItemConfig!$A:$A,0))*H83,0)</f>
        <v>0</v>
      </c>
      <c r="S83" s="154" t="str">
        <f>VLOOKUP(J83,[2]Entourage!A:B,2,FALSE)</f>
        <v>风元素</v>
      </c>
      <c r="T83" s="151" t="str">
        <f>VLOOKUP(M83,[2]Entourage!A:B,2,FALSE)</f>
        <v>火元素</v>
      </c>
      <c r="U83" s="163"/>
      <c r="V83" s="147"/>
    </row>
    <row r="84" spans="1:22">
      <c r="A84" s="159">
        <f t="shared" si="17"/>
        <v>9</v>
      </c>
      <c r="B84" s="160">
        <f>COUNTIF(A$1:A84,A84)</f>
        <v>3</v>
      </c>
      <c r="C84" s="160">
        <f t="shared" si="18"/>
        <v>101</v>
      </c>
      <c r="D84" s="159">
        <v>184</v>
      </c>
      <c r="E84" s="159">
        <f t="shared" si="19"/>
        <v>30</v>
      </c>
      <c r="F84" s="160">
        <f t="shared" si="20"/>
        <v>2</v>
      </c>
      <c r="G84" s="161">
        <f t="shared" si="12"/>
        <v>5902</v>
      </c>
      <c r="H84" s="159">
        <f t="shared" si="13"/>
        <v>3</v>
      </c>
      <c r="I84" s="159">
        <f t="shared" si="21"/>
        <v>4600</v>
      </c>
      <c r="J84" s="152">
        <f>VLOOKUP(A84,[2]filiation!A:C,3,FALSE)</f>
        <v>6</v>
      </c>
      <c r="K84" s="152">
        <f>VLOOKUP(J84,[2]Entourage!A:N,14,FALSE)</f>
        <v>3</v>
      </c>
      <c r="L84" s="152" t="str">
        <f t="shared" si="14"/>
        <v>辅助</v>
      </c>
      <c r="M84" s="152">
        <f>VLOOKUP(A84,[2]filiation!A:D,4,FALSE)</f>
        <v>5</v>
      </c>
      <c r="N84" s="152">
        <f>VLOOKUP(M84,[2]Entourage!A:N,14,FALSE)</f>
        <v>2</v>
      </c>
      <c r="O84" s="152" t="str">
        <f t="shared" si="15"/>
        <v>刺杀</v>
      </c>
      <c r="P84" s="152">
        <f t="shared" si="16"/>
        <v>101</v>
      </c>
      <c r="Q84" s="151">
        <f>INT(VLOOKUP(VLOOKUP(A84,[2]filiation!A:E,3,FALSE),[2]Entourage!A:AA,IF(C84=101,25,IF(C84=102,26,IF(C84=104,27))),FALSE)*VLOOKUP(N84,$AF$2:$AI$6,IF(C84=1,2,IF(C84=2,3,4)),FALSE)*VLOOKUP(B84,$AK$2:$AL$11,2,FALSE))</f>
        <v>274</v>
      </c>
      <c r="R84" s="153">
        <f>IFERROR(INDEX([3]ItemConfig!$BB:$BB,MATCH(G84,[3]ItemConfig!$A:$A,0))*H84,0)</f>
        <v>0</v>
      </c>
      <c r="S84" s="154" t="str">
        <f>VLOOKUP(J84,[2]Entourage!A:B,2,FALSE)</f>
        <v>风元素</v>
      </c>
      <c r="T84" s="151" t="str">
        <f>VLOOKUP(M84,[2]Entourage!A:B,2,FALSE)</f>
        <v>火元素</v>
      </c>
      <c r="U84" s="163"/>
      <c r="V84" s="147"/>
    </row>
    <row r="85" spans="1:22">
      <c r="A85" s="159">
        <f t="shared" si="17"/>
        <v>9</v>
      </c>
      <c r="B85" s="160">
        <f>COUNTIF(A$1:A85,A85)</f>
        <v>4</v>
      </c>
      <c r="C85" s="160">
        <f t="shared" si="18"/>
        <v>101</v>
      </c>
      <c r="D85" s="159">
        <v>245</v>
      </c>
      <c r="E85" s="159">
        <f t="shared" si="19"/>
        <v>40</v>
      </c>
      <c r="F85" s="160">
        <f t="shared" si="20"/>
        <v>3</v>
      </c>
      <c r="G85" s="161">
        <f t="shared" si="12"/>
        <v>5902</v>
      </c>
      <c r="H85" s="159">
        <f t="shared" si="13"/>
        <v>4</v>
      </c>
      <c r="I85" s="159">
        <f t="shared" si="21"/>
        <v>6125</v>
      </c>
      <c r="J85" s="152">
        <f>VLOOKUP(A85,[2]filiation!A:C,3,FALSE)</f>
        <v>6</v>
      </c>
      <c r="K85" s="152">
        <f>VLOOKUP(J85,[2]Entourage!A:N,14,FALSE)</f>
        <v>3</v>
      </c>
      <c r="L85" s="152" t="str">
        <f t="shared" si="14"/>
        <v>辅助</v>
      </c>
      <c r="M85" s="152">
        <f>VLOOKUP(A85,[2]filiation!A:D,4,FALSE)</f>
        <v>5</v>
      </c>
      <c r="N85" s="152">
        <f>VLOOKUP(M85,[2]Entourage!A:N,14,FALSE)</f>
        <v>2</v>
      </c>
      <c r="O85" s="152" t="str">
        <f t="shared" si="15"/>
        <v>刺杀</v>
      </c>
      <c r="P85" s="152">
        <f t="shared" si="16"/>
        <v>101</v>
      </c>
      <c r="Q85" s="151">
        <f>INT(VLOOKUP(VLOOKUP(A85,[2]filiation!A:E,3,FALSE),[2]Entourage!A:AA,IF(C85=101,25,IF(C85=102,26,IF(C85=104,27))),FALSE)*VLOOKUP(N85,$AF$2:$AI$6,IF(C85=1,2,IF(C85=2,3,4)),FALSE)*VLOOKUP(B85,$AK$2:$AL$11,2,FALSE))</f>
        <v>300</v>
      </c>
      <c r="R85" s="153">
        <f>IFERROR(INDEX([3]ItemConfig!$BB:$BB,MATCH(G85,[3]ItemConfig!$A:$A,0))*H85,0)</f>
        <v>0</v>
      </c>
      <c r="S85" s="154" t="str">
        <f>VLOOKUP(J85,[2]Entourage!A:B,2,FALSE)</f>
        <v>风元素</v>
      </c>
      <c r="T85" s="151" t="str">
        <f>VLOOKUP(M85,[2]Entourage!A:B,2,FALSE)</f>
        <v>火元素</v>
      </c>
      <c r="U85" s="163"/>
      <c r="V85" s="147"/>
    </row>
    <row r="86" spans="1:22">
      <c r="A86" s="159">
        <f t="shared" si="17"/>
        <v>9</v>
      </c>
      <c r="B86" s="160">
        <f>COUNTIF(A$1:A86,A86)</f>
        <v>5</v>
      </c>
      <c r="C86" s="160">
        <f t="shared" si="18"/>
        <v>101</v>
      </c>
      <c r="D86" s="159">
        <v>306</v>
      </c>
      <c r="E86" s="159">
        <f t="shared" si="19"/>
        <v>50</v>
      </c>
      <c r="F86" s="160">
        <f t="shared" si="20"/>
        <v>3</v>
      </c>
      <c r="G86" s="161">
        <f t="shared" si="12"/>
        <v>5902</v>
      </c>
      <c r="H86" s="159">
        <f t="shared" si="13"/>
        <v>6</v>
      </c>
      <c r="I86" s="159">
        <f t="shared" si="21"/>
        <v>7650</v>
      </c>
      <c r="J86" s="152">
        <f>VLOOKUP(A86,[2]filiation!A:C,3,FALSE)</f>
        <v>6</v>
      </c>
      <c r="K86" s="152">
        <f>VLOOKUP(J86,[2]Entourage!A:N,14,FALSE)</f>
        <v>3</v>
      </c>
      <c r="L86" s="152" t="str">
        <f t="shared" si="14"/>
        <v>辅助</v>
      </c>
      <c r="M86" s="152">
        <f>VLOOKUP(A86,[2]filiation!A:D,4,FALSE)</f>
        <v>5</v>
      </c>
      <c r="N86" s="152">
        <f>VLOOKUP(M86,[2]Entourage!A:N,14,FALSE)</f>
        <v>2</v>
      </c>
      <c r="O86" s="152" t="str">
        <f t="shared" si="15"/>
        <v>刺杀</v>
      </c>
      <c r="P86" s="152">
        <f t="shared" si="16"/>
        <v>101</v>
      </c>
      <c r="Q86" s="151">
        <f>INT(VLOOKUP(VLOOKUP(A86,[2]filiation!A:E,3,FALSE),[2]Entourage!A:AA,IF(C86=101,25,IF(C86=102,26,IF(C86=104,27))),FALSE)*VLOOKUP(N86,$AF$2:$AI$6,IF(C86=1,2,IF(C86=2,3,4)),FALSE)*VLOOKUP(B86,$AK$2:$AL$11,2,FALSE))</f>
        <v>333</v>
      </c>
      <c r="R86" s="153">
        <f>IFERROR(INDEX([3]ItemConfig!$BB:$BB,MATCH(G86,[3]ItemConfig!$A:$A,0))*H86,0)</f>
        <v>0</v>
      </c>
      <c r="S86" s="154" t="str">
        <f>VLOOKUP(J86,[2]Entourage!A:B,2,FALSE)</f>
        <v>风元素</v>
      </c>
      <c r="T86" s="151" t="str">
        <f>VLOOKUP(M86,[2]Entourage!A:B,2,FALSE)</f>
        <v>火元素</v>
      </c>
      <c r="U86" s="163"/>
      <c r="V86" s="147"/>
    </row>
    <row r="87" spans="1:22">
      <c r="A87" s="159">
        <f t="shared" si="17"/>
        <v>9</v>
      </c>
      <c r="B87" s="160">
        <f>COUNTIF(A$1:A87,A87)</f>
        <v>6</v>
      </c>
      <c r="C87" s="160">
        <f t="shared" si="18"/>
        <v>101</v>
      </c>
      <c r="D87" s="159">
        <v>368</v>
      </c>
      <c r="E87" s="159">
        <f t="shared" si="19"/>
        <v>60</v>
      </c>
      <c r="F87" s="160">
        <f t="shared" si="20"/>
        <v>4</v>
      </c>
      <c r="G87" s="161">
        <f t="shared" si="12"/>
        <v>5902</v>
      </c>
      <c r="H87" s="159">
        <f t="shared" si="13"/>
        <v>8</v>
      </c>
      <c r="I87" s="159">
        <f t="shared" si="21"/>
        <v>9200</v>
      </c>
      <c r="J87" s="152">
        <f>VLOOKUP(A87,[2]filiation!A:C,3,FALSE)</f>
        <v>6</v>
      </c>
      <c r="K87" s="152">
        <f>VLOOKUP(J87,[2]Entourage!A:N,14,FALSE)</f>
        <v>3</v>
      </c>
      <c r="L87" s="152" t="str">
        <f t="shared" si="14"/>
        <v>辅助</v>
      </c>
      <c r="M87" s="152">
        <f>VLOOKUP(A87,[2]filiation!A:D,4,FALSE)</f>
        <v>5</v>
      </c>
      <c r="N87" s="152">
        <f>VLOOKUP(M87,[2]Entourage!A:N,14,FALSE)</f>
        <v>2</v>
      </c>
      <c r="O87" s="152" t="str">
        <f t="shared" si="15"/>
        <v>刺杀</v>
      </c>
      <c r="P87" s="152">
        <f t="shared" si="16"/>
        <v>101</v>
      </c>
      <c r="Q87" s="151">
        <f>INT(VLOOKUP(VLOOKUP(A87,[2]filiation!A:E,3,FALSE),[2]Entourage!A:AA,IF(C87=101,25,IF(C87=102,26,IF(C87=104,27))),FALSE)*VLOOKUP(N87,$AF$2:$AI$6,IF(C87=1,2,IF(C87=2,3,4)),FALSE)*VLOOKUP(B87,$AK$2:$AL$11,2,FALSE))</f>
        <v>374</v>
      </c>
      <c r="R87" s="153">
        <f>IFERROR(INDEX([3]ItemConfig!$BB:$BB,MATCH(G87,[3]ItemConfig!$A:$A,0))*H87,0)</f>
        <v>0</v>
      </c>
      <c r="S87" s="154" t="str">
        <f>VLOOKUP(J87,[2]Entourage!A:B,2,FALSE)</f>
        <v>风元素</v>
      </c>
      <c r="T87" s="151" t="str">
        <f>VLOOKUP(M87,[2]Entourage!A:B,2,FALSE)</f>
        <v>火元素</v>
      </c>
      <c r="U87" s="163"/>
      <c r="V87" s="147"/>
    </row>
    <row r="88" spans="1:22">
      <c r="A88" s="159">
        <f t="shared" si="17"/>
        <v>9</v>
      </c>
      <c r="B88" s="160">
        <f>COUNTIF(A$1:A88,A88)</f>
        <v>7</v>
      </c>
      <c r="C88" s="160">
        <f t="shared" si="18"/>
        <v>101</v>
      </c>
      <c r="D88" s="159">
        <v>429</v>
      </c>
      <c r="E88" s="159">
        <f t="shared" si="19"/>
        <v>70</v>
      </c>
      <c r="F88" s="160">
        <f t="shared" si="20"/>
        <v>4</v>
      </c>
      <c r="G88" s="161">
        <f t="shared" si="12"/>
        <v>5902</v>
      </c>
      <c r="H88" s="159">
        <f t="shared" si="13"/>
        <v>10</v>
      </c>
      <c r="I88" s="159">
        <f t="shared" si="21"/>
        <v>10725</v>
      </c>
      <c r="J88" s="152">
        <f>VLOOKUP(A88,[2]filiation!A:C,3,FALSE)</f>
        <v>6</v>
      </c>
      <c r="K88" s="152">
        <f>VLOOKUP(J88,[2]Entourage!A:N,14,FALSE)</f>
        <v>3</v>
      </c>
      <c r="L88" s="152" t="str">
        <f t="shared" si="14"/>
        <v>辅助</v>
      </c>
      <c r="M88" s="152">
        <f>VLOOKUP(A88,[2]filiation!A:D,4,FALSE)</f>
        <v>5</v>
      </c>
      <c r="N88" s="152">
        <f>VLOOKUP(M88,[2]Entourage!A:N,14,FALSE)</f>
        <v>2</v>
      </c>
      <c r="O88" s="152" t="str">
        <f t="shared" si="15"/>
        <v>刺杀</v>
      </c>
      <c r="P88" s="152">
        <f t="shared" si="16"/>
        <v>101</v>
      </c>
      <c r="Q88" s="151">
        <f>INT(VLOOKUP(VLOOKUP(A88,[2]filiation!A:E,3,FALSE),[2]Entourage!A:AA,IF(C88=101,25,IF(C88=102,26,IF(C88=104,27))),FALSE)*VLOOKUP(N88,$AF$2:$AI$6,IF(C88=1,2,IF(C88=2,3,4)),FALSE)*VLOOKUP(B88,$AK$2:$AL$11,2,FALSE))</f>
        <v>422</v>
      </c>
      <c r="R88" s="153">
        <f>IFERROR(INDEX([3]ItemConfig!$BB:$BB,MATCH(G88,[3]ItemConfig!$A:$A,0))*H88,0)</f>
        <v>0</v>
      </c>
      <c r="S88" s="154" t="str">
        <f>VLOOKUP(J88,[2]Entourage!A:B,2,FALSE)</f>
        <v>风元素</v>
      </c>
      <c r="T88" s="151" t="str">
        <f>VLOOKUP(M88,[2]Entourage!A:B,2,FALSE)</f>
        <v>火元素</v>
      </c>
      <c r="U88" s="163"/>
      <c r="V88" s="147"/>
    </row>
    <row r="89" spans="1:22">
      <c r="A89" s="159">
        <f t="shared" si="17"/>
        <v>9</v>
      </c>
      <c r="B89" s="160">
        <f>COUNTIF(A$1:A89,A89)</f>
        <v>8</v>
      </c>
      <c r="C89" s="160">
        <f t="shared" si="18"/>
        <v>101</v>
      </c>
      <c r="D89" s="159">
        <v>490</v>
      </c>
      <c r="E89" s="159">
        <f t="shared" si="19"/>
        <v>80</v>
      </c>
      <c r="F89" s="160">
        <f t="shared" si="20"/>
        <v>5</v>
      </c>
      <c r="G89" s="161">
        <f t="shared" si="12"/>
        <v>5902</v>
      </c>
      <c r="H89" s="159">
        <f t="shared" si="13"/>
        <v>12</v>
      </c>
      <c r="I89" s="159">
        <f t="shared" si="21"/>
        <v>12250</v>
      </c>
      <c r="J89" s="152">
        <f>VLOOKUP(A89,[2]filiation!A:C,3,FALSE)</f>
        <v>6</v>
      </c>
      <c r="K89" s="152">
        <f>VLOOKUP(J89,[2]Entourage!A:N,14,FALSE)</f>
        <v>3</v>
      </c>
      <c r="L89" s="152" t="str">
        <f t="shared" si="14"/>
        <v>辅助</v>
      </c>
      <c r="M89" s="152">
        <f>VLOOKUP(A89,[2]filiation!A:D,4,FALSE)</f>
        <v>5</v>
      </c>
      <c r="N89" s="152">
        <f>VLOOKUP(M89,[2]Entourage!A:N,14,FALSE)</f>
        <v>2</v>
      </c>
      <c r="O89" s="152" t="str">
        <f t="shared" si="15"/>
        <v>刺杀</v>
      </c>
      <c r="P89" s="152">
        <f t="shared" si="16"/>
        <v>101</v>
      </c>
      <c r="Q89" s="151">
        <f>INT(VLOOKUP(VLOOKUP(A89,[2]filiation!A:E,3,FALSE),[2]Entourage!A:AA,IF(C89=101,25,IF(C89=102,26,IF(C89=104,27))),FALSE)*VLOOKUP(N89,$AF$2:$AI$6,IF(C89=1,2,IF(C89=2,3,4)),FALSE)*VLOOKUP(B89,$AK$2:$AL$11,2,FALSE))</f>
        <v>478</v>
      </c>
      <c r="R89" s="153">
        <f>IFERROR(INDEX([3]ItemConfig!$BB:$BB,MATCH(G89,[3]ItemConfig!$A:$A,0))*H89,0)</f>
        <v>0</v>
      </c>
      <c r="S89" s="154" t="str">
        <f>VLOOKUP(J89,[2]Entourage!A:B,2,FALSE)</f>
        <v>风元素</v>
      </c>
      <c r="T89" s="151" t="str">
        <f>VLOOKUP(M89,[2]Entourage!A:B,2,FALSE)</f>
        <v>火元素</v>
      </c>
      <c r="U89" s="163"/>
      <c r="V89" s="147"/>
    </row>
    <row r="90" spans="1:22">
      <c r="A90" s="159">
        <f t="shared" si="17"/>
        <v>9</v>
      </c>
      <c r="B90" s="160">
        <f>COUNTIF(A$1:A90,A90)</f>
        <v>9</v>
      </c>
      <c r="C90" s="160">
        <f t="shared" si="18"/>
        <v>101</v>
      </c>
      <c r="D90" s="159">
        <v>551</v>
      </c>
      <c r="E90" s="159">
        <f t="shared" si="19"/>
        <v>90</v>
      </c>
      <c r="F90" s="160">
        <f t="shared" si="20"/>
        <v>5</v>
      </c>
      <c r="G90" s="161">
        <f t="shared" si="12"/>
        <v>5902</v>
      </c>
      <c r="H90" s="159">
        <f t="shared" si="13"/>
        <v>15</v>
      </c>
      <c r="I90" s="159">
        <f t="shared" si="21"/>
        <v>13775</v>
      </c>
      <c r="J90" s="152">
        <f>VLOOKUP(A90,[2]filiation!A:C,3,FALSE)</f>
        <v>6</v>
      </c>
      <c r="K90" s="152">
        <f>VLOOKUP(J90,[2]Entourage!A:N,14,FALSE)</f>
        <v>3</v>
      </c>
      <c r="L90" s="152" t="str">
        <f t="shared" si="14"/>
        <v>辅助</v>
      </c>
      <c r="M90" s="152">
        <f>VLOOKUP(A90,[2]filiation!A:D,4,FALSE)</f>
        <v>5</v>
      </c>
      <c r="N90" s="152">
        <f>VLOOKUP(M90,[2]Entourage!A:N,14,FALSE)</f>
        <v>2</v>
      </c>
      <c r="O90" s="152" t="str">
        <f t="shared" si="15"/>
        <v>刺杀</v>
      </c>
      <c r="P90" s="152">
        <f t="shared" si="16"/>
        <v>101</v>
      </c>
      <c r="Q90" s="151">
        <f>INT(VLOOKUP(VLOOKUP(A90,[2]filiation!A:E,3,FALSE),[2]Entourage!A:AA,IF(C90=101,25,IF(C90=102,26,IF(C90=104,27))),FALSE)*VLOOKUP(N90,$AF$2:$AI$6,IF(C90=1,2,IF(C90=2,3,4)),FALSE)*VLOOKUP(B90,$AK$2:$AL$11,2,FALSE))</f>
        <v>541</v>
      </c>
      <c r="R90" s="153">
        <f>IFERROR(INDEX([3]ItemConfig!$BB:$BB,MATCH(G90,[3]ItemConfig!$A:$A,0))*H90,0)</f>
        <v>0</v>
      </c>
      <c r="S90" s="154" t="str">
        <f>VLOOKUP(J90,[2]Entourage!A:B,2,FALSE)</f>
        <v>风元素</v>
      </c>
      <c r="T90" s="151" t="str">
        <f>VLOOKUP(M90,[2]Entourage!A:B,2,FALSE)</f>
        <v>火元素</v>
      </c>
      <c r="U90" s="163"/>
      <c r="V90" s="147"/>
    </row>
    <row r="91" spans="1:22">
      <c r="A91" s="159">
        <f t="shared" si="17"/>
        <v>9</v>
      </c>
      <c r="B91" s="160">
        <f>COUNTIF(A$1:A91,A91)</f>
        <v>10</v>
      </c>
      <c r="C91" s="160">
        <f t="shared" si="18"/>
        <v>101</v>
      </c>
      <c r="D91" s="159">
        <v>612</v>
      </c>
      <c r="E91" s="159">
        <f t="shared" si="19"/>
        <v>90</v>
      </c>
      <c r="F91" s="160">
        <f t="shared" si="20"/>
        <v>6</v>
      </c>
      <c r="G91" s="161">
        <f t="shared" si="12"/>
        <v>5902</v>
      </c>
      <c r="H91" s="159">
        <f t="shared" si="13"/>
        <v>18</v>
      </c>
      <c r="I91" s="159">
        <f t="shared" si="21"/>
        <v>15300</v>
      </c>
      <c r="J91" s="152">
        <f>VLOOKUP(A91,[2]filiation!A:C,3,FALSE)</f>
        <v>6</v>
      </c>
      <c r="K91" s="152">
        <f>VLOOKUP(J91,[2]Entourage!A:N,14,FALSE)</f>
        <v>3</v>
      </c>
      <c r="L91" s="152" t="str">
        <f t="shared" si="14"/>
        <v>辅助</v>
      </c>
      <c r="M91" s="152">
        <f>VLOOKUP(A91,[2]filiation!A:D,4,FALSE)</f>
        <v>5</v>
      </c>
      <c r="N91" s="152">
        <f>VLOOKUP(M91,[2]Entourage!A:N,14,FALSE)</f>
        <v>2</v>
      </c>
      <c r="O91" s="152" t="str">
        <f t="shared" si="15"/>
        <v>刺杀</v>
      </c>
      <c r="P91" s="152">
        <f t="shared" si="16"/>
        <v>101</v>
      </c>
      <c r="Q91" s="151">
        <f>INT(VLOOKUP(VLOOKUP(A91,[2]filiation!A:E,3,FALSE),[2]Entourage!A:AA,IF(C91=101,25,IF(C91=102,26,IF(C91=104,27))),FALSE)*VLOOKUP(N91,$AF$2:$AI$6,IF(C91=1,2,IF(C91=2,3,4)),FALSE)*VLOOKUP(B91,$AK$2:$AL$11,2,FALSE))</f>
        <v>612</v>
      </c>
      <c r="R91" s="153">
        <f>IFERROR(INDEX([3]ItemConfig!$BB:$BB,MATCH(G91,[3]ItemConfig!$A:$A,0))*H91,0)</f>
        <v>0</v>
      </c>
      <c r="S91" s="154" t="str">
        <f>VLOOKUP(J91,[2]Entourage!A:B,2,FALSE)</f>
        <v>风元素</v>
      </c>
      <c r="T91" s="151" t="str">
        <f>VLOOKUP(M91,[2]Entourage!A:B,2,FALSE)</f>
        <v>火元素</v>
      </c>
      <c r="U91" s="163"/>
      <c r="V91" s="147"/>
    </row>
    <row r="92" spans="1:22">
      <c r="A92" s="166">
        <f t="shared" si="17"/>
        <v>10</v>
      </c>
      <c r="B92" s="167">
        <f>COUNTIF(A$1:A92,A92)</f>
        <v>1</v>
      </c>
      <c r="C92" s="167">
        <f t="shared" si="18"/>
        <v>104</v>
      </c>
      <c r="D92" s="166">
        <v>1275</v>
      </c>
      <c r="E92" s="166">
        <f t="shared" si="19"/>
        <v>10</v>
      </c>
      <c r="F92" s="167">
        <f t="shared" si="20"/>
        <v>1</v>
      </c>
      <c r="G92" s="168">
        <f t="shared" si="12"/>
        <v>5902</v>
      </c>
      <c r="H92" s="166">
        <f t="shared" si="13"/>
        <v>1</v>
      </c>
      <c r="I92" s="166">
        <f t="shared" si="21"/>
        <v>1275</v>
      </c>
      <c r="J92" s="152">
        <f>VLOOKUP(A92,[2]filiation!A:C,3,FALSE)</f>
        <v>7</v>
      </c>
      <c r="K92" s="152">
        <f>VLOOKUP(J92,[2]Entourage!A:N,14,FALSE)</f>
        <v>1</v>
      </c>
      <c r="L92" s="152" t="str">
        <f t="shared" si="14"/>
        <v>战斗</v>
      </c>
      <c r="M92" s="152">
        <f>VLOOKUP(A92,[2]filiation!A:D,4,FALSE)</f>
        <v>8</v>
      </c>
      <c r="N92" s="152">
        <f>VLOOKUP(M92,[2]Entourage!A:N,14,FALSE)</f>
        <v>3</v>
      </c>
      <c r="O92" s="152" t="str">
        <f t="shared" si="15"/>
        <v>辅助</v>
      </c>
      <c r="P92" s="152">
        <f t="shared" si="16"/>
        <v>104</v>
      </c>
      <c r="Q92" s="151">
        <f>INT(VLOOKUP(VLOOKUP(A92,[2]filiation!A:E,3,FALSE),[2]Entourage!A:AA,IF(C92=101,25,IF(C92=102,26,IF(C92=104,27))),FALSE)*VLOOKUP(N92,$AF$2:$AI$6,IF(C92=1,2,IF(C92=2,3,4)),FALSE)*VLOOKUP(B92,$AK$2:$AL$11,2,FALSE))</f>
        <v>5100</v>
      </c>
      <c r="R92" s="153">
        <f>IFERROR(INDEX([3]ItemConfig!$BB:$BB,MATCH(G92,[3]ItemConfig!$A:$A,0))*H92,0)</f>
        <v>0</v>
      </c>
      <c r="S92" s="154" t="str">
        <f>VLOOKUP(J92,[2]Entourage!A:B,2,FALSE)</f>
        <v>拉格霍尔</v>
      </c>
      <c r="T92" s="151" t="str">
        <f>VLOOKUP(M92,[2]Entourage!A:B,2,FALSE)</f>
        <v>阿拉基</v>
      </c>
      <c r="U92" s="163"/>
      <c r="V92" s="147"/>
    </row>
    <row r="93" spans="1:22">
      <c r="A93" s="166">
        <f t="shared" si="17"/>
        <v>10</v>
      </c>
      <c r="B93" s="167">
        <f>COUNTIF(A$1:A93,A93)</f>
        <v>2</v>
      </c>
      <c r="C93" s="167">
        <f t="shared" si="18"/>
        <v>104</v>
      </c>
      <c r="D93" s="166">
        <v>2550</v>
      </c>
      <c r="E93" s="166">
        <f t="shared" si="19"/>
        <v>20</v>
      </c>
      <c r="F93" s="167">
        <f t="shared" si="20"/>
        <v>2</v>
      </c>
      <c r="G93" s="168">
        <f t="shared" si="12"/>
        <v>5902</v>
      </c>
      <c r="H93" s="166">
        <f t="shared" si="13"/>
        <v>2</v>
      </c>
      <c r="I93" s="166">
        <f t="shared" si="21"/>
        <v>2550</v>
      </c>
      <c r="J93" s="152">
        <f>VLOOKUP(A93,[2]filiation!A:C,3,FALSE)</f>
        <v>7</v>
      </c>
      <c r="K93" s="152">
        <f>VLOOKUP(J93,[2]Entourage!A:N,14,FALSE)</f>
        <v>1</v>
      </c>
      <c r="L93" s="152" t="str">
        <f t="shared" si="14"/>
        <v>战斗</v>
      </c>
      <c r="M93" s="152">
        <f>VLOOKUP(A93,[2]filiation!A:D,4,FALSE)</f>
        <v>8</v>
      </c>
      <c r="N93" s="152">
        <f>VLOOKUP(M93,[2]Entourage!A:N,14,FALSE)</f>
        <v>3</v>
      </c>
      <c r="O93" s="152" t="str">
        <f t="shared" si="15"/>
        <v>辅助</v>
      </c>
      <c r="P93" s="152">
        <f t="shared" si="16"/>
        <v>104</v>
      </c>
      <c r="Q93" s="151">
        <f>INT(VLOOKUP(VLOOKUP(A93,[2]filiation!A:E,3,FALSE),[2]Entourage!A:AA,IF(C93=101,25,IF(C93=102,26,IF(C93=104,27))),FALSE)*VLOOKUP(N93,$AF$2:$AI$6,IF(C93=1,2,IF(C93=2,3,4)),FALSE)*VLOOKUP(B93,$AK$2:$AL$11,2,FALSE))</f>
        <v>5331</v>
      </c>
      <c r="R93" s="153">
        <f>IFERROR(INDEX([3]ItemConfig!$BB:$BB,MATCH(G93,[3]ItemConfig!$A:$A,0))*H93,0)</f>
        <v>0</v>
      </c>
      <c r="S93" s="154" t="str">
        <f>VLOOKUP(J93,[2]Entourage!A:B,2,FALSE)</f>
        <v>拉格霍尔</v>
      </c>
      <c r="T93" s="151" t="str">
        <f>VLOOKUP(M93,[2]Entourage!A:B,2,FALSE)</f>
        <v>阿拉基</v>
      </c>
      <c r="U93" s="163"/>
      <c r="V93" s="147"/>
    </row>
    <row r="94" spans="1:22">
      <c r="A94" s="166">
        <f t="shared" si="17"/>
        <v>10</v>
      </c>
      <c r="B94" s="167">
        <f>COUNTIF(A$1:A94,A94)</f>
        <v>3</v>
      </c>
      <c r="C94" s="167">
        <f t="shared" si="18"/>
        <v>104</v>
      </c>
      <c r="D94" s="166">
        <v>3825</v>
      </c>
      <c r="E94" s="166">
        <f t="shared" si="19"/>
        <v>30</v>
      </c>
      <c r="F94" s="167">
        <f t="shared" si="20"/>
        <v>2</v>
      </c>
      <c r="G94" s="168">
        <f t="shared" si="12"/>
        <v>5902</v>
      </c>
      <c r="H94" s="166">
        <f t="shared" si="13"/>
        <v>3</v>
      </c>
      <c r="I94" s="166">
        <f t="shared" si="21"/>
        <v>3825</v>
      </c>
      <c r="J94" s="152">
        <f>VLOOKUP(A94,[2]filiation!A:C,3,FALSE)</f>
        <v>7</v>
      </c>
      <c r="K94" s="152">
        <f>VLOOKUP(J94,[2]Entourage!A:N,14,FALSE)</f>
        <v>1</v>
      </c>
      <c r="L94" s="152" t="str">
        <f t="shared" si="14"/>
        <v>战斗</v>
      </c>
      <c r="M94" s="152">
        <f>VLOOKUP(A94,[2]filiation!A:D,4,FALSE)</f>
        <v>8</v>
      </c>
      <c r="N94" s="152">
        <f>VLOOKUP(M94,[2]Entourage!A:N,14,FALSE)</f>
        <v>3</v>
      </c>
      <c r="O94" s="152" t="str">
        <f t="shared" si="15"/>
        <v>辅助</v>
      </c>
      <c r="P94" s="152">
        <f t="shared" si="16"/>
        <v>104</v>
      </c>
      <c r="Q94" s="151">
        <f>INT(VLOOKUP(VLOOKUP(A94,[2]filiation!A:E,3,FALSE),[2]Entourage!A:AA,IF(C94=101,25,IF(C94=102,26,IF(C94=104,27))),FALSE)*VLOOKUP(N94,$AF$2:$AI$6,IF(C94=1,2,IF(C94=2,3,4)),FALSE)*VLOOKUP(B94,$AK$2:$AL$11,2,FALSE))</f>
        <v>5718</v>
      </c>
      <c r="R94" s="153">
        <f>IFERROR(INDEX([3]ItemConfig!$BB:$BB,MATCH(G94,[3]ItemConfig!$A:$A,0))*H94,0)</f>
        <v>0</v>
      </c>
      <c r="S94" s="154" t="str">
        <f>VLOOKUP(J94,[2]Entourage!A:B,2,FALSE)</f>
        <v>拉格霍尔</v>
      </c>
      <c r="T94" s="151" t="str">
        <f>VLOOKUP(M94,[2]Entourage!A:B,2,FALSE)</f>
        <v>阿拉基</v>
      </c>
      <c r="U94" s="163"/>
      <c r="V94" s="147"/>
    </row>
    <row r="95" spans="1:22">
      <c r="A95" s="166">
        <f t="shared" si="17"/>
        <v>10</v>
      </c>
      <c r="B95" s="167">
        <f>COUNTIF(A$1:A95,A95)</f>
        <v>4</v>
      </c>
      <c r="C95" s="167">
        <f t="shared" si="18"/>
        <v>104</v>
      </c>
      <c r="D95" s="166">
        <v>5100</v>
      </c>
      <c r="E95" s="166">
        <f t="shared" si="19"/>
        <v>40</v>
      </c>
      <c r="F95" s="167">
        <f t="shared" si="20"/>
        <v>3</v>
      </c>
      <c r="G95" s="168">
        <f t="shared" si="12"/>
        <v>5902</v>
      </c>
      <c r="H95" s="166">
        <f t="shared" si="13"/>
        <v>4</v>
      </c>
      <c r="I95" s="166">
        <f t="shared" si="21"/>
        <v>5100</v>
      </c>
      <c r="J95" s="152">
        <f>VLOOKUP(A95,[2]filiation!A:C,3,FALSE)</f>
        <v>7</v>
      </c>
      <c r="K95" s="152">
        <f>VLOOKUP(J95,[2]Entourage!A:N,14,FALSE)</f>
        <v>1</v>
      </c>
      <c r="L95" s="152" t="str">
        <f t="shared" si="14"/>
        <v>战斗</v>
      </c>
      <c r="M95" s="152">
        <f>VLOOKUP(A95,[2]filiation!A:D,4,FALSE)</f>
        <v>8</v>
      </c>
      <c r="N95" s="152">
        <f>VLOOKUP(M95,[2]Entourage!A:N,14,FALSE)</f>
        <v>3</v>
      </c>
      <c r="O95" s="152" t="str">
        <f t="shared" si="15"/>
        <v>辅助</v>
      </c>
      <c r="P95" s="152">
        <f t="shared" si="16"/>
        <v>104</v>
      </c>
      <c r="Q95" s="151">
        <f>INT(VLOOKUP(VLOOKUP(A95,[2]filiation!A:E,3,FALSE),[2]Entourage!A:AA,IF(C95=101,25,IF(C95=102,26,IF(C95=104,27))),FALSE)*VLOOKUP(N95,$AF$2:$AI$6,IF(C95=1,2,IF(C95=2,3,4)),FALSE)*VLOOKUP(B95,$AK$2:$AL$11,2,FALSE))</f>
        <v>6259</v>
      </c>
      <c r="R95" s="153">
        <f>IFERROR(INDEX([3]ItemConfig!$BB:$BB,MATCH(G95,[3]ItemConfig!$A:$A,0))*H95,0)</f>
        <v>0</v>
      </c>
      <c r="S95" s="154" t="str">
        <f>VLOOKUP(J95,[2]Entourage!A:B,2,FALSE)</f>
        <v>拉格霍尔</v>
      </c>
      <c r="T95" s="151" t="str">
        <f>VLOOKUP(M95,[2]Entourage!A:B,2,FALSE)</f>
        <v>阿拉基</v>
      </c>
      <c r="U95" s="163"/>
      <c r="V95" s="147"/>
    </row>
    <row r="96" spans="1:22">
      <c r="A96" s="166">
        <f t="shared" si="17"/>
        <v>10</v>
      </c>
      <c r="B96" s="167">
        <f>COUNTIF(A$1:A96,A96)</f>
        <v>5</v>
      </c>
      <c r="C96" s="167">
        <f t="shared" si="18"/>
        <v>104</v>
      </c>
      <c r="D96" s="166">
        <v>6375</v>
      </c>
      <c r="E96" s="166">
        <f t="shared" si="19"/>
        <v>50</v>
      </c>
      <c r="F96" s="167">
        <f t="shared" si="20"/>
        <v>3</v>
      </c>
      <c r="G96" s="168">
        <f t="shared" si="12"/>
        <v>5902</v>
      </c>
      <c r="H96" s="166">
        <f t="shared" si="13"/>
        <v>6</v>
      </c>
      <c r="I96" s="166">
        <f t="shared" si="21"/>
        <v>6375</v>
      </c>
      <c r="J96" s="152">
        <f>VLOOKUP(A96,[2]filiation!A:C,3,FALSE)</f>
        <v>7</v>
      </c>
      <c r="K96" s="152">
        <f>VLOOKUP(J96,[2]Entourage!A:N,14,FALSE)</f>
        <v>1</v>
      </c>
      <c r="L96" s="152" t="str">
        <f t="shared" si="14"/>
        <v>战斗</v>
      </c>
      <c r="M96" s="152">
        <f>VLOOKUP(A96,[2]filiation!A:D,4,FALSE)</f>
        <v>8</v>
      </c>
      <c r="N96" s="152">
        <f>VLOOKUP(M96,[2]Entourage!A:N,14,FALSE)</f>
        <v>3</v>
      </c>
      <c r="O96" s="152" t="str">
        <f t="shared" si="15"/>
        <v>辅助</v>
      </c>
      <c r="P96" s="152">
        <f t="shared" si="16"/>
        <v>104</v>
      </c>
      <c r="Q96" s="151">
        <f>INT(VLOOKUP(VLOOKUP(A96,[2]filiation!A:E,3,FALSE),[2]Entourage!A:AA,IF(C96=101,25,IF(C96=102,26,IF(C96=104,27))),FALSE)*VLOOKUP(N96,$AF$2:$AI$6,IF(C96=1,2,IF(C96=2,3,4)),FALSE)*VLOOKUP(B96,$AK$2:$AL$11,2,FALSE))</f>
        <v>6954</v>
      </c>
      <c r="R96" s="153">
        <f>IFERROR(INDEX([3]ItemConfig!$BB:$BB,MATCH(G96,[3]ItemConfig!$A:$A,0))*H96,0)</f>
        <v>0</v>
      </c>
      <c r="S96" s="154" t="str">
        <f>VLOOKUP(J96,[2]Entourage!A:B,2,FALSE)</f>
        <v>拉格霍尔</v>
      </c>
      <c r="T96" s="151" t="str">
        <f>VLOOKUP(M96,[2]Entourage!A:B,2,FALSE)</f>
        <v>阿拉基</v>
      </c>
      <c r="U96" s="163"/>
      <c r="V96" s="147"/>
    </row>
    <row r="97" spans="1:22">
      <c r="A97" s="166">
        <f t="shared" si="17"/>
        <v>10</v>
      </c>
      <c r="B97" s="167">
        <f>COUNTIF(A$1:A97,A97)</f>
        <v>6</v>
      </c>
      <c r="C97" s="167">
        <f t="shared" si="18"/>
        <v>104</v>
      </c>
      <c r="D97" s="166">
        <v>7650</v>
      </c>
      <c r="E97" s="166">
        <f t="shared" si="19"/>
        <v>60</v>
      </c>
      <c r="F97" s="167">
        <f t="shared" si="20"/>
        <v>4</v>
      </c>
      <c r="G97" s="168">
        <f t="shared" si="12"/>
        <v>5902</v>
      </c>
      <c r="H97" s="166">
        <f t="shared" si="13"/>
        <v>8</v>
      </c>
      <c r="I97" s="166">
        <f t="shared" si="21"/>
        <v>7650</v>
      </c>
      <c r="J97" s="152">
        <f>VLOOKUP(A97,[2]filiation!A:C,3,FALSE)</f>
        <v>7</v>
      </c>
      <c r="K97" s="152">
        <f>VLOOKUP(J97,[2]Entourage!A:N,14,FALSE)</f>
        <v>1</v>
      </c>
      <c r="L97" s="152" t="str">
        <f t="shared" si="14"/>
        <v>战斗</v>
      </c>
      <c r="M97" s="152">
        <f>VLOOKUP(A97,[2]filiation!A:D,4,FALSE)</f>
        <v>8</v>
      </c>
      <c r="N97" s="152">
        <f>VLOOKUP(M97,[2]Entourage!A:N,14,FALSE)</f>
        <v>3</v>
      </c>
      <c r="O97" s="152" t="str">
        <f t="shared" si="15"/>
        <v>辅助</v>
      </c>
      <c r="P97" s="152">
        <f t="shared" si="16"/>
        <v>104</v>
      </c>
      <c r="Q97" s="151">
        <f>INT(VLOOKUP(VLOOKUP(A97,[2]filiation!A:E,3,FALSE),[2]Entourage!A:AA,IF(C97=101,25,IF(C97=102,26,IF(C97=104,27))),FALSE)*VLOOKUP(N97,$AF$2:$AI$6,IF(C97=1,2,IF(C97=2,3,4)),FALSE)*VLOOKUP(B97,$AK$2:$AL$11,2,FALSE))</f>
        <v>7804</v>
      </c>
      <c r="R97" s="153">
        <f>IFERROR(INDEX([3]ItemConfig!$BB:$BB,MATCH(G97,[3]ItemConfig!$A:$A,0))*H97,0)</f>
        <v>0</v>
      </c>
      <c r="S97" s="154" t="str">
        <f>VLOOKUP(J97,[2]Entourage!A:B,2,FALSE)</f>
        <v>拉格霍尔</v>
      </c>
      <c r="T97" s="151" t="str">
        <f>VLOOKUP(M97,[2]Entourage!A:B,2,FALSE)</f>
        <v>阿拉基</v>
      </c>
      <c r="U97" s="163"/>
      <c r="V97" s="147"/>
    </row>
    <row r="98" spans="1:22">
      <c r="A98" s="166">
        <f t="shared" si="17"/>
        <v>10</v>
      </c>
      <c r="B98" s="167">
        <f>COUNTIF(A$1:A98,A98)</f>
        <v>7</v>
      </c>
      <c r="C98" s="167">
        <f t="shared" si="18"/>
        <v>104</v>
      </c>
      <c r="D98" s="166">
        <v>8925</v>
      </c>
      <c r="E98" s="166">
        <f t="shared" si="19"/>
        <v>70</v>
      </c>
      <c r="F98" s="167">
        <f t="shared" si="20"/>
        <v>4</v>
      </c>
      <c r="G98" s="168">
        <f t="shared" si="12"/>
        <v>5902</v>
      </c>
      <c r="H98" s="166">
        <f t="shared" si="13"/>
        <v>10</v>
      </c>
      <c r="I98" s="166">
        <f t="shared" si="21"/>
        <v>8925</v>
      </c>
      <c r="J98" s="152">
        <f>VLOOKUP(A98,[2]filiation!A:C,3,FALSE)</f>
        <v>7</v>
      </c>
      <c r="K98" s="152">
        <f>VLOOKUP(J98,[2]Entourage!A:N,14,FALSE)</f>
        <v>1</v>
      </c>
      <c r="L98" s="152" t="str">
        <f t="shared" si="14"/>
        <v>战斗</v>
      </c>
      <c r="M98" s="152">
        <f>VLOOKUP(A98,[2]filiation!A:D,4,FALSE)</f>
        <v>8</v>
      </c>
      <c r="N98" s="152">
        <f>VLOOKUP(M98,[2]Entourage!A:N,14,FALSE)</f>
        <v>3</v>
      </c>
      <c r="O98" s="152" t="str">
        <f t="shared" si="15"/>
        <v>辅助</v>
      </c>
      <c r="P98" s="152">
        <f t="shared" si="16"/>
        <v>104</v>
      </c>
      <c r="Q98" s="151">
        <f>INT(VLOOKUP(VLOOKUP(A98,[2]filiation!A:E,3,FALSE),[2]Entourage!A:AA,IF(C98=101,25,IF(C98=102,26,IF(C98=104,27))),FALSE)*VLOOKUP(N98,$AF$2:$AI$6,IF(C98=1,2,IF(C98=2,3,4)),FALSE)*VLOOKUP(B98,$AK$2:$AL$11,2,FALSE))</f>
        <v>8809</v>
      </c>
      <c r="R98" s="153">
        <f>IFERROR(INDEX([3]ItemConfig!$BB:$BB,MATCH(G98,[3]ItemConfig!$A:$A,0))*H98,0)</f>
        <v>0</v>
      </c>
      <c r="S98" s="154" t="str">
        <f>VLOOKUP(J98,[2]Entourage!A:B,2,FALSE)</f>
        <v>拉格霍尔</v>
      </c>
      <c r="T98" s="151" t="str">
        <f>VLOOKUP(M98,[2]Entourage!A:B,2,FALSE)</f>
        <v>阿拉基</v>
      </c>
      <c r="U98" s="163"/>
      <c r="V98" s="147"/>
    </row>
    <row r="99" spans="1:22">
      <c r="A99" s="166">
        <f t="shared" si="17"/>
        <v>10</v>
      </c>
      <c r="B99" s="167">
        <f>COUNTIF(A$1:A99,A99)</f>
        <v>8</v>
      </c>
      <c r="C99" s="167">
        <f t="shared" si="18"/>
        <v>104</v>
      </c>
      <c r="D99" s="166">
        <v>10200</v>
      </c>
      <c r="E99" s="166">
        <f t="shared" si="19"/>
        <v>80</v>
      </c>
      <c r="F99" s="167">
        <f t="shared" si="20"/>
        <v>5</v>
      </c>
      <c r="G99" s="168">
        <f t="shared" si="12"/>
        <v>5902</v>
      </c>
      <c r="H99" s="166">
        <f t="shared" si="13"/>
        <v>12</v>
      </c>
      <c r="I99" s="166">
        <f t="shared" si="21"/>
        <v>10200</v>
      </c>
      <c r="J99" s="152">
        <f>VLOOKUP(A99,[2]filiation!A:C,3,FALSE)</f>
        <v>7</v>
      </c>
      <c r="K99" s="152">
        <f>VLOOKUP(J99,[2]Entourage!A:N,14,FALSE)</f>
        <v>1</v>
      </c>
      <c r="L99" s="152" t="str">
        <f t="shared" si="14"/>
        <v>战斗</v>
      </c>
      <c r="M99" s="152">
        <f>VLOOKUP(A99,[2]filiation!A:D,4,FALSE)</f>
        <v>8</v>
      </c>
      <c r="N99" s="152">
        <f>VLOOKUP(M99,[2]Entourage!A:N,14,FALSE)</f>
        <v>3</v>
      </c>
      <c r="O99" s="152" t="str">
        <f t="shared" si="15"/>
        <v>辅助</v>
      </c>
      <c r="P99" s="152">
        <f t="shared" si="16"/>
        <v>104</v>
      </c>
      <c r="Q99" s="151">
        <f>INT(VLOOKUP(VLOOKUP(A99,[2]filiation!A:E,3,FALSE),[2]Entourage!A:AA,IF(C99=101,25,IF(C99=102,26,IF(C99=104,27))),FALSE)*VLOOKUP(N99,$AF$2:$AI$6,IF(C99=1,2,IF(C99=2,3,4)),FALSE)*VLOOKUP(B99,$AK$2:$AL$11,2,FALSE))</f>
        <v>9968</v>
      </c>
      <c r="R99" s="153">
        <f>IFERROR(INDEX([3]ItemConfig!$BB:$BB,MATCH(G99,[3]ItemConfig!$A:$A,0))*H99,0)</f>
        <v>0</v>
      </c>
      <c r="S99" s="154" t="str">
        <f>VLOOKUP(J99,[2]Entourage!A:B,2,FALSE)</f>
        <v>拉格霍尔</v>
      </c>
      <c r="T99" s="151" t="str">
        <f>VLOOKUP(M99,[2]Entourage!A:B,2,FALSE)</f>
        <v>阿拉基</v>
      </c>
      <c r="U99" s="163"/>
      <c r="V99" s="147"/>
    </row>
    <row r="100" spans="1:22">
      <c r="A100" s="166">
        <f t="shared" si="17"/>
        <v>10</v>
      </c>
      <c r="B100" s="167">
        <f>COUNTIF(A$1:A100,A100)</f>
        <v>9</v>
      </c>
      <c r="C100" s="167">
        <f t="shared" si="18"/>
        <v>104</v>
      </c>
      <c r="D100" s="166">
        <v>11475</v>
      </c>
      <c r="E100" s="166">
        <f t="shared" si="19"/>
        <v>90</v>
      </c>
      <c r="F100" s="167">
        <f t="shared" si="20"/>
        <v>5</v>
      </c>
      <c r="G100" s="168">
        <f t="shared" si="12"/>
        <v>5902</v>
      </c>
      <c r="H100" s="166">
        <f t="shared" si="13"/>
        <v>15</v>
      </c>
      <c r="I100" s="166">
        <f t="shared" si="21"/>
        <v>11475</v>
      </c>
      <c r="J100" s="152">
        <f>VLOOKUP(A100,[2]filiation!A:C,3,FALSE)</f>
        <v>7</v>
      </c>
      <c r="K100" s="152">
        <f>VLOOKUP(J100,[2]Entourage!A:N,14,FALSE)</f>
        <v>1</v>
      </c>
      <c r="L100" s="152" t="str">
        <f t="shared" si="14"/>
        <v>战斗</v>
      </c>
      <c r="M100" s="152">
        <f>VLOOKUP(A100,[2]filiation!A:D,4,FALSE)</f>
        <v>8</v>
      </c>
      <c r="N100" s="152">
        <f>VLOOKUP(M100,[2]Entourage!A:N,14,FALSE)</f>
        <v>3</v>
      </c>
      <c r="O100" s="152" t="str">
        <f t="shared" si="15"/>
        <v>辅助</v>
      </c>
      <c r="P100" s="152">
        <f t="shared" si="16"/>
        <v>104</v>
      </c>
      <c r="Q100" s="151">
        <f>INT(VLOOKUP(VLOOKUP(A100,[2]filiation!A:E,3,FALSE),[2]Entourage!A:AA,IF(C100=101,25,IF(C100=102,26,IF(C100=104,27))),FALSE)*VLOOKUP(N100,$AF$2:$AI$6,IF(C100=1,2,IF(C100=2,3,4)),FALSE)*VLOOKUP(B100,$AK$2:$AL$11,2,FALSE))</f>
        <v>11281</v>
      </c>
      <c r="R100" s="153">
        <f>IFERROR(INDEX([3]ItemConfig!$BB:$BB,MATCH(G100,[3]ItemConfig!$A:$A,0))*H100,0)</f>
        <v>0</v>
      </c>
      <c r="S100" s="154" t="str">
        <f>VLOOKUP(J100,[2]Entourage!A:B,2,FALSE)</f>
        <v>拉格霍尔</v>
      </c>
      <c r="T100" s="151" t="str">
        <f>VLOOKUP(M100,[2]Entourage!A:B,2,FALSE)</f>
        <v>阿拉基</v>
      </c>
      <c r="U100" s="163"/>
      <c r="V100" s="147"/>
    </row>
    <row r="101" spans="1:22">
      <c r="A101" s="166">
        <f t="shared" si="17"/>
        <v>10</v>
      </c>
      <c r="B101" s="167">
        <f>COUNTIF(A$1:A101,A101)</f>
        <v>10</v>
      </c>
      <c r="C101" s="167">
        <f t="shared" si="18"/>
        <v>104</v>
      </c>
      <c r="D101" s="166">
        <v>12750</v>
      </c>
      <c r="E101" s="166">
        <f t="shared" si="19"/>
        <v>90</v>
      </c>
      <c r="F101" s="167">
        <f t="shared" si="20"/>
        <v>6</v>
      </c>
      <c r="G101" s="168">
        <f t="shared" si="12"/>
        <v>5902</v>
      </c>
      <c r="H101" s="166">
        <f t="shared" si="13"/>
        <v>18</v>
      </c>
      <c r="I101" s="166">
        <f t="shared" si="21"/>
        <v>12750</v>
      </c>
      <c r="J101" s="152">
        <f>VLOOKUP(A101,[2]filiation!A:C,3,FALSE)</f>
        <v>7</v>
      </c>
      <c r="K101" s="152">
        <f>VLOOKUP(J101,[2]Entourage!A:N,14,FALSE)</f>
        <v>1</v>
      </c>
      <c r="L101" s="152" t="str">
        <f t="shared" si="14"/>
        <v>战斗</v>
      </c>
      <c r="M101" s="152">
        <f>VLOOKUP(A101,[2]filiation!A:D,4,FALSE)</f>
        <v>8</v>
      </c>
      <c r="N101" s="152">
        <f>VLOOKUP(M101,[2]Entourage!A:N,14,FALSE)</f>
        <v>3</v>
      </c>
      <c r="O101" s="152" t="str">
        <f t="shared" si="15"/>
        <v>辅助</v>
      </c>
      <c r="P101" s="152">
        <f t="shared" si="16"/>
        <v>104</v>
      </c>
      <c r="Q101" s="151">
        <f>INT(VLOOKUP(VLOOKUP(A101,[2]filiation!A:E,3,FALSE),[2]Entourage!A:AA,IF(C101=101,25,IF(C101=102,26,IF(C101=104,27))),FALSE)*VLOOKUP(N101,$AF$2:$AI$6,IF(C101=1,2,IF(C101=2,3,4)),FALSE)*VLOOKUP(B101,$AK$2:$AL$11,2,FALSE))</f>
        <v>12750</v>
      </c>
      <c r="R101" s="153">
        <f>IFERROR(INDEX([3]ItemConfig!$BB:$BB,MATCH(G101,[3]ItemConfig!$A:$A,0))*H101,0)</f>
        <v>0</v>
      </c>
      <c r="S101" s="154" t="str">
        <f>VLOOKUP(J101,[2]Entourage!A:B,2,FALSE)</f>
        <v>拉格霍尔</v>
      </c>
      <c r="T101" s="151" t="str">
        <f>VLOOKUP(M101,[2]Entourage!A:B,2,FALSE)</f>
        <v>阿拉基</v>
      </c>
      <c r="U101" s="163"/>
      <c r="V101" s="147"/>
    </row>
    <row r="102" spans="1:22">
      <c r="A102" s="159">
        <f t="shared" si="17"/>
        <v>11</v>
      </c>
      <c r="B102" s="160">
        <f>COUNTIF(A$1:A102,A102)</f>
        <v>1</v>
      </c>
      <c r="C102" s="160">
        <f t="shared" si="18"/>
        <v>102</v>
      </c>
      <c r="D102" s="159">
        <v>75</v>
      </c>
      <c r="E102" s="159">
        <f t="shared" si="19"/>
        <v>10</v>
      </c>
      <c r="F102" s="160">
        <f t="shared" si="20"/>
        <v>1</v>
      </c>
      <c r="G102" s="161">
        <f t="shared" si="12"/>
        <v>5902</v>
      </c>
      <c r="H102" s="159">
        <f t="shared" si="13"/>
        <v>1</v>
      </c>
      <c r="I102" s="159">
        <f t="shared" si="21"/>
        <v>1875</v>
      </c>
      <c r="J102" s="152">
        <f>VLOOKUP(A102,[2]filiation!A:C,3,FALSE)</f>
        <v>7</v>
      </c>
      <c r="K102" s="152">
        <f>VLOOKUP(J102,[2]Entourage!A:N,14,FALSE)</f>
        <v>1</v>
      </c>
      <c r="L102" s="152" t="str">
        <f t="shared" si="14"/>
        <v>战斗</v>
      </c>
      <c r="M102" s="152">
        <f>VLOOKUP(A102,[2]filiation!A:D,4,FALSE)</f>
        <v>16</v>
      </c>
      <c r="N102" s="152">
        <f>VLOOKUP(M102,[2]Entourage!A:N,14,FALSE)</f>
        <v>1</v>
      </c>
      <c r="O102" s="152" t="str">
        <f t="shared" si="15"/>
        <v>战斗</v>
      </c>
      <c r="P102" s="152">
        <f t="shared" si="16"/>
        <v>102</v>
      </c>
      <c r="Q102" s="151">
        <f>INT(VLOOKUP(VLOOKUP(A102,[2]filiation!A:E,3,FALSE),[2]Entourage!A:AA,IF(C102=101,25,IF(C102=102,26,IF(C102=104,27))),FALSE)*VLOOKUP(N102,$AF$2:$AI$6,IF(C102=1,2,IF(C102=2,3,4)),FALSE)*VLOOKUP(B102,$AK$2:$AL$11,2,FALSE))</f>
        <v>298</v>
      </c>
      <c r="R102" s="153">
        <f>IFERROR(INDEX([3]ItemConfig!$BB:$BB,MATCH(G102,[3]ItemConfig!$A:$A,0))*H102,0)</f>
        <v>0</v>
      </c>
      <c r="S102" s="154" t="str">
        <f>VLOOKUP(J102,[2]Entourage!A:B,2,FALSE)</f>
        <v>拉格霍尔</v>
      </c>
      <c r="T102" s="151" t="str">
        <f>VLOOKUP(M102,[2]Entourage!A:B,2,FALSE)</f>
        <v>范克利刃</v>
      </c>
      <c r="U102" s="163"/>
      <c r="V102" s="147"/>
    </row>
    <row r="103" spans="1:22">
      <c r="A103" s="159">
        <f t="shared" si="17"/>
        <v>11</v>
      </c>
      <c r="B103" s="160">
        <f>COUNTIF(A$1:A103,A103)</f>
        <v>2</v>
      </c>
      <c r="C103" s="160">
        <f t="shared" si="18"/>
        <v>102</v>
      </c>
      <c r="D103" s="159">
        <v>150</v>
      </c>
      <c r="E103" s="159">
        <f t="shared" si="19"/>
        <v>20</v>
      </c>
      <c r="F103" s="160">
        <f t="shared" si="20"/>
        <v>2</v>
      </c>
      <c r="G103" s="161">
        <f t="shared" si="12"/>
        <v>5902</v>
      </c>
      <c r="H103" s="159">
        <f t="shared" si="13"/>
        <v>2</v>
      </c>
      <c r="I103" s="159">
        <f t="shared" si="21"/>
        <v>3750</v>
      </c>
      <c r="J103" s="152">
        <f>VLOOKUP(A103,[2]filiation!A:C,3,FALSE)</f>
        <v>7</v>
      </c>
      <c r="K103" s="152">
        <f>VLOOKUP(J103,[2]Entourage!A:N,14,FALSE)</f>
        <v>1</v>
      </c>
      <c r="L103" s="152" t="str">
        <f t="shared" si="14"/>
        <v>战斗</v>
      </c>
      <c r="M103" s="152">
        <f>VLOOKUP(A103,[2]filiation!A:D,4,FALSE)</f>
        <v>16</v>
      </c>
      <c r="N103" s="152">
        <f>VLOOKUP(M103,[2]Entourage!A:N,14,FALSE)</f>
        <v>1</v>
      </c>
      <c r="O103" s="152" t="str">
        <f t="shared" si="15"/>
        <v>战斗</v>
      </c>
      <c r="P103" s="152">
        <f t="shared" si="16"/>
        <v>102</v>
      </c>
      <c r="Q103" s="151">
        <f>INT(VLOOKUP(VLOOKUP(A103,[2]filiation!A:E,3,FALSE),[2]Entourage!A:AA,IF(C103=101,25,IF(C103=102,26,IF(C103=104,27))),FALSE)*VLOOKUP(N103,$AF$2:$AI$6,IF(C103=1,2,IF(C103=2,3,4)),FALSE)*VLOOKUP(B103,$AK$2:$AL$11,2,FALSE))</f>
        <v>312</v>
      </c>
      <c r="R103" s="153">
        <f>IFERROR(INDEX([3]ItemConfig!$BB:$BB,MATCH(G103,[3]ItemConfig!$A:$A,0))*H103,0)</f>
        <v>0</v>
      </c>
      <c r="S103" s="154" t="str">
        <f>VLOOKUP(J103,[2]Entourage!A:B,2,FALSE)</f>
        <v>拉格霍尔</v>
      </c>
      <c r="T103" s="151" t="str">
        <f>VLOOKUP(M103,[2]Entourage!A:B,2,FALSE)</f>
        <v>范克利刃</v>
      </c>
      <c r="U103" s="163"/>
      <c r="V103" s="147"/>
    </row>
    <row r="104" spans="1:22">
      <c r="A104" s="159">
        <f t="shared" si="17"/>
        <v>11</v>
      </c>
      <c r="B104" s="160">
        <f>COUNTIF(A$1:A104,A104)</f>
        <v>3</v>
      </c>
      <c r="C104" s="160">
        <f t="shared" si="18"/>
        <v>102</v>
      </c>
      <c r="D104" s="159">
        <v>224</v>
      </c>
      <c r="E104" s="159">
        <f t="shared" si="19"/>
        <v>30</v>
      </c>
      <c r="F104" s="160">
        <f t="shared" si="20"/>
        <v>2</v>
      </c>
      <c r="G104" s="161">
        <f t="shared" si="12"/>
        <v>5902</v>
      </c>
      <c r="H104" s="159">
        <f t="shared" si="13"/>
        <v>3</v>
      </c>
      <c r="I104" s="159">
        <f t="shared" si="21"/>
        <v>5600</v>
      </c>
      <c r="J104" s="152">
        <f>VLOOKUP(A104,[2]filiation!A:C,3,FALSE)</f>
        <v>7</v>
      </c>
      <c r="K104" s="152">
        <f>VLOOKUP(J104,[2]Entourage!A:N,14,FALSE)</f>
        <v>1</v>
      </c>
      <c r="L104" s="152" t="str">
        <f t="shared" si="14"/>
        <v>战斗</v>
      </c>
      <c r="M104" s="152">
        <f>VLOOKUP(A104,[2]filiation!A:D,4,FALSE)</f>
        <v>16</v>
      </c>
      <c r="N104" s="152">
        <f>VLOOKUP(M104,[2]Entourage!A:N,14,FALSE)</f>
        <v>1</v>
      </c>
      <c r="O104" s="152" t="str">
        <f t="shared" si="15"/>
        <v>战斗</v>
      </c>
      <c r="P104" s="152">
        <f t="shared" si="16"/>
        <v>102</v>
      </c>
      <c r="Q104" s="151">
        <f>INT(VLOOKUP(VLOOKUP(A104,[2]filiation!A:E,3,FALSE),[2]Entourage!A:AA,IF(C104=101,25,IF(C104=102,26,IF(C104=104,27))),FALSE)*VLOOKUP(N104,$AF$2:$AI$6,IF(C104=1,2,IF(C104=2,3,4)),FALSE)*VLOOKUP(B104,$AK$2:$AL$11,2,FALSE))</f>
        <v>334</v>
      </c>
      <c r="R104" s="153">
        <f>IFERROR(INDEX([3]ItemConfig!$BB:$BB,MATCH(G104,[3]ItemConfig!$A:$A,0))*H104,0)</f>
        <v>0</v>
      </c>
      <c r="S104" s="154" t="str">
        <f>VLOOKUP(J104,[2]Entourage!A:B,2,FALSE)</f>
        <v>拉格霍尔</v>
      </c>
      <c r="T104" s="151" t="str">
        <f>VLOOKUP(M104,[2]Entourage!A:B,2,FALSE)</f>
        <v>范克利刃</v>
      </c>
      <c r="U104" s="163"/>
      <c r="V104" s="147"/>
    </row>
    <row r="105" spans="1:22">
      <c r="A105" s="159">
        <f t="shared" si="17"/>
        <v>11</v>
      </c>
      <c r="B105" s="160">
        <f>COUNTIF(A$1:A105,A105)</f>
        <v>4</v>
      </c>
      <c r="C105" s="160">
        <f t="shared" si="18"/>
        <v>102</v>
      </c>
      <c r="D105" s="159">
        <v>299</v>
      </c>
      <c r="E105" s="159">
        <f t="shared" si="19"/>
        <v>40</v>
      </c>
      <c r="F105" s="160">
        <f t="shared" si="20"/>
        <v>3</v>
      </c>
      <c r="G105" s="161">
        <f t="shared" si="12"/>
        <v>5902</v>
      </c>
      <c r="H105" s="159">
        <f t="shared" si="13"/>
        <v>4</v>
      </c>
      <c r="I105" s="159">
        <f t="shared" si="21"/>
        <v>7475</v>
      </c>
      <c r="J105" s="152">
        <f>VLOOKUP(A105,[2]filiation!A:C,3,FALSE)</f>
        <v>7</v>
      </c>
      <c r="K105" s="152">
        <f>VLOOKUP(J105,[2]Entourage!A:N,14,FALSE)</f>
        <v>1</v>
      </c>
      <c r="L105" s="152" t="str">
        <f t="shared" si="14"/>
        <v>战斗</v>
      </c>
      <c r="M105" s="152">
        <f>VLOOKUP(A105,[2]filiation!A:D,4,FALSE)</f>
        <v>16</v>
      </c>
      <c r="N105" s="152">
        <f>VLOOKUP(M105,[2]Entourage!A:N,14,FALSE)</f>
        <v>1</v>
      </c>
      <c r="O105" s="152" t="str">
        <f t="shared" si="15"/>
        <v>战斗</v>
      </c>
      <c r="P105" s="152">
        <f t="shared" si="16"/>
        <v>102</v>
      </c>
      <c r="Q105" s="151">
        <f>INT(VLOOKUP(VLOOKUP(A105,[2]filiation!A:E,3,FALSE),[2]Entourage!A:AA,IF(C105=101,25,IF(C105=102,26,IF(C105=104,27))),FALSE)*VLOOKUP(N105,$AF$2:$AI$6,IF(C105=1,2,IF(C105=2,3,4)),FALSE)*VLOOKUP(B105,$AK$2:$AL$11,2,FALSE))</f>
        <v>366</v>
      </c>
      <c r="R105" s="153">
        <f>IFERROR(INDEX([3]ItemConfig!$BB:$BB,MATCH(G105,[3]ItemConfig!$A:$A,0))*H105,0)</f>
        <v>0</v>
      </c>
      <c r="S105" s="154" t="str">
        <f>VLOOKUP(J105,[2]Entourage!A:B,2,FALSE)</f>
        <v>拉格霍尔</v>
      </c>
      <c r="T105" s="151" t="str">
        <f>VLOOKUP(M105,[2]Entourage!A:B,2,FALSE)</f>
        <v>范克利刃</v>
      </c>
      <c r="U105" s="163"/>
      <c r="V105" s="147"/>
    </row>
    <row r="106" spans="1:22">
      <c r="A106" s="159">
        <f t="shared" si="17"/>
        <v>11</v>
      </c>
      <c r="B106" s="160">
        <f>COUNTIF(A$1:A106,A106)</f>
        <v>5</v>
      </c>
      <c r="C106" s="160">
        <f t="shared" si="18"/>
        <v>102</v>
      </c>
      <c r="D106" s="159">
        <v>373</v>
      </c>
      <c r="E106" s="159">
        <f t="shared" si="19"/>
        <v>50</v>
      </c>
      <c r="F106" s="160">
        <f t="shared" si="20"/>
        <v>3</v>
      </c>
      <c r="G106" s="161">
        <f t="shared" si="12"/>
        <v>5902</v>
      </c>
      <c r="H106" s="159">
        <f t="shared" si="13"/>
        <v>6</v>
      </c>
      <c r="I106" s="159">
        <f t="shared" si="21"/>
        <v>9325</v>
      </c>
      <c r="J106" s="152">
        <f>VLOOKUP(A106,[2]filiation!A:C,3,FALSE)</f>
        <v>7</v>
      </c>
      <c r="K106" s="152">
        <f>VLOOKUP(J106,[2]Entourage!A:N,14,FALSE)</f>
        <v>1</v>
      </c>
      <c r="L106" s="152" t="str">
        <f t="shared" si="14"/>
        <v>战斗</v>
      </c>
      <c r="M106" s="152">
        <f>VLOOKUP(A106,[2]filiation!A:D,4,FALSE)</f>
        <v>16</v>
      </c>
      <c r="N106" s="152">
        <f>VLOOKUP(M106,[2]Entourage!A:N,14,FALSE)</f>
        <v>1</v>
      </c>
      <c r="O106" s="152" t="str">
        <f t="shared" si="15"/>
        <v>战斗</v>
      </c>
      <c r="P106" s="152">
        <f t="shared" si="16"/>
        <v>102</v>
      </c>
      <c r="Q106" s="151">
        <f>INT(VLOOKUP(VLOOKUP(A106,[2]filiation!A:E,3,FALSE),[2]Entourage!A:AA,IF(C106=101,25,IF(C106=102,26,IF(C106=104,27))),FALSE)*VLOOKUP(N106,$AF$2:$AI$6,IF(C106=1,2,IF(C106=2,3,4)),FALSE)*VLOOKUP(B106,$AK$2:$AL$11,2,FALSE))</f>
        <v>407</v>
      </c>
      <c r="R106" s="153">
        <f>IFERROR(INDEX([3]ItemConfig!$BB:$BB,MATCH(G106,[3]ItemConfig!$A:$A,0))*H106,0)</f>
        <v>0</v>
      </c>
      <c r="S106" s="154" t="str">
        <f>VLOOKUP(J106,[2]Entourage!A:B,2,FALSE)</f>
        <v>拉格霍尔</v>
      </c>
      <c r="T106" s="151" t="str">
        <f>VLOOKUP(M106,[2]Entourage!A:B,2,FALSE)</f>
        <v>范克利刃</v>
      </c>
      <c r="U106" s="163"/>
      <c r="V106" s="147"/>
    </row>
    <row r="107" spans="1:22">
      <c r="A107" s="159">
        <f t="shared" si="17"/>
        <v>11</v>
      </c>
      <c r="B107" s="160">
        <f>COUNTIF(A$1:A107,A107)</f>
        <v>6</v>
      </c>
      <c r="C107" s="160">
        <f t="shared" si="18"/>
        <v>102</v>
      </c>
      <c r="D107" s="159">
        <v>448</v>
      </c>
      <c r="E107" s="159">
        <f t="shared" si="19"/>
        <v>60</v>
      </c>
      <c r="F107" s="160">
        <f t="shared" si="20"/>
        <v>4</v>
      </c>
      <c r="G107" s="161">
        <f t="shared" si="12"/>
        <v>5902</v>
      </c>
      <c r="H107" s="159">
        <f t="shared" si="13"/>
        <v>8</v>
      </c>
      <c r="I107" s="159">
        <f t="shared" si="21"/>
        <v>11200</v>
      </c>
      <c r="J107" s="152">
        <f>VLOOKUP(A107,[2]filiation!A:C,3,FALSE)</f>
        <v>7</v>
      </c>
      <c r="K107" s="152">
        <f>VLOOKUP(J107,[2]Entourage!A:N,14,FALSE)</f>
        <v>1</v>
      </c>
      <c r="L107" s="152" t="str">
        <f t="shared" si="14"/>
        <v>战斗</v>
      </c>
      <c r="M107" s="152">
        <f>VLOOKUP(A107,[2]filiation!A:D,4,FALSE)</f>
        <v>16</v>
      </c>
      <c r="N107" s="152">
        <f>VLOOKUP(M107,[2]Entourage!A:N,14,FALSE)</f>
        <v>1</v>
      </c>
      <c r="O107" s="152" t="str">
        <f t="shared" si="15"/>
        <v>战斗</v>
      </c>
      <c r="P107" s="152">
        <f t="shared" si="16"/>
        <v>102</v>
      </c>
      <c r="Q107" s="151">
        <f>INT(VLOOKUP(VLOOKUP(A107,[2]filiation!A:E,3,FALSE),[2]Entourage!A:AA,IF(C107=101,25,IF(C107=102,26,IF(C107=104,27))),FALSE)*VLOOKUP(N107,$AF$2:$AI$6,IF(C107=1,2,IF(C107=2,3,4)),FALSE)*VLOOKUP(B107,$AK$2:$AL$11,2,FALSE))</f>
        <v>456</v>
      </c>
      <c r="R107" s="153">
        <f>IFERROR(INDEX([3]ItemConfig!$BB:$BB,MATCH(G107,[3]ItemConfig!$A:$A,0))*H107,0)</f>
        <v>0</v>
      </c>
      <c r="S107" s="154" t="str">
        <f>VLOOKUP(J107,[2]Entourage!A:B,2,FALSE)</f>
        <v>拉格霍尔</v>
      </c>
      <c r="T107" s="151" t="str">
        <f>VLOOKUP(M107,[2]Entourage!A:B,2,FALSE)</f>
        <v>范克利刃</v>
      </c>
      <c r="U107" s="163"/>
      <c r="V107" s="147"/>
    </row>
    <row r="108" spans="1:22">
      <c r="A108" s="159">
        <f t="shared" si="17"/>
        <v>11</v>
      </c>
      <c r="B108" s="160">
        <f>COUNTIF(A$1:A108,A108)</f>
        <v>7</v>
      </c>
      <c r="C108" s="160">
        <f t="shared" si="18"/>
        <v>102</v>
      </c>
      <c r="D108" s="159">
        <v>523</v>
      </c>
      <c r="E108" s="159">
        <f t="shared" si="19"/>
        <v>70</v>
      </c>
      <c r="F108" s="160">
        <f t="shared" si="20"/>
        <v>4</v>
      </c>
      <c r="G108" s="161">
        <f t="shared" si="12"/>
        <v>5902</v>
      </c>
      <c r="H108" s="159">
        <f t="shared" si="13"/>
        <v>10</v>
      </c>
      <c r="I108" s="159">
        <f t="shared" si="21"/>
        <v>13075</v>
      </c>
      <c r="J108" s="152">
        <f>VLOOKUP(A108,[2]filiation!A:C,3,FALSE)</f>
        <v>7</v>
      </c>
      <c r="K108" s="152">
        <f>VLOOKUP(J108,[2]Entourage!A:N,14,FALSE)</f>
        <v>1</v>
      </c>
      <c r="L108" s="152" t="str">
        <f t="shared" si="14"/>
        <v>战斗</v>
      </c>
      <c r="M108" s="152">
        <f>VLOOKUP(A108,[2]filiation!A:D,4,FALSE)</f>
        <v>16</v>
      </c>
      <c r="N108" s="152">
        <f>VLOOKUP(M108,[2]Entourage!A:N,14,FALSE)</f>
        <v>1</v>
      </c>
      <c r="O108" s="152" t="str">
        <f t="shared" si="15"/>
        <v>战斗</v>
      </c>
      <c r="P108" s="152">
        <f t="shared" si="16"/>
        <v>102</v>
      </c>
      <c r="Q108" s="151">
        <f>INT(VLOOKUP(VLOOKUP(A108,[2]filiation!A:E,3,FALSE),[2]Entourage!A:AA,IF(C108=101,25,IF(C108=102,26,IF(C108=104,27))),FALSE)*VLOOKUP(N108,$AF$2:$AI$6,IF(C108=1,2,IF(C108=2,3,4)),FALSE)*VLOOKUP(B108,$AK$2:$AL$11,2,FALSE))</f>
        <v>515</v>
      </c>
      <c r="R108" s="153">
        <f>IFERROR(INDEX([3]ItemConfig!$BB:$BB,MATCH(G108,[3]ItemConfig!$A:$A,0))*H108,0)</f>
        <v>0</v>
      </c>
      <c r="S108" s="154" t="str">
        <f>VLOOKUP(J108,[2]Entourage!A:B,2,FALSE)</f>
        <v>拉格霍尔</v>
      </c>
      <c r="T108" s="151" t="str">
        <f>VLOOKUP(M108,[2]Entourage!A:B,2,FALSE)</f>
        <v>范克利刃</v>
      </c>
      <c r="U108" s="163"/>
      <c r="V108" s="147"/>
    </row>
    <row r="109" spans="1:22">
      <c r="A109" s="159">
        <f t="shared" si="17"/>
        <v>11</v>
      </c>
      <c r="B109" s="160">
        <f>COUNTIF(A$1:A109,A109)</f>
        <v>8</v>
      </c>
      <c r="C109" s="160">
        <f t="shared" si="18"/>
        <v>102</v>
      </c>
      <c r="D109" s="159">
        <v>597</v>
      </c>
      <c r="E109" s="159">
        <f t="shared" si="19"/>
        <v>80</v>
      </c>
      <c r="F109" s="160">
        <f t="shared" si="20"/>
        <v>5</v>
      </c>
      <c r="G109" s="161">
        <f t="shared" si="12"/>
        <v>5902</v>
      </c>
      <c r="H109" s="159">
        <f t="shared" si="13"/>
        <v>12</v>
      </c>
      <c r="I109" s="159">
        <f t="shared" si="21"/>
        <v>14925</v>
      </c>
      <c r="J109" s="152">
        <f>VLOOKUP(A109,[2]filiation!A:C,3,FALSE)</f>
        <v>7</v>
      </c>
      <c r="K109" s="152">
        <f>VLOOKUP(J109,[2]Entourage!A:N,14,FALSE)</f>
        <v>1</v>
      </c>
      <c r="L109" s="152" t="str">
        <f t="shared" si="14"/>
        <v>战斗</v>
      </c>
      <c r="M109" s="152">
        <f>VLOOKUP(A109,[2]filiation!A:D,4,FALSE)</f>
        <v>16</v>
      </c>
      <c r="N109" s="152">
        <f>VLOOKUP(M109,[2]Entourage!A:N,14,FALSE)</f>
        <v>1</v>
      </c>
      <c r="O109" s="152" t="str">
        <f t="shared" si="15"/>
        <v>战斗</v>
      </c>
      <c r="P109" s="152">
        <f t="shared" si="16"/>
        <v>102</v>
      </c>
      <c r="Q109" s="151">
        <f>INT(VLOOKUP(VLOOKUP(A109,[2]filiation!A:E,3,FALSE),[2]Entourage!A:AA,IF(C109=101,25,IF(C109=102,26,IF(C109=104,27))),FALSE)*VLOOKUP(N109,$AF$2:$AI$6,IF(C109=1,2,IF(C109=2,3,4)),FALSE)*VLOOKUP(B109,$AK$2:$AL$11,2,FALSE))</f>
        <v>583</v>
      </c>
      <c r="R109" s="153">
        <f>IFERROR(INDEX([3]ItemConfig!$BB:$BB,MATCH(G109,[3]ItemConfig!$A:$A,0))*H109,0)</f>
        <v>0</v>
      </c>
      <c r="S109" s="154" t="str">
        <f>VLOOKUP(J109,[2]Entourage!A:B,2,FALSE)</f>
        <v>拉格霍尔</v>
      </c>
      <c r="T109" s="151" t="str">
        <f>VLOOKUP(M109,[2]Entourage!A:B,2,FALSE)</f>
        <v>范克利刃</v>
      </c>
      <c r="U109" s="163"/>
      <c r="V109" s="147"/>
    </row>
    <row r="110" spans="1:22">
      <c r="A110" s="159">
        <f t="shared" si="17"/>
        <v>11</v>
      </c>
      <c r="B110" s="160">
        <f>COUNTIF(A$1:A110,A110)</f>
        <v>9</v>
      </c>
      <c r="C110" s="160">
        <f t="shared" si="18"/>
        <v>102</v>
      </c>
      <c r="D110" s="159">
        <v>672</v>
      </c>
      <c r="E110" s="159">
        <f t="shared" si="19"/>
        <v>90</v>
      </c>
      <c r="F110" s="160">
        <f t="shared" si="20"/>
        <v>5</v>
      </c>
      <c r="G110" s="161">
        <f t="shared" si="12"/>
        <v>5902</v>
      </c>
      <c r="H110" s="159">
        <f t="shared" si="13"/>
        <v>15</v>
      </c>
      <c r="I110" s="159">
        <f t="shared" si="21"/>
        <v>16800</v>
      </c>
      <c r="J110" s="152">
        <f>VLOOKUP(A110,[2]filiation!A:C,3,FALSE)</f>
        <v>7</v>
      </c>
      <c r="K110" s="152">
        <f>VLOOKUP(J110,[2]Entourage!A:N,14,FALSE)</f>
        <v>1</v>
      </c>
      <c r="L110" s="152" t="str">
        <f t="shared" si="14"/>
        <v>战斗</v>
      </c>
      <c r="M110" s="152">
        <f>VLOOKUP(A110,[2]filiation!A:D,4,FALSE)</f>
        <v>16</v>
      </c>
      <c r="N110" s="152">
        <f>VLOOKUP(M110,[2]Entourage!A:N,14,FALSE)</f>
        <v>1</v>
      </c>
      <c r="O110" s="152" t="str">
        <f t="shared" si="15"/>
        <v>战斗</v>
      </c>
      <c r="P110" s="152">
        <f t="shared" si="16"/>
        <v>102</v>
      </c>
      <c r="Q110" s="151">
        <f>INT(VLOOKUP(VLOOKUP(A110,[2]filiation!A:E,3,FALSE),[2]Entourage!A:AA,IF(C110=101,25,IF(C110=102,26,IF(C110=104,27))),FALSE)*VLOOKUP(N110,$AF$2:$AI$6,IF(C110=1,2,IF(C110=2,3,4)),FALSE)*VLOOKUP(B110,$AK$2:$AL$11,2,FALSE))</f>
        <v>660</v>
      </c>
      <c r="R110" s="153">
        <f>IFERROR(INDEX([3]ItemConfig!$BB:$BB,MATCH(G110,[3]ItemConfig!$A:$A,0))*H110,0)</f>
        <v>0</v>
      </c>
      <c r="S110" s="154" t="str">
        <f>VLOOKUP(J110,[2]Entourage!A:B,2,FALSE)</f>
        <v>拉格霍尔</v>
      </c>
      <c r="T110" s="151" t="str">
        <f>VLOOKUP(M110,[2]Entourage!A:B,2,FALSE)</f>
        <v>范克利刃</v>
      </c>
      <c r="U110" s="163"/>
      <c r="V110" s="147"/>
    </row>
    <row r="111" spans="1:22">
      <c r="A111" s="159">
        <f t="shared" si="17"/>
        <v>11</v>
      </c>
      <c r="B111" s="160">
        <f>COUNTIF(A$1:A111,A111)</f>
        <v>10</v>
      </c>
      <c r="C111" s="160">
        <f t="shared" si="18"/>
        <v>102</v>
      </c>
      <c r="D111" s="159">
        <v>746</v>
      </c>
      <c r="E111" s="159">
        <f t="shared" si="19"/>
        <v>90</v>
      </c>
      <c r="F111" s="160">
        <f t="shared" si="20"/>
        <v>6</v>
      </c>
      <c r="G111" s="161">
        <f t="shared" si="12"/>
        <v>5902</v>
      </c>
      <c r="H111" s="159">
        <f t="shared" si="13"/>
        <v>18</v>
      </c>
      <c r="I111" s="159">
        <f t="shared" si="21"/>
        <v>18650</v>
      </c>
      <c r="J111" s="152">
        <f>VLOOKUP(A111,[2]filiation!A:C,3,FALSE)</f>
        <v>7</v>
      </c>
      <c r="K111" s="152">
        <f>VLOOKUP(J111,[2]Entourage!A:N,14,FALSE)</f>
        <v>1</v>
      </c>
      <c r="L111" s="152" t="str">
        <f t="shared" si="14"/>
        <v>战斗</v>
      </c>
      <c r="M111" s="152">
        <f>VLOOKUP(A111,[2]filiation!A:D,4,FALSE)</f>
        <v>16</v>
      </c>
      <c r="N111" s="152">
        <f>VLOOKUP(M111,[2]Entourage!A:N,14,FALSE)</f>
        <v>1</v>
      </c>
      <c r="O111" s="152" t="str">
        <f t="shared" si="15"/>
        <v>战斗</v>
      </c>
      <c r="P111" s="152">
        <f t="shared" si="16"/>
        <v>102</v>
      </c>
      <c r="Q111" s="151">
        <f>INT(VLOOKUP(VLOOKUP(A111,[2]filiation!A:E,3,FALSE),[2]Entourage!A:AA,IF(C111=101,25,IF(C111=102,26,IF(C111=104,27))),FALSE)*VLOOKUP(N111,$AF$2:$AI$6,IF(C111=1,2,IF(C111=2,3,4)),FALSE)*VLOOKUP(B111,$AK$2:$AL$11,2,FALSE))</f>
        <v>746</v>
      </c>
      <c r="R111" s="153">
        <f>IFERROR(INDEX([3]ItemConfig!$BB:$BB,MATCH(G111,[3]ItemConfig!$A:$A,0))*H111,0)</f>
        <v>0</v>
      </c>
      <c r="S111" s="154" t="str">
        <f>VLOOKUP(J111,[2]Entourage!A:B,2,FALSE)</f>
        <v>拉格霍尔</v>
      </c>
      <c r="T111" s="151" t="str">
        <f>VLOOKUP(M111,[2]Entourage!A:B,2,FALSE)</f>
        <v>范克利刃</v>
      </c>
      <c r="U111" s="163"/>
      <c r="V111" s="147"/>
    </row>
    <row r="112" spans="1:22">
      <c r="A112" s="166">
        <f t="shared" si="17"/>
        <v>12</v>
      </c>
      <c r="B112" s="167">
        <f>COUNTIF(A$1:A112,A112)</f>
        <v>1</v>
      </c>
      <c r="C112" s="167">
        <f t="shared" si="18"/>
        <v>104</v>
      </c>
      <c r="D112" s="166">
        <v>1160</v>
      </c>
      <c r="E112" s="166">
        <f t="shared" si="19"/>
        <v>10</v>
      </c>
      <c r="F112" s="167">
        <f t="shared" si="20"/>
        <v>1</v>
      </c>
      <c r="G112" s="168">
        <f t="shared" si="12"/>
        <v>5902</v>
      </c>
      <c r="H112" s="166">
        <f t="shared" si="13"/>
        <v>1</v>
      </c>
      <c r="I112" s="166">
        <f t="shared" si="21"/>
        <v>1160</v>
      </c>
      <c r="J112" s="152">
        <f>VLOOKUP(A112,[2]filiation!A:C,3,FALSE)</f>
        <v>8</v>
      </c>
      <c r="K112" s="152">
        <f>VLOOKUP(J112,[2]Entourage!A:N,14,FALSE)</f>
        <v>3</v>
      </c>
      <c r="L112" s="152" t="str">
        <f t="shared" si="14"/>
        <v>辅助</v>
      </c>
      <c r="M112" s="152">
        <f>VLOOKUP(A112,[2]filiation!A:D,4,FALSE)</f>
        <v>3</v>
      </c>
      <c r="N112" s="152">
        <f>VLOOKUP(M112,[2]Entourage!A:N,14,FALSE)</f>
        <v>3</v>
      </c>
      <c r="O112" s="152" t="str">
        <f t="shared" si="15"/>
        <v>辅助</v>
      </c>
      <c r="P112" s="152">
        <f t="shared" si="16"/>
        <v>104</v>
      </c>
      <c r="Q112" s="151">
        <f>INT(VLOOKUP(VLOOKUP(A112,[2]filiation!A:E,3,FALSE),[2]Entourage!A:AA,IF(C112=101,25,IF(C112=102,26,IF(C112=104,27))),FALSE)*VLOOKUP(N112,$AF$2:$AI$6,IF(C112=1,2,IF(C112=2,3,4)),FALSE)*VLOOKUP(B112,$AK$2:$AL$11,2,FALSE))</f>
        <v>4636</v>
      </c>
      <c r="R112" s="153">
        <f>IFERROR(INDEX([3]ItemConfig!$BB:$BB,MATCH(G112,[3]ItemConfig!$A:$A,0))*H112,0)</f>
        <v>0</v>
      </c>
      <c r="S112" s="154" t="str">
        <f>VLOOKUP(J112,[2]Entourage!A:B,2,FALSE)</f>
        <v>阿拉基</v>
      </c>
      <c r="T112" s="151" t="str">
        <f>VLOOKUP(M112,[2]Entourage!A:B,2,FALSE)</f>
        <v>莫德雷斯</v>
      </c>
      <c r="U112" s="163"/>
      <c r="V112" s="147"/>
    </row>
    <row r="113" spans="1:22">
      <c r="A113" s="166">
        <f t="shared" si="17"/>
        <v>12</v>
      </c>
      <c r="B113" s="167">
        <f>COUNTIF(A$1:A113,A113)</f>
        <v>2</v>
      </c>
      <c r="C113" s="167">
        <f t="shared" si="18"/>
        <v>104</v>
      </c>
      <c r="D113" s="166">
        <v>2319</v>
      </c>
      <c r="E113" s="166">
        <f t="shared" si="19"/>
        <v>20</v>
      </c>
      <c r="F113" s="167">
        <f t="shared" si="20"/>
        <v>2</v>
      </c>
      <c r="G113" s="168">
        <f t="shared" si="12"/>
        <v>5902</v>
      </c>
      <c r="H113" s="166">
        <f t="shared" si="13"/>
        <v>2</v>
      </c>
      <c r="I113" s="166">
        <f t="shared" si="21"/>
        <v>2319</v>
      </c>
      <c r="J113" s="152">
        <f>VLOOKUP(A113,[2]filiation!A:C,3,FALSE)</f>
        <v>8</v>
      </c>
      <c r="K113" s="152">
        <f>VLOOKUP(J113,[2]Entourage!A:N,14,FALSE)</f>
        <v>3</v>
      </c>
      <c r="L113" s="152" t="str">
        <f t="shared" si="14"/>
        <v>辅助</v>
      </c>
      <c r="M113" s="152">
        <f>VLOOKUP(A113,[2]filiation!A:D,4,FALSE)</f>
        <v>3</v>
      </c>
      <c r="N113" s="152">
        <f>VLOOKUP(M113,[2]Entourage!A:N,14,FALSE)</f>
        <v>3</v>
      </c>
      <c r="O113" s="152" t="str">
        <f t="shared" si="15"/>
        <v>辅助</v>
      </c>
      <c r="P113" s="152">
        <f t="shared" si="16"/>
        <v>104</v>
      </c>
      <c r="Q113" s="151">
        <f>INT(VLOOKUP(VLOOKUP(A113,[2]filiation!A:E,3,FALSE),[2]Entourage!A:AA,IF(C113=101,25,IF(C113=102,26,IF(C113=104,27))),FALSE)*VLOOKUP(N113,$AF$2:$AI$6,IF(C113=1,2,IF(C113=2,3,4)),FALSE)*VLOOKUP(B113,$AK$2:$AL$11,2,FALSE))</f>
        <v>4847</v>
      </c>
      <c r="R113" s="153">
        <f>IFERROR(INDEX([3]ItemConfig!$BB:$BB,MATCH(G113,[3]ItemConfig!$A:$A,0))*H113,0)</f>
        <v>0</v>
      </c>
      <c r="S113" s="154" t="str">
        <f>VLOOKUP(J113,[2]Entourage!A:B,2,FALSE)</f>
        <v>阿拉基</v>
      </c>
      <c r="T113" s="151" t="str">
        <f>VLOOKUP(M113,[2]Entourage!A:B,2,FALSE)</f>
        <v>莫德雷斯</v>
      </c>
      <c r="U113" s="163"/>
      <c r="V113" s="147"/>
    </row>
    <row r="114" spans="1:22">
      <c r="A114" s="166">
        <f t="shared" si="17"/>
        <v>12</v>
      </c>
      <c r="B114" s="167">
        <f>COUNTIF(A$1:A114,A114)</f>
        <v>3</v>
      </c>
      <c r="C114" s="167">
        <f t="shared" si="18"/>
        <v>104</v>
      </c>
      <c r="D114" s="166">
        <v>3478</v>
      </c>
      <c r="E114" s="166">
        <f t="shared" si="19"/>
        <v>30</v>
      </c>
      <c r="F114" s="167">
        <f t="shared" si="20"/>
        <v>2</v>
      </c>
      <c r="G114" s="168">
        <f t="shared" si="12"/>
        <v>5902</v>
      </c>
      <c r="H114" s="166">
        <f t="shared" si="13"/>
        <v>3</v>
      </c>
      <c r="I114" s="166">
        <f t="shared" si="21"/>
        <v>3478</v>
      </c>
      <c r="J114" s="152">
        <f>VLOOKUP(A114,[2]filiation!A:C,3,FALSE)</f>
        <v>8</v>
      </c>
      <c r="K114" s="152">
        <f>VLOOKUP(J114,[2]Entourage!A:N,14,FALSE)</f>
        <v>3</v>
      </c>
      <c r="L114" s="152" t="str">
        <f t="shared" si="14"/>
        <v>辅助</v>
      </c>
      <c r="M114" s="152">
        <f>VLOOKUP(A114,[2]filiation!A:D,4,FALSE)</f>
        <v>3</v>
      </c>
      <c r="N114" s="152">
        <f>VLOOKUP(M114,[2]Entourage!A:N,14,FALSE)</f>
        <v>3</v>
      </c>
      <c r="O114" s="152" t="str">
        <f t="shared" si="15"/>
        <v>辅助</v>
      </c>
      <c r="P114" s="152">
        <f t="shared" si="16"/>
        <v>104</v>
      </c>
      <c r="Q114" s="151">
        <f>INT(VLOOKUP(VLOOKUP(A114,[2]filiation!A:E,3,FALSE),[2]Entourage!A:AA,IF(C114=101,25,IF(C114=102,26,IF(C114=104,27))),FALSE)*VLOOKUP(N114,$AF$2:$AI$6,IF(C114=1,2,IF(C114=2,3,4)),FALSE)*VLOOKUP(B114,$AK$2:$AL$11,2,FALSE))</f>
        <v>5198</v>
      </c>
      <c r="R114" s="153">
        <f>IFERROR(INDEX([3]ItemConfig!$BB:$BB,MATCH(G114,[3]ItemConfig!$A:$A,0))*H114,0)</f>
        <v>0</v>
      </c>
      <c r="S114" s="154" t="str">
        <f>VLOOKUP(J114,[2]Entourage!A:B,2,FALSE)</f>
        <v>阿拉基</v>
      </c>
      <c r="T114" s="151" t="str">
        <f>VLOOKUP(M114,[2]Entourage!A:B,2,FALSE)</f>
        <v>莫德雷斯</v>
      </c>
      <c r="U114" s="163"/>
      <c r="V114" s="147"/>
    </row>
    <row r="115" spans="1:22">
      <c r="A115" s="166">
        <f t="shared" si="17"/>
        <v>12</v>
      </c>
      <c r="B115" s="167">
        <f>COUNTIF(A$1:A115,A115)</f>
        <v>4</v>
      </c>
      <c r="C115" s="167">
        <f t="shared" si="18"/>
        <v>104</v>
      </c>
      <c r="D115" s="166">
        <v>4637</v>
      </c>
      <c r="E115" s="166">
        <f t="shared" si="19"/>
        <v>40</v>
      </c>
      <c r="F115" s="167">
        <f t="shared" si="20"/>
        <v>3</v>
      </c>
      <c r="G115" s="168">
        <f t="shared" si="12"/>
        <v>5902</v>
      </c>
      <c r="H115" s="166">
        <f t="shared" si="13"/>
        <v>4</v>
      </c>
      <c r="I115" s="166">
        <f t="shared" si="21"/>
        <v>4637</v>
      </c>
      <c r="J115" s="152">
        <f>VLOOKUP(A115,[2]filiation!A:C,3,FALSE)</f>
        <v>8</v>
      </c>
      <c r="K115" s="152">
        <f>VLOOKUP(J115,[2]Entourage!A:N,14,FALSE)</f>
        <v>3</v>
      </c>
      <c r="L115" s="152" t="str">
        <f t="shared" si="14"/>
        <v>辅助</v>
      </c>
      <c r="M115" s="152">
        <f>VLOOKUP(A115,[2]filiation!A:D,4,FALSE)</f>
        <v>3</v>
      </c>
      <c r="N115" s="152">
        <f>VLOOKUP(M115,[2]Entourage!A:N,14,FALSE)</f>
        <v>3</v>
      </c>
      <c r="O115" s="152" t="str">
        <f t="shared" si="15"/>
        <v>辅助</v>
      </c>
      <c r="P115" s="152">
        <f t="shared" si="16"/>
        <v>104</v>
      </c>
      <c r="Q115" s="151">
        <f>INT(VLOOKUP(VLOOKUP(A115,[2]filiation!A:E,3,FALSE),[2]Entourage!A:AA,IF(C115=101,25,IF(C115=102,26,IF(C115=104,27))),FALSE)*VLOOKUP(N115,$AF$2:$AI$6,IF(C115=1,2,IF(C115=2,3,4)),FALSE)*VLOOKUP(B115,$AK$2:$AL$11,2,FALSE))</f>
        <v>5690</v>
      </c>
      <c r="R115" s="153">
        <f>IFERROR(INDEX([3]ItemConfig!$BB:$BB,MATCH(G115,[3]ItemConfig!$A:$A,0))*H115,0)</f>
        <v>0</v>
      </c>
      <c r="S115" s="154" t="str">
        <f>VLOOKUP(J115,[2]Entourage!A:B,2,FALSE)</f>
        <v>阿拉基</v>
      </c>
      <c r="T115" s="151" t="str">
        <f>VLOOKUP(M115,[2]Entourage!A:B,2,FALSE)</f>
        <v>莫德雷斯</v>
      </c>
      <c r="U115" s="163"/>
      <c r="V115" s="147"/>
    </row>
    <row r="116" spans="1:22">
      <c r="A116" s="166">
        <f t="shared" si="17"/>
        <v>12</v>
      </c>
      <c r="B116" s="167">
        <f>COUNTIF(A$1:A116,A116)</f>
        <v>5</v>
      </c>
      <c r="C116" s="167">
        <f t="shared" si="18"/>
        <v>104</v>
      </c>
      <c r="D116" s="166">
        <v>5796</v>
      </c>
      <c r="E116" s="166">
        <f t="shared" si="19"/>
        <v>50</v>
      </c>
      <c r="F116" s="167">
        <f t="shared" si="20"/>
        <v>3</v>
      </c>
      <c r="G116" s="168">
        <f t="shared" si="12"/>
        <v>5902</v>
      </c>
      <c r="H116" s="166">
        <f t="shared" si="13"/>
        <v>6</v>
      </c>
      <c r="I116" s="166">
        <f t="shared" si="21"/>
        <v>5796</v>
      </c>
      <c r="J116" s="152">
        <f>VLOOKUP(A116,[2]filiation!A:C,3,FALSE)</f>
        <v>8</v>
      </c>
      <c r="K116" s="152">
        <f>VLOOKUP(J116,[2]Entourage!A:N,14,FALSE)</f>
        <v>3</v>
      </c>
      <c r="L116" s="152" t="str">
        <f t="shared" si="14"/>
        <v>辅助</v>
      </c>
      <c r="M116" s="152">
        <f>VLOOKUP(A116,[2]filiation!A:D,4,FALSE)</f>
        <v>3</v>
      </c>
      <c r="N116" s="152">
        <f>VLOOKUP(M116,[2]Entourage!A:N,14,FALSE)</f>
        <v>3</v>
      </c>
      <c r="O116" s="152" t="str">
        <f t="shared" si="15"/>
        <v>辅助</v>
      </c>
      <c r="P116" s="152">
        <f t="shared" si="16"/>
        <v>104</v>
      </c>
      <c r="Q116" s="151">
        <f>INT(VLOOKUP(VLOOKUP(A116,[2]filiation!A:E,3,FALSE),[2]Entourage!A:AA,IF(C116=101,25,IF(C116=102,26,IF(C116=104,27))),FALSE)*VLOOKUP(N116,$AF$2:$AI$6,IF(C116=1,2,IF(C116=2,3,4)),FALSE)*VLOOKUP(B116,$AK$2:$AL$11,2,FALSE))</f>
        <v>6322</v>
      </c>
      <c r="R116" s="153">
        <f>IFERROR(INDEX([3]ItemConfig!$BB:$BB,MATCH(G116,[3]ItemConfig!$A:$A,0))*H116,0)</f>
        <v>0</v>
      </c>
      <c r="S116" s="154" t="str">
        <f>VLOOKUP(J116,[2]Entourage!A:B,2,FALSE)</f>
        <v>阿拉基</v>
      </c>
      <c r="T116" s="151" t="str">
        <f>VLOOKUP(M116,[2]Entourage!A:B,2,FALSE)</f>
        <v>莫德雷斯</v>
      </c>
      <c r="U116" s="163"/>
      <c r="V116" s="147"/>
    </row>
    <row r="117" spans="1:22">
      <c r="A117" s="166">
        <f t="shared" si="17"/>
        <v>12</v>
      </c>
      <c r="B117" s="167">
        <f>COUNTIF(A$1:A117,A117)</f>
        <v>6</v>
      </c>
      <c r="C117" s="167">
        <f t="shared" si="18"/>
        <v>104</v>
      </c>
      <c r="D117" s="166">
        <v>6956</v>
      </c>
      <c r="E117" s="166">
        <f t="shared" si="19"/>
        <v>60</v>
      </c>
      <c r="F117" s="167">
        <f t="shared" si="20"/>
        <v>4</v>
      </c>
      <c r="G117" s="168">
        <f t="shared" si="12"/>
        <v>5902</v>
      </c>
      <c r="H117" s="166">
        <f t="shared" si="13"/>
        <v>8</v>
      </c>
      <c r="I117" s="166">
        <f t="shared" si="21"/>
        <v>6956</v>
      </c>
      <c r="J117" s="152">
        <f>VLOOKUP(A117,[2]filiation!A:C,3,FALSE)</f>
        <v>8</v>
      </c>
      <c r="K117" s="152">
        <f>VLOOKUP(J117,[2]Entourage!A:N,14,FALSE)</f>
        <v>3</v>
      </c>
      <c r="L117" s="152" t="str">
        <f t="shared" si="14"/>
        <v>辅助</v>
      </c>
      <c r="M117" s="152">
        <f>VLOOKUP(A117,[2]filiation!A:D,4,FALSE)</f>
        <v>3</v>
      </c>
      <c r="N117" s="152">
        <f>VLOOKUP(M117,[2]Entourage!A:N,14,FALSE)</f>
        <v>3</v>
      </c>
      <c r="O117" s="152" t="str">
        <f t="shared" si="15"/>
        <v>辅助</v>
      </c>
      <c r="P117" s="152">
        <f t="shared" si="16"/>
        <v>104</v>
      </c>
      <c r="Q117" s="151">
        <f>INT(VLOOKUP(VLOOKUP(A117,[2]filiation!A:E,3,FALSE),[2]Entourage!A:AA,IF(C117=101,25,IF(C117=102,26,IF(C117=104,27))),FALSE)*VLOOKUP(N117,$AF$2:$AI$6,IF(C117=1,2,IF(C117=2,3,4)),FALSE)*VLOOKUP(B117,$AK$2:$AL$11,2,FALSE))</f>
        <v>7095</v>
      </c>
      <c r="R117" s="153">
        <f>IFERROR(INDEX([3]ItemConfig!$BB:$BB,MATCH(G117,[3]ItemConfig!$A:$A,0))*H117,0)</f>
        <v>0</v>
      </c>
      <c r="S117" s="154" t="str">
        <f>VLOOKUP(J117,[2]Entourage!A:B,2,FALSE)</f>
        <v>阿拉基</v>
      </c>
      <c r="T117" s="151" t="str">
        <f>VLOOKUP(M117,[2]Entourage!A:B,2,FALSE)</f>
        <v>莫德雷斯</v>
      </c>
      <c r="U117" s="163"/>
      <c r="V117" s="147"/>
    </row>
    <row r="118" spans="1:22">
      <c r="A118" s="166">
        <f t="shared" si="17"/>
        <v>12</v>
      </c>
      <c r="B118" s="167">
        <f>COUNTIF(A$1:A118,A118)</f>
        <v>7</v>
      </c>
      <c r="C118" s="167">
        <f t="shared" si="18"/>
        <v>104</v>
      </c>
      <c r="D118" s="166">
        <v>8115</v>
      </c>
      <c r="E118" s="166">
        <f t="shared" si="19"/>
        <v>70</v>
      </c>
      <c r="F118" s="167">
        <f t="shared" si="20"/>
        <v>4</v>
      </c>
      <c r="G118" s="168">
        <f t="shared" si="12"/>
        <v>5902</v>
      </c>
      <c r="H118" s="166">
        <f t="shared" si="13"/>
        <v>10</v>
      </c>
      <c r="I118" s="166">
        <f t="shared" si="21"/>
        <v>8115</v>
      </c>
      <c r="J118" s="152">
        <f>VLOOKUP(A118,[2]filiation!A:C,3,FALSE)</f>
        <v>8</v>
      </c>
      <c r="K118" s="152">
        <f>VLOOKUP(J118,[2]Entourage!A:N,14,FALSE)</f>
        <v>3</v>
      </c>
      <c r="L118" s="152" t="str">
        <f t="shared" si="14"/>
        <v>辅助</v>
      </c>
      <c r="M118" s="152">
        <f>VLOOKUP(A118,[2]filiation!A:D,4,FALSE)</f>
        <v>3</v>
      </c>
      <c r="N118" s="152">
        <f>VLOOKUP(M118,[2]Entourage!A:N,14,FALSE)</f>
        <v>3</v>
      </c>
      <c r="O118" s="152" t="str">
        <f t="shared" si="15"/>
        <v>辅助</v>
      </c>
      <c r="P118" s="152">
        <f t="shared" si="16"/>
        <v>104</v>
      </c>
      <c r="Q118" s="151">
        <f>INT(VLOOKUP(VLOOKUP(A118,[2]filiation!A:E,3,FALSE),[2]Entourage!A:AA,IF(C118=101,25,IF(C118=102,26,IF(C118=104,27))),FALSE)*VLOOKUP(N118,$AF$2:$AI$6,IF(C118=1,2,IF(C118=2,3,4)),FALSE)*VLOOKUP(B118,$AK$2:$AL$11,2,FALSE))</f>
        <v>8009</v>
      </c>
      <c r="R118" s="153">
        <f>IFERROR(INDEX([3]ItemConfig!$BB:$BB,MATCH(G118,[3]ItemConfig!$A:$A,0))*H118,0)</f>
        <v>0</v>
      </c>
      <c r="S118" s="154" t="str">
        <f>VLOOKUP(J118,[2]Entourage!A:B,2,FALSE)</f>
        <v>阿拉基</v>
      </c>
      <c r="T118" s="151" t="str">
        <f>VLOOKUP(M118,[2]Entourage!A:B,2,FALSE)</f>
        <v>莫德雷斯</v>
      </c>
      <c r="U118" s="163"/>
      <c r="V118" s="147"/>
    </row>
    <row r="119" spans="1:22">
      <c r="A119" s="166">
        <f t="shared" si="17"/>
        <v>12</v>
      </c>
      <c r="B119" s="167">
        <f>COUNTIF(A$1:A119,A119)</f>
        <v>8</v>
      </c>
      <c r="C119" s="167">
        <f t="shared" si="18"/>
        <v>104</v>
      </c>
      <c r="D119" s="166">
        <v>9274</v>
      </c>
      <c r="E119" s="166">
        <f t="shared" si="19"/>
        <v>80</v>
      </c>
      <c r="F119" s="167">
        <f t="shared" si="20"/>
        <v>5</v>
      </c>
      <c r="G119" s="168">
        <f t="shared" si="12"/>
        <v>5902</v>
      </c>
      <c r="H119" s="166">
        <f t="shared" si="13"/>
        <v>12</v>
      </c>
      <c r="I119" s="166">
        <f t="shared" si="21"/>
        <v>9274</v>
      </c>
      <c r="J119" s="152">
        <f>VLOOKUP(A119,[2]filiation!A:C,3,FALSE)</f>
        <v>8</v>
      </c>
      <c r="K119" s="152">
        <f>VLOOKUP(J119,[2]Entourage!A:N,14,FALSE)</f>
        <v>3</v>
      </c>
      <c r="L119" s="152" t="str">
        <f t="shared" si="14"/>
        <v>辅助</v>
      </c>
      <c r="M119" s="152">
        <f>VLOOKUP(A119,[2]filiation!A:D,4,FALSE)</f>
        <v>3</v>
      </c>
      <c r="N119" s="152">
        <f>VLOOKUP(M119,[2]Entourage!A:N,14,FALSE)</f>
        <v>3</v>
      </c>
      <c r="O119" s="152" t="str">
        <f t="shared" si="15"/>
        <v>辅助</v>
      </c>
      <c r="P119" s="152">
        <f t="shared" si="16"/>
        <v>104</v>
      </c>
      <c r="Q119" s="151">
        <f>INT(VLOOKUP(VLOOKUP(A119,[2]filiation!A:E,3,FALSE),[2]Entourage!A:AA,IF(C119=101,25,IF(C119=102,26,IF(C119=104,27))),FALSE)*VLOOKUP(N119,$AF$2:$AI$6,IF(C119=1,2,IF(C119=2,3,4)),FALSE)*VLOOKUP(B119,$AK$2:$AL$11,2,FALSE))</f>
        <v>9062</v>
      </c>
      <c r="R119" s="153">
        <f>IFERROR(INDEX([3]ItemConfig!$BB:$BB,MATCH(G119,[3]ItemConfig!$A:$A,0))*H119,0)</f>
        <v>0</v>
      </c>
      <c r="S119" s="154" t="str">
        <f>VLOOKUP(J119,[2]Entourage!A:B,2,FALSE)</f>
        <v>阿拉基</v>
      </c>
      <c r="T119" s="151" t="str">
        <f>VLOOKUP(M119,[2]Entourage!A:B,2,FALSE)</f>
        <v>莫德雷斯</v>
      </c>
      <c r="U119" s="163"/>
      <c r="V119" s="147"/>
    </row>
    <row r="120" spans="1:22">
      <c r="A120" s="166">
        <f t="shared" si="17"/>
        <v>12</v>
      </c>
      <c r="B120" s="167">
        <f>COUNTIF(A$1:A120,A120)</f>
        <v>9</v>
      </c>
      <c r="C120" s="167">
        <f t="shared" si="18"/>
        <v>104</v>
      </c>
      <c r="D120" s="166">
        <v>10433</v>
      </c>
      <c r="E120" s="166">
        <f t="shared" si="19"/>
        <v>90</v>
      </c>
      <c r="F120" s="167">
        <f t="shared" si="20"/>
        <v>5</v>
      </c>
      <c r="G120" s="168">
        <f t="shared" si="12"/>
        <v>5902</v>
      </c>
      <c r="H120" s="166">
        <f t="shared" si="13"/>
        <v>15</v>
      </c>
      <c r="I120" s="166">
        <f t="shared" si="21"/>
        <v>10433</v>
      </c>
      <c r="J120" s="152">
        <f>VLOOKUP(A120,[2]filiation!A:C,3,FALSE)</f>
        <v>8</v>
      </c>
      <c r="K120" s="152">
        <f>VLOOKUP(J120,[2]Entourage!A:N,14,FALSE)</f>
        <v>3</v>
      </c>
      <c r="L120" s="152" t="str">
        <f t="shared" si="14"/>
        <v>辅助</v>
      </c>
      <c r="M120" s="152">
        <f>VLOOKUP(A120,[2]filiation!A:D,4,FALSE)</f>
        <v>3</v>
      </c>
      <c r="N120" s="152">
        <f>VLOOKUP(M120,[2]Entourage!A:N,14,FALSE)</f>
        <v>3</v>
      </c>
      <c r="O120" s="152" t="str">
        <f t="shared" si="15"/>
        <v>辅助</v>
      </c>
      <c r="P120" s="152">
        <f t="shared" si="16"/>
        <v>104</v>
      </c>
      <c r="Q120" s="151">
        <f>INT(VLOOKUP(VLOOKUP(A120,[2]filiation!A:E,3,FALSE),[2]Entourage!A:AA,IF(C120=101,25,IF(C120=102,26,IF(C120=104,27))),FALSE)*VLOOKUP(N120,$AF$2:$AI$6,IF(C120=1,2,IF(C120=2,3,4)),FALSE)*VLOOKUP(B120,$AK$2:$AL$11,2,FALSE))</f>
        <v>10257</v>
      </c>
      <c r="R120" s="153">
        <f>IFERROR(INDEX([3]ItemConfig!$BB:$BB,MATCH(G120,[3]ItemConfig!$A:$A,0))*H120,0)</f>
        <v>0</v>
      </c>
      <c r="S120" s="154" t="str">
        <f>VLOOKUP(J120,[2]Entourage!A:B,2,FALSE)</f>
        <v>阿拉基</v>
      </c>
      <c r="T120" s="151" t="str">
        <f>VLOOKUP(M120,[2]Entourage!A:B,2,FALSE)</f>
        <v>莫德雷斯</v>
      </c>
      <c r="U120" s="163"/>
      <c r="V120" s="147"/>
    </row>
    <row r="121" spans="1:22">
      <c r="A121" s="166">
        <f t="shared" si="17"/>
        <v>12</v>
      </c>
      <c r="B121" s="167">
        <f>COUNTIF(A$1:A121,A121)</f>
        <v>10</v>
      </c>
      <c r="C121" s="167">
        <f t="shared" si="18"/>
        <v>104</v>
      </c>
      <c r="D121" s="166">
        <v>11592</v>
      </c>
      <c r="E121" s="166">
        <f t="shared" si="19"/>
        <v>90</v>
      </c>
      <c r="F121" s="167">
        <f t="shared" si="20"/>
        <v>6</v>
      </c>
      <c r="G121" s="168">
        <f t="shared" si="12"/>
        <v>5902</v>
      </c>
      <c r="H121" s="166">
        <f t="shared" si="13"/>
        <v>18</v>
      </c>
      <c r="I121" s="166">
        <f t="shared" si="21"/>
        <v>11592</v>
      </c>
      <c r="J121" s="152">
        <f>VLOOKUP(A121,[2]filiation!A:C,3,FALSE)</f>
        <v>8</v>
      </c>
      <c r="K121" s="152">
        <f>VLOOKUP(J121,[2]Entourage!A:N,14,FALSE)</f>
        <v>3</v>
      </c>
      <c r="L121" s="152" t="str">
        <f t="shared" si="14"/>
        <v>辅助</v>
      </c>
      <c r="M121" s="152">
        <f>VLOOKUP(A121,[2]filiation!A:D,4,FALSE)</f>
        <v>3</v>
      </c>
      <c r="N121" s="152">
        <f>VLOOKUP(M121,[2]Entourage!A:N,14,FALSE)</f>
        <v>3</v>
      </c>
      <c r="O121" s="152" t="str">
        <f t="shared" si="15"/>
        <v>辅助</v>
      </c>
      <c r="P121" s="152">
        <f t="shared" si="16"/>
        <v>104</v>
      </c>
      <c r="Q121" s="151">
        <f>INT(VLOOKUP(VLOOKUP(A121,[2]filiation!A:E,3,FALSE),[2]Entourage!A:AA,IF(C121=101,25,IF(C121=102,26,IF(C121=104,27))),FALSE)*VLOOKUP(N121,$AF$2:$AI$6,IF(C121=1,2,IF(C121=2,3,4)),FALSE)*VLOOKUP(B121,$AK$2:$AL$11,2,FALSE))</f>
        <v>11592</v>
      </c>
      <c r="R121" s="153">
        <f>IFERROR(INDEX([3]ItemConfig!$BB:$BB,MATCH(G121,[3]ItemConfig!$A:$A,0))*H121,0)</f>
        <v>0</v>
      </c>
      <c r="S121" s="154" t="str">
        <f>VLOOKUP(J121,[2]Entourage!A:B,2,FALSE)</f>
        <v>阿拉基</v>
      </c>
      <c r="T121" s="151" t="str">
        <f>VLOOKUP(M121,[2]Entourage!A:B,2,FALSE)</f>
        <v>莫德雷斯</v>
      </c>
      <c r="U121" s="163"/>
      <c r="V121" s="147"/>
    </row>
    <row r="122" spans="1:22">
      <c r="A122" s="159">
        <f t="shared" si="17"/>
        <v>13</v>
      </c>
      <c r="B122" s="160">
        <f>COUNTIF(A$1:A122,A122)</f>
        <v>1</v>
      </c>
      <c r="C122" s="160">
        <f t="shared" si="18"/>
        <v>101</v>
      </c>
      <c r="D122" s="159">
        <v>62</v>
      </c>
      <c r="E122" s="159">
        <f t="shared" si="19"/>
        <v>10</v>
      </c>
      <c r="F122" s="160">
        <f t="shared" si="20"/>
        <v>1</v>
      </c>
      <c r="G122" s="161">
        <f t="shared" si="12"/>
        <v>5902</v>
      </c>
      <c r="H122" s="159">
        <f t="shared" si="13"/>
        <v>1</v>
      </c>
      <c r="I122" s="159">
        <f t="shared" si="21"/>
        <v>1550</v>
      </c>
      <c r="J122" s="152">
        <f>VLOOKUP(A122,[2]filiation!A:C,3,FALSE)</f>
        <v>8</v>
      </c>
      <c r="K122" s="152">
        <f>VLOOKUP(J122,[2]Entourage!A:N,14,FALSE)</f>
        <v>3</v>
      </c>
      <c r="L122" s="152" t="str">
        <f t="shared" si="14"/>
        <v>辅助</v>
      </c>
      <c r="M122" s="152">
        <f>VLOOKUP(A122,[2]filiation!A:D,4,FALSE)</f>
        <v>5</v>
      </c>
      <c r="N122" s="152">
        <f>VLOOKUP(M122,[2]Entourage!A:N,14,FALSE)</f>
        <v>2</v>
      </c>
      <c r="O122" s="152" t="str">
        <f t="shared" si="15"/>
        <v>刺杀</v>
      </c>
      <c r="P122" s="152">
        <f t="shared" si="16"/>
        <v>101</v>
      </c>
      <c r="Q122" s="151">
        <f>INT(VLOOKUP(VLOOKUP(A122,[2]filiation!A:E,3,FALSE),[2]Entourage!A:AA,IF(C122=101,25,IF(C122=102,26,IF(C122=104,27))),FALSE)*VLOOKUP(N122,$AF$2:$AI$6,IF(C122=1,2,IF(C122=2,3,4)),FALSE)*VLOOKUP(B122,$AK$2:$AL$11,2,FALSE))</f>
        <v>244</v>
      </c>
      <c r="R122" s="153">
        <f>IFERROR(INDEX([3]ItemConfig!$BB:$BB,MATCH(G122,[3]ItemConfig!$A:$A,0))*H122,0)</f>
        <v>0</v>
      </c>
      <c r="S122" s="154" t="str">
        <f>VLOOKUP(J122,[2]Entourage!A:B,2,FALSE)</f>
        <v>阿拉基</v>
      </c>
      <c r="T122" s="151" t="str">
        <f>VLOOKUP(M122,[2]Entourage!A:B,2,FALSE)</f>
        <v>火元素</v>
      </c>
      <c r="U122" s="163"/>
      <c r="V122" s="147"/>
    </row>
    <row r="123" spans="1:22">
      <c r="A123" s="159">
        <f t="shared" si="17"/>
        <v>13</v>
      </c>
      <c r="B123" s="160">
        <f>COUNTIF(A$1:A123,A123)</f>
        <v>2</v>
      </c>
      <c r="C123" s="160">
        <f t="shared" si="18"/>
        <v>101</v>
      </c>
      <c r="D123" s="159">
        <v>123</v>
      </c>
      <c r="E123" s="159">
        <f t="shared" si="19"/>
        <v>20</v>
      </c>
      <c r="F123" s="160">
        <f t="shared" si="20"/>
        <v>2</v>
      </c>
      <c r="G123" s="161">
        <f t="shared" si="12"/>
        <v>5902</v>
      </c>
      <c r="H123" s="159">
        <f t="shared" si="13"/>
        <v>2</v>
      </c>
      <c r="I123" s="159">
        <f t="shared" si="21"/>
        <v>3075</v>
      </c>
      <c r="J123" s="152">
        <f>VLOOKUP(A123,[2]filiation!A:C,3,FALSE)</f>
        <v>8</v>
      </c>
      <c r="K123" s="152">
        <f>VLOOKUP(J123,[2]Entourage!A:N,14,FALSE)</f>
        <v>3</v>
      </c>
      <c r="L123" s="152" t="str">
        <f t="shared" si="14"/>
        <v>辅助</v>
      </c>
      <c r="M123" s="152">
        <f>VLOOKUP(A123,[2]filiation!A:D,4,FALSE)</f>
        <v>5</v>
      </c>
      <c r="N123" s="152">
        <f>VLOOKUP(M123,[2]Entourage!A:N,14,FALSE)</f>
        <v>2</v>
      </c>
      <c r="O123" s="152" t="str">
        <f t="shared" si="15"/>
        <v>刺杀</v>
      </c>
      <c r="P123" s="152">
        <f t="shared" si="16"/>
        <v>101</v>
      </c>
      <c r="Q123" s="151">
        <f>INT(VLOOKUP(VLOOKUP(A123,[2]filiation!A:E,3,FALSE),[2]Entourage!A:AA,IF(C123=101,25,IF(C123=102,26,IF(C123=104,27))),FALSE)*VLOOKUP(N123,$AF$2:$AI$6,IF(C123=1,2,IF(C123=2,3,4)),FALSE)*VLOOKUP(B123,$AK$2:$AL$11,2,FALSE))</f>
        <v>255</v>
      </c>
      <c r="R123" s="153">
        <f>IFERROR(INDEX([3]ItemConfig!$BB:$BB,MATCH(G123,[3]ItemConfig!$A:$A,0))*H123,0)</f>
        <v>0</v>
      </c>
      <c r="S123" s="154" t="str">
        <f>VLOOKUP(J123,[2]Entourage!A:B,2,FALSE)</f>
        <v>阿拉基</v>
      </c>
      <c r="T123" s="151" t="str">
        <f>VLOOKUP(M123,[2]Entourage!A:B,2,FALSE)</f>
        <v>火元素</v>
      </c>
      <c r="U123" s="163"/>
      <c r="V123" s="147"/>
    </row>
    <row r="124" spans="1:22">
      <c r="A124" s="159">
        <f t="shared" si="17"/>
        <v>13</v>
      </c>
      <c r="B124" s="160">
        <f>COUNTIF(A$1:A124,A124)</f>
        <v>3</v>
      </c>
      <c r="C124" s="160">
        <f t="shared" si="18"/>
        <v>101</v>
      </c>
      <c r="D124" s="159">
        <v>184</v>
      </c>
      <c r="E124" s="159">
        <f t="shared" si="19"/>
        <v>30</v>
      </c>
      <c r="F124" s="160">
        <f t="shared" si="20"/>
        <v>2</v>
      </c>
      <c r="G124" s="161">
        <f t="shared" si="12"/>
        <v>5902</v>
      </c>
      <c r="H124" s="159">
        <f t="shared" si="13"/>
        <v>3</v>
      </c>
      <c r="I124" s="159">
        <f t="shared" si="21"/>
        <v>4600</v>
      </c>
      <c r="J124" s="152">
        <f>VLOOKUP(A124,[2]filiation!A:C,3,FALSE)</f>
        <v>8</v>
      </c>
      <c r="K124" s="152">
        <f>VLOOKUP(J124,[2]Entourage!A:N,14,FALSE)</f>
        <v>3</v>
      </c>
      <c r="L124" s="152" t="str">
        <f t="shared" si="14"/>
        <v>辅助</v>
      </c>
      <c r="M124" s="152">
        <f>VLOOKUP(A124,[2]filiation!A:D,4,FALSE)</f>
        <v>5</v>
      </c>
      <c r="N124" s="152">
        <f>VLOOKUP(M124,[2]Entourage!A:N,14,FALSE)</f>
        <v>2</v>
      </c>
      <c r="O124" s="152" t="str">
        <f t="shared" si="15"/>
        <v>刺杀</v>
      </c>
      <c r="P124" s="152">
        <f t="shared" si="16"/>
        <v>101</v>
      </c>
      <c r="Q124" s="151">
        <f>INT(VLOOKUP(VLOOKUP(A124,[2]filiation!A:E,3,FALSE),[2]Entourage!A:AA,IF(C124=101,25,IF(C124=102,26,IF(C124=104,27))),FALSE)*VLOOKUP(N124,$AF$2:$AI$6,IF(C124=1,2,IF(C124=2,3,4)),FALSE)*VLOOKUP(B124,$AK$2:$AL$11,2,FALSE))</f>
        <v>274</v>
      </c>
      <c r="R124" s="153">
        <f>IFERROR(INDEX([3]ItemConfig!$BB:$BB,MATCH(G124,[3]ItemConfig!$A:$A,0))*H124,0)</f>
        <v>0</v>
      </c>
      <c r="S124" s="154" t="str">
        <f>VLOOKUP(J124,[2]Entourage!A:B,2,FALSE)</f>
        <v>阿拉基</v>
      </c>
      <c r="T124" s="151" t="str">
        <f>VLOOKUP(M124,[2]Entourage!A:B,2,FALSE)</f>
        <v>火元素</v>
      </c>
      <c r="U124" s="163"/>
      <c r="V124" s="147"/>
    </row>
    <row r="125" spans="1:22">
      <c r="A125" s="159">
        <f t="shared" si="17"/>
        <v>13</v>
      </c>
      <c r="B125" s="160">
        <f>COUNTIF(A$1:A125,A125)</f>
        <v>4</v>
      </c>
      <c r="C125" s="160">
        <f t="shared" si="18"/>
        <v>101</v>
      </c>
      <c r="D125" s="159">
        <v>245</v>
      </c>
      <c r="E125" s="159">
        <f t="shared" si="19"/>
        <v>40</v>
      </c>
      <c r="F125" s="160">
        <f t="shared" si="20"/>
        <v>3</v>
      </c>
      <c r="G125" s="161">
        <f t="shared" si="12"/>
        <v>5902</v>
      </c>
      <c r="H125" s="159">
        <f t="shared" si="13"/>
        <v>4</v>
      </c>
      <c r="I125" s="159">
        <f t="shared" si="21"/>
        <v>6125</v>
      </c>
      <c r="J125" s="152">
        <f>VLOOKUP(A125,[2]filiation!A:C,3,FALSE)</f>
        <v>8</v>
      </c>
      <c r="K125" s="152">
        <f>VLOOKUP(J125,[2]Entourage!A:N,14,FALSE)</f>
        <v>3</v>
      </c>
      <c r="L125" s="152" t="str">
        <f t="shared" si="14"/>
        <v>辅助</v>
      </c>
      <c r="M125" s="152">
        <f>VLOOKUP(A125,[2]filiation!A:D,4,FALSE)</f>
        <v>5</v>
      </c>
      <c r="N125" s="152">
        <f>VLOOKUP(M125,[2]Entourage!A:N,14,FALSE)</f>
        <v>2</v>
      </c>
      <c r="O125" s="152" t="str">
        <f t="shared" si="15"/>
        <v>刺杀</v>
      </c>
      <c r="P125" s="152">
        <f t="shared" si="16"/>
        <v>101</v>
      </c>
      <c r="Q125" s="151">
        <f>INT(VLOOKUP(VLOOKUP(A125,[2]filiation!A:E,3,FALSE),[2]Entourage!A:AA,IF(C125=101,25,IF(C125=102,26,IF(C125=104,27))),FALSE)*VLOOKUP(N125,$AF$2:$AI$6,IF(C125=1,2,IF(C125=2,3,4)),FALSE)*VLOOKUP(B125,$AK$2:$AL$11,2,FALSE))</f>
        <v>300</v>
      </c>
      <c r="R125" s="153">
        <f>IFERROR(INDEX([3]ItemConfig!$BB:$BB,MATCH(G125,[3]ItemConfig!$A:$A,0))*H125,0)</f>
        <v>0</v>
      </c>
      <c r="S125" s="154" t="str">
        <f>VLOOKUP(J125,[2]Entourage!A:B,2,FALSE)</f>
        <v>阿拉基</v>
      </c>
      <c r="T125" s="151" t="str">
        <f>VLOOKUP(M125,[2]Entourage!A:B,2,FALSE)</f>
        <v>火元素</v>
      </c>
      <c r="U125" s="163"/>
      <c r="V125" s="147"/>
    </row>
    <row r="126" spans="1:22">
      <c r="A126" s="159">
        <f t="shared" si="17"/>
        <v>13</v>
      </c>
      <c r="B126" s="160">
        <f>COUNTIF(A$1:A126,A126)</f>
        <v>5</v>
      </c>
      <c r="C126" s="160">
        <f t="shared" si="18"/>
        <v>101</v>
      </c>
      <c r="D126" s="159">
        <v>306</v>
      </c>
      <c r="E126" s="159">
        <f t="shared" si="19"/>
        <v>50</v>
      </c>
      <c r="F126" s="160">
        <f t="shared" si="20"/>
        <v>3</v>
      </c>
      <c r="G126" s="161">
        <f t="shared" si="12"/>
        <v>5902</v>
      </c>
      <c r="H126" s="159">
        <f t="shared" si="13"/>
        <v>6</v>
      </c>
      <c r="I126" s="159">
        <f t="shared" si="21"/>
        <v>7650</v>
      </c>
      <c r="J126" s="152">
        <f>VLOOKUP(A126,[2]filiation!A:C,3,FALSE)</f>
        <v>8</v>
      </c>
      <c r="K126" s="152">
        <f>VLOOKUP(J126,[2]Entourage!A:N,14,FALSE)</f>
        <v>3</v>
      </c>
      <c r="L126" s="152" t="str">
        <f t="shared" si="14"/>
        <v>辅助</v>
      </c>
      <c r="M126" s="152">
        <f>VLOOKUP(A126,[2]filiation!A:D,4,FALSE)</f>
        <v>5</v>
      </c>
      <c r="N126" s="152">
        <f>VLOOKUP(M126,[2]Entourage!A:N,14,FALSE)</f>
        <v>2</v>
      </c>
      <c r="O126" s="152" t="str">
        <f t="shared" si="15"/>
        <v>刺杀</v>
      </c>
      <c r="P126" s="152">
        <f t="shared" si="16"/>
        <v>101</v>
      </c>
      <c r="Q126" s="151">
        <f>INT(VLOOKUP(VLOOKUP(A126,[2]filiation!A:E,3,FALSE),[2]Entourage!A:AA,IF(C126=101,25,IF(C126=102,26,IF(C126=104,27))),FALSE)*VLOOKUP(N126,$AF$2:$AI$6,IF(C126=1,2,IF(C126=2,3,4)),FALSE)*VLOOKUP(B126,$AK$2:$AL$11,2,FALSE))</f>
        <v>333</v>
      </c>
      <c r="R126" s="153">
        <f>IFERROR(INDEX([3]ItemConfig!$BB:$BB,MATCH(G126,[3]ItemConfig!$A:$A,0))*H126,0)</f>
        <v>0</v>
      </c>
      <c r="S126" s="154" t="str">
        <f>VLOOKUP(J126,[2]Entourage!A:B,2,FALSE)</f>
        <v>阿拉基</v>
      </c>
      <c r="T126" s="151" t="str">
        <f>VLOOKUP(M126,[2]Entourage!A:B,2,FALSE)</f>
        <v>火元素</v>
      </c>
      <c r="U126" s="163"/>
      <c r="V126" s="147"/>
    </row>
    <row r="127" spans="1:22">
      <c r="A127" s="159">
        <f t="shared" si="17"/>
        <v>13</v>
      </c>
      <c r="B127" s="160">
        <f>COUNTIF(A$1:A127,A127)</f>
        <v>6</v>
      </c>
      <c r="C127" s="160">
        <f t="shared" si="18"/>
        <v>101</v>
      </c>
      <c r="D127" s="159">
        <v>368</v>
      </c>
      <c r="E127" s="159">
        <f t="shared" si="19"/>
        <v>60</v>
      </c>
      <c r="F127" s="160">
        <f t="shared" si="20"/>
        <v>4</v>
      </c>
      <c r="G127" s="161">
        <f t="shared" si="12"/>
        <v>5902</v>
      </c>
      <c r="H127" s="159">
        <f t="shared" si="13"/>
        <v>8</v>
      </c>
      <c r="I127" s="159">
        <f t="shared" si="21"/>
        <v>9200</v>
      </c>
      <c r="J127" s="152">
        <f>VLOOKUP(A127,[2]filiation!A:C,3,FALSE)</f>
        <v>8</v>
      </c>
      <c r="K127" s="152">
        <f>VLOOKUP(J127,[2]Entourage!A:N,14,FALSE)</f>
        <v>3</v>
      </c>
      <c r="L127" s="152" t="str">
        <f t="shared" si="14"/>
        <v>辅助</v>
      </c>
      <c r="M127" s="152">
        <f>VLOOKUP(A127,[2]filiation!A:D,4,FALSE)</f>
        <v>5</v>
      </c>
      <c r="N127" s="152">
        <f>VLOOKUP(M127,[2]Entourage!A:N,14,FALSE)</f>
        <v>2</v>
      </c>
      <c r="O127" s="152" t="str">
        <f t="shared" si="15"/>
        <v>刺杀</v>
      </c>
      <c r="P127" s="152">
        <f t="shared" si="16"/>
        <v>101</v>
      </c>
      <c r="Q127" s="151">
        <f>INT(VLOOKUP(VLOOKUP(A127,[2]filiation!A:E,3,FALSE),[2]Entourage!A:AA,IF(C127=101,25,IF(C127=102,26,IF(C127=104,27))),FALSE)*VLOOKUP(N127,$AF$2:$AI$6,IF(C127=1,2,IF(C127=2,3,4)),FALSE)*VLOOKUP(B127,$AK$2:$AL$11,2,FALSE))</f>
        <v>374</v>
      </c>
      <c r="R127" s="153">
        <f>IFERROR(INDEX([3]ItemConfig!$BB:$BB,MATCH(G127,[3]ItemConfig!$A:$A,0))*H127,0)</f>
        <v>0</v>
      </c>
      <c r="S127" s="154" t="str">
        <f>VLOOKUP(J127,[2]Entourage!A:B,2,FALSE)</f>
        <v>阿拉基</v>
      </c>
      <c r="T127" s="151" t="str">
        <f>VLOOKUP(M127,[2]Entourage!A:B,2,FALSE)</f>
        <v>火元素</v>
      </c>
      <c r="U127" s="163"/>
      <c r="V127" s="147"/>
    </row>
    <row r="128" spans="1:22">
      <c r="A128" s="159">
        <f t="shared" si="17"/>
        <v>13</v>
      </c>
      <c r="B128" s="160">
        <f>COUNTIF(A$1:A128,A128)</f>
        <v>7</v>
      </c>
      <c r="C128" s="160">
        <f t="shared" si="18"/>
        <v>101</v>
      </c>
      <c r="D128" s="159">
        <v>429</v>
      </c>
      <c r="E128" s="159">
        <f t="shared" si="19"/>
        <v>70</v>
      </c>
      <c r="F128" s="160">
        <f t="shared" si="20"/>
        <v>4</v>
      </c>
      <c r="G128" s="161">
        <f t="shared" si="12"/>
        <v>5902</v>
      </c>
      <c r="H128" s="159">
        <f t="shared" si="13"/>
        <v>10</v>
      </c>
      <c r="I128" s="159">
        <f t="shared" si="21"/>
        <v>10725</v>
      </c>
      <c r="J128" s="152">
        <f>VLOOKUP(A128,[2]filiation!A:C,3,FALSE)</f>
        <v>8</v>
      </c>
      <c r="K128" s="152">
        <f>VLOOKUP(J128,[2]Entourage!A:N,14,FALSE)</f>
        <v>3</v>
      </c>
      <c r="L128" s="152" t="str">
        <f t="shared" si="14"/>
        <v>辅助</v>
      </c>
      <c r="M128" s="152">
        <f>VLOOKUP(A128,[2]filiation!A:D,4,FALSE)</f>
        <v>5</v>
      </c>
      <c r="N128" s="152">
        <f>VLOOKUP(M128,[2]Entourage!A:N,14,FALSE)</f>
        <v>2</v>
      </c>
      <c r="O128" s="152" t="str">
        <f t="shared" si="15"/>
        <v>刺杀</v>
      </c>
      <c r="P128" s="152">
        <f t="shared" si="16"/>
        <v>101</v>
      </c>
      <c r="Q128" s="151">
        <f>INT(VLOOKUP(VLOOKUP(A128,[2]filiation!A:E,3,FALSE),[2]Entourage!A:AA,IF(C128=101,25,IF(C128=102,26,IF(C128=104,27))),FALSE)*VLOOKUP(N128,$AF$2:$AI$6,IF(C128=1,2,IF(C128=2,3,4)),FALSE)*VLOOKUP(B128,$AK$2:$AL$11,2,FALSE))</f>
        <v>422</v>
      </c>
      <c r="R128" s="153">
        <f>IFERROR(INDEX([3]ItemConfig!$BB:$BB,MATCH(G128,[3]ItemConfig!$A:$A,0))*H128,0)</f>
        <v>0</v>
      </c>
      <c r="S128" s="154" t="str">
        <f>VLOOKUP(J128,[2]Entourage!A:B,2,FALSE)</f>
        <v>阿拉基</v>
      </c>
      <c r="T128" s="151" t="str">
        <f>VLOOKUP(M128,[2]Entourage!A:B,2,FALSE)</f>
        <v>火元素</v>
      </c>
      <c r="U128" s="163"/>
      <c r="V128" s="147"/>
    </row>
    <row r="129" spans="1:22">
      <c r="A129" s="159">
        <f t="shared" si="17"/>
        <v>13</v>
      </c>
      <c r="B129" s="160">
        <f>COUNTIF(A$1:A129,A129)</f>
        <v>8</v>
      </c>
      <c r="C129" s="160">
        <f t="shared" si="18"/>
        <v>101</v>
      </c>
      <c r="D129" s="159">
        <v>490</v>
      </c>
      <c r="E129" s="159">
        <f t="shared" si="19"/>
        <v>80</v>
      </c>
      <c r="F129" s="160">
        <f t="shared" si="20"/>
        <v>5</v>
      </c>
      <c r="G129" s="161">
        <f t="shared" si="12"/>
        <v>5902</v>
      </c>
      <c r="H129" s="159">
        <f t="shared" si="13"/>
        <v>12</v>
      </c>
      <c r="I129" s="159">
        <f t="shared" si="21"/>
        <v>12250</v>
      </c>
      <c r="J129" s="152">
        <f>VLOOKUP(A129,[2]filiation!A:C,3,FALSE)</f>
        <v>8</v>
      </c>
      <c r="K129" s="152">
        <f>VLOOKUP(J129,[2]Entourage!A:N,14,FALSE)</f>
        <v>3</v>
      </c>
      <c r="L129" s="152" t="str">
        <f t="shared" si="14"/>
        <v>辅助</v>
      </c>
      <c r="M129" s="152">
        <f>VLOOKUP(A129,[2]filiation!A:D,4,FALSE)</f>
        <v>5</v>
      </c>
      <c r="N129" s="152">
        <f>VLOOKUP(M129,[2]Entourage!A:N,14,FALSE)</f>
        <v>2</v>
      </c>
      <c r="O129" s="152" t="str">
        <f t="shared" si="15"/>
        <v>刺杀</v>
      </c>
      <c r="P129" s="152">
        <f t="shared" si="16"/>
        <v>101</v>
      </c>
      <c r="Q129" s="151">
        <f>INT(VLOOKUP(VLOOKUP(A129,[2]filiation!A:E,3,FALSE),[2]Entourage!A:AA,IF(C129=101,25,IF(C129=102,26,IF(C129=104,27))),FALSE)*VLOOKUP(N129,$AF$2:$AI$6,IF(C129=1,2,IF(C129=2,3,4)),FALSE)*VLOOKUP(B129,$AK$2:$AL$11,2,FALSE))</f>
        <v>478</v>
      </c>
      <c r="R129" s="153">
        <f>IFERROR(INDEX([3]ItemConfig!$BB:$BB,MATCH(G129,[3]ItemConfig!$A:$A,0))*H129,0)</f>
        <v>0</v>
      </c>
      <c r="S129" s="154" t="str">
        <f>VLOOKUP(J129,[2]Entourage!A:B,2,FALSE)</f>
        <v>阿拉基</v>
      </c>
      <c r="T129" s="151" t="str">
        <f>VLOOKUP(M129,[2]Entourage!A:B,2,FALSE)</f>
        <v>火元素</v>
      </c>
      <c r="U129" s="163"/>
      <c r="V129" s="147"/>
    </row>
    <row r="130" spans="1:22">
      <c r="A130" s="159">
        <f t="shared" si="17"/>
        <v>13</v>
      </c>
      <c r="B130" s="160">
        <f>COUNTIF(A$1:A130,A130)</f>
        <v>9</v>
      </c>
      <c r="C130" s="160">
        <f t="shared" si="18"/>
        <v>101</v>
      </c>
      <c r="D130" s="159">
        <v>551</v>
      </c>
      <c r="E130" s="159">
        <f t="shared" si="19"/>
        <v>90</v>
      </c>
      <c r="F130" s="160">
        <f t="shared" si="20"/>
        <v>5</v>
      </c>
      <c r="G130" s="161">
        <f t="shared" ref="G130:G193" si="22">VLOOKUP(B130,AA$2:AC$11,2,FALSE)</f>
        <v>5902</v>
      </c>
      <c r="H130" s="159">
        <f t="shared" ref="H130:H193" si="23">VLOOKUP(B130,AA$2:AC$11,3,FALSE)</f>
        <v>15</v>
      </c>
      <c r="I130" s="159">
        <f t="shared" si="21"/>
        <v>13775</v>
      </c>
      <c r="J130" s="152">
        <f>VLOOKUP(A130,[2]filiation!A:C,3,FALSE)</f>
        <v>8</v>
      </c>
      <c r="K130" s="152">
        <f>VLOOKUP(J130,[2]Entourage!A:N,14,FALSE)</f>
        <v>3</v>
      </c>
      <c r="L130" s="152" t="str">
        <f t="shared" ref="L130:L181" si="24">VLOOKUP(K130,$X$2:$Y$4,2,FALSE)</f>
        <v>辅助</v>
      </c>
      <c r="M130" s="152">
        <f>VLOOKUP(A130,[2]filiation!A:D,4,FALSE)</f>
        <v>5</v>
      </c>
      <c r="N130" s="152">
        <f>VLOOKUP(M130,[2]Entourage!A:N,14,FALSE)</f>
        <v>2</v>
      </c>
      <c r="O130" s="152" t="str">
        <f t="shared" ref="O130:O181" si="25">VLOOKUP(N130,$X$2:$Y$4,2,FALSE)</f>
        <v>刺杀</v>
      </c>
      <c r="P130" s="152">
        <f t="shared" ref="P130:P181" si="26">VLOOKUP(N130,$X$2:$Z$4,3,FALSE)</f>
        <v>101</v>
      </c>
      <c r="Q130" s="151">
        <f>INT(VLOOKUP(VLOOKUP(A130,[2]filiation!A:E,3,FALSE),[2]Entourage!A:AA,IF(C130=101,25,IF(C130=102,26,IF(C130=104,27))),FALSE)*VLOOKUP(N130,$AF$2:$AI$6,IF(C130=1,2,IF(C130=2,3,4)),FALSE)*VLOOKUP(B130,$AK$2:$AL$11,2,FALSE))</f>
        <v>541</v>
      </c>
      <c r="R130" s="153">
        <f>IFERROR(INDEX([3]ItemConfig!$BB:$BB,MATCH(G130,[3]ItemConfig!$A:$A,0))*H130,0)</f>
        <v>0</v>
      </c>
      <c r="S130" s="154" t="str">
        <f>VLOOKUP(J130,[2]Entourage!A:B,2,FALSE)</f>
        <v>阿拉基</v>
      </c>
      <c r="T130" s="151" t="str">
        <f>VLOOKUP(M130,[2]Entourage!A:B,2,FALSE)</f>
        <v>火元素</v>
      </c>
      <c r="U130" s="163"/>
      <c r="V130" s="147"/>
    </row>
    <row r="131" spans="1:22">
      <c r="A131" s="159">
        <f t="shared" ref="A131:A181" si="27">INT((ROW(A131)+8)/10)</f>
        <v>13</v>
      </c>
      <c r="B131" s="160">
        <f>COUNTIF(A$1:A131,A131)</f>
        <v>10</v>
      </c>
      <c r="C131" s="160">
        <f t="shared" ref="C131:C181" si="28">P131</f>
        <v>101</v>
      </c>
      <c r="D131" s="159">
        <v>612</v>
      </c>
      <c r="E131" s="159">
        <f t="shared" ref="E131:E181" si="29">MIN(B131*10,90)</f>
        <v>90</v>
      </c>
      <c r="F131" s="160">
        <f t="shared" ref="F131:F181" si="30">INT(B131/2)+1</f>
        <v>6</v>
      </c>
      <c r="G131" s="161">
        <f t="shared" si="22"/>
        <v>5902</v>
      </c>
      <c r="H131" s="159">
        <f t="shared" si="23"/>
        <v>18</v>
      </c>
      <c r="I131" s="159">
        <f t="shared" ref="I131:I194" si="31">INT(IF(C131=104,D131,D131*25))</f>
        <v>15300</v>
      </c>
      <c r="J131" s="152">
        <f>VLOOKUP(A131,[2]filiation!A:C,3,FALSE)</f>
        <v>8</v>
      </c>
      <c r="K131" s="152">
        <f>VLOOKUP(J131,[2]Entourage!A:N,14,FALSE)</f>
        <v>3</v>
      </c>
      <c r="L131" s="152" t="str">
        <f t="shared" si="24"/>
        <v>辅助</v>
      </c>
      <c r="M131" s="152">
        <f>VLOOKUP(A131,[2]filiation!A:D,4,FALSE)</f>
        <v>5</v>
      </c>
      <c r="N131" s="152">
        <f>VLOOKUP(M131,[2]Entourage!A:N,14,FALSE)</f>
        <v>2</v>
      </c>
      <c r="O131" s="152" t="str">
        <f t="shared" si="25"/>
        <v>刺杀</v>
      </c>
      <c r="P131" s="152">
        <f t="shared" si="26"/>
        <v>101</v>
      </c>
      <c r="Q131" s="151">
        <f>INT(VLOOKUP(VLOOKUP(A131,[2]filiation!A:E,3,FALSE),[2]Entourage!A:AA,IF(C131=101,25,IF(C131=102,26,IF(C131=104,27))),FALSE)*VLOOKUP(N131,$AF$2:$AI$6,IF(C131=1,2,IF(C131=2,3,4)),FALSE)*VLOOKUP(B131,$AK$2:$AL$11,2,FALSE))</f>
        <v>612</v>
      </c>
      <c r="R131" s="153">
        <f>IFERROR(INDEX([3]ItemConfig!$BB:$BB,MATCH(G131,[3]ItemConfig!$A:$A,0))*H131,0)</f>
        <v>0</v>
      </c>
      <c r="S131" s="154" t="str">
        <f>VLOOKUP(J131,[2]Entourage!A:B,2,FALSE)</f>
        <v>阿拉基</v>
      </c>
      <c r="T131" s="151" t="str">
        <f>VLOOKUP(M131,[2]Entourage!A:B,2,FALSE)</f>
        <v>火元素</v>
      </c>
      <c r="U131" s="163"/>
      <c r="V131" s="147"/>
    </row>
    <row r="132" spans="1:22">
      <c r="A132" s="166">
        <f t="shared" si="27"/>
        <v>14</v>
      </c>
      <c r="B132" s="167">
        <f>COUNTIF(A$1:A132,A132)</f>
        <v>1</v>
      </c>
      <c r="C132" s="167">
        <f t="shared" si="28"/>
        <v>104</v>
      </c>
      <c r="D132" s="166">
        <v>1416</v>
      </c>
      <c r="E132" s="166">
        <f t="shared" si="29"/>
        <v>10</v>
      </c>
      <c r="F132" s="167">
        <f t="shared" si="30"/>
        <v>1</v>
      </c>
      <c r="G132" s="168">
        <f t="shared" si="22"/>
        <v>5902</v>
      </c>
      <c r="H132" s="166">
        <f t="shared" si="23"/>
        <v>1</v>
      </c>
      <c r="I132" s="166">
        <f t="shared" si="31"/>
        <v>1416</v>
      </c>
      <c r="J132" s="152">
        <f>VLOOKUP(A132,[2]filiation!A:C,3,FALSE)</f>
        <v>9</v>
      </c>
      <c r="K132" s="152">
        <f>VLOOKUP(J132,[2]Entourage!A:N,14,FALSE)</f>
        <v>2</v>
      </c>
      <c r="L132" s="152" t="str">
        <f t="shared" si="24"/>
        <v>刺杀</v>
      </c>
      <c r="M132" s="152">
        <f>VLOOKUP(A132,[2]filiation!A:D,4,FALSE)</f>
        <v>11</v>
      </c>
      <c r="N132" s="152">
        <f>VLOOKUP(M132,[2]Entourage!A:N,14,FALSE)</f>
        <v>3</v>
      </c>
      <c r="O132" s="152" t="str">
        <f t="shared" si="25"/>
        <v>辅助</v>
      </c>
      <c r="P132" s="152">
        <f t="shared" si="26"/>
        <v>104</v>
      </c>
      <c r="Q132" s="151">
        <f>INT(VLOOKUP(VLOOKUP(A132,[2]filiation!A:E,3,FALSE),[2]Entourage!A:AA,IF(C132=101,25,IF(C132=102,26,IF(C132=104,27))),FALSE)*VLOOKUP(N132,$AF$2:$AI$6,IF(C132=1,2,IF(C132=2,3,4)),FALSE)*VLOOKUP(B132,$AK$2:$AL$11,2,FALSE))</f>
        <v>5663</v>
      </c>
      <c r="R132" s="153">
        <f>IFERROR(INDEX([3]ItemConfig!$BB:$BB,MATCH(G132,[3]ItemConfig!$A:$A,0))*H132,0)</f>
        <v>0</v>
      </c>
      <c r="S132" s="154" t="str">
        <f>VLOOKUP(J132,[2]Entourage!A:B,2,FALSE)</f>
        <v>安娜</v>
      </c>
      <c r="T132" s="151" t="str">
        <f>VLOOKUP(M132,[2]Entourage!A:B,2,FALSE)</f>
        <v>露莉亚</v>
      </c>
      <c r="U132" s="163"/>
      <c r="V132" s="147"/>
    </row>
    <row r="133" spans="1:22">
      <c r="A133" s="166">
        <f t="shared" si="27"/>
        <v>14</v>
      </c>
      <c r="B133" s="167">
        <f>COUNTIF(A$1:A133,A133)</f>
        <v>2</v>
      </c>
      <c r="C133" s="167">
        <f t="shared" si="28"/>
        <v>104</v>
      </c>
      <c r="D133" s="166">
        <v>2832</v>
      </c>
      <c r="E133" s="166">
        <f t="shared" si="29"/>
        <v>20</v>
      </c>
      <c r="F133" s="167">
        <f t="shared" si="30"/>
        <v>2</v>
      </c>
      <c r="G133" s="168">
        <f t="shared" si="22"/>
        <v>5902</v>
      </c>
      <c r="H133" s="166">
        <f t="shared" si="23"/>
        <v>2</v>
      </c>
      <c r="I133" s="166">
        <f t="shared" si="31"/>
        <v>2832</v>
      </c>
      <c r="J133" s="152">
        <f>VLOOKUP(A133,[2]filiation!A:C,3,FALSE)</f>
        <v>9</v>
      </c>
      <c r="K133" s="152">
        <f>VLOOKUP(J133,[2]Entourage!A:N,14,FALSE)</f>
        <v>2</v>
      </c>
      <c r="L133" s="152" t="str">
        <f t="shared" si="24"/>
        <v>刺杀</v>
      </c>
      <c r="M133" s="152">
        <f>VLOOKUP(A133,[2]filiation!A:D,4,FALSE)</f>
        <v>11</v>
      </c>
      <c r="N133" s="152">
        <f>VLOOKUP(M133,[2]Entourage!A:N,14,FALSE)</f>
        <v>3</v>
      </c>
      <c r="O133" s="152" t="str">
        <f t="shared" si="25"/>
        <v>辅助</v>
      </c>
      <c r="P133" s="152">
        <f t="shared" si="26"/>
        <v>104</v>
      </c>
      <c r="Q133" s="151">
        <f>INT(VLOOKUP(VLOOKUP(A133,[2]filiation!A:E,3,FALSE),[2]Entourage!A:AA,IF(C133=101,25,IF(C133=102,26,IF(C133=104,27))),FALSE)*VLOOKUP(N133,$AF$2:$AI$6,IF(C133=1,2,IF(C133=2,3,4)),FALSE)*VLOOKUP(B133,$AK$2:$AL$11,2,FALSE))</f>
        <v>5920</v>
      </c>
      <c r="R133" s="153">
        <f>IFERROR(INDEX([3]ItemConfig!$BB:$BB,MATCH(G133,[3]ItemConfig!$A:$A,0))*H133,0)</f>
        <v>0</v>
      </c>
      <c r="S133" s="154" t="str">
        <f>VLOOKUP(J133,[2]Entourage!A:B,2,FALSE)</f>
        <v>安娜</v>
      </c>
      <c r="T133" s="151" t="str">
        <f>VLOOKUP(M133,[2]Entourage!A:B,2,FALSE)</f>
        <v>露莉亚</v>
      </c>
      <c r="U133" s="163"/>
      <c r="V133" s="147"/>
    </row>
    <row r="134" spans="1:22">
      <c r="A134" s="166">
        <f t="shared" si="27"/>
        <v>14</v>
      </c>
      <c r="B134" s="167">
        <f>COUNTIF(A$1:A134,A134)</f>
        <v>3</v>
      </c>
      <c r="C134" s="167">
        <f t="shared" si="28"/>
        <v>104</v>
      </c>
      <c r="D134" s="166">
        <v>4248</v>
      </c>
      <c r="E134" s="166">
        <f t="shared" si="29"/>
        <v>30</v>
      </c>
      <c r="F134" s="167">
        <f t="shared" si="30"/>
        <v>2</v>
      </c>
      <c r="G134" s="168">
        <f t="shared" si="22"/>
        <v>5902</v>
      </c>
      <c r="H134" s="166">
        <f t="shared" si="23"/>
        <v>3</v>
      </c>
      <c r="I134" s="166">
        <f t="shared" si="31"/>
        <v>4248</v>
      </c>
      <c r="J134" s="152">
        <f>VLOOKUP(A134,[2]filiation!A:C,3,FALSE)</f>
        <v>9</v>
      </c>
      <c r="K134" s="152">
        <f>VLOOKUP(J134,[2]Entourage!A:N,14,FALSE)</f>
        <v>2</v>
      </c>
      <c r="L134" s="152" t="str">
        <f t="shared" si="24"/>
        <v>刺杀</v>
      </c>
      <c r="M134" s="152">
        <f>VLOOKUP(A134,[2]filiation!A:D,4,FALSE)</f>
        <v>11</v>
      </c>
      <c r="N134" s="152">
        <f>VLOOKUP(M134,[2]Entourage!A:N,14,FALSE)</f>
        <v>3</v>
      </c>
      <c r="O134" s="152" t="str">
        <f t="shared" si="25"/>
        <v>辅助</v>
      </c>
      <c r="P134" s="152">
        <f t="shared" si="26"/>
        <v>104</v>
      </c>
      <c r="Q134" s="151">
        <f>INT(VLOOKUP(VLOOKUP(A134,[2]filiation!A:E,3,FALSE),[2]Entourage!A:AA,IF(C134=101,25,IF(C134=102,26,IF(C134=104,27))),FALSE)*VLOOKUP(N134,$AF$2:$AI$6,IF(C134=1,2,IF(C134=2,3,4)),FALSE)*VLOOKUP(B134,$AK$2:$AL$11,2,FALSE))</f>
        <v>6349</v>
      </c>
      <c r="R134" s="153">
        <f>IFERROR(INDEX([3]ItemConfig!$BB:$BB,MATCH(G134,[3]ItemConfig!$A:$A,0))*H134,0)</f>
        <v>0</v>
      </c>
      <c r="S134" s="154" t="str">
        <f>VLOOKUP(J134,[2]Entourage!A:B,2,FALSE)</f>
        <v>安娜</v>
      </c>
      <c r="T134" s="151" t="str">
        <f>VLOOKUP(M134,[2]Entourage!A:B,2,FALSE)</f>
        <v>露莉亚</v>
      </c>
      <c r="U134" s="163"/>
      <c r="V134" s="147"/>
    </row>
    <row r="135" spans="1:22">
      <c r="A135" s="166">
        <f t="shared" si="27"/>
        <v>14</v>
      </c>
      <c r="B135" s="167">
        <f>COUNTIF(A$1:A135,A135)</f>
        <v>4</v>
      </c>
      <c r="C135" s="167">
        <f t="shared" si="28"/>
        <v>104</v>
      </c>
      <c r="D135" s="166">
        <v>5664</v>
      </c>
      <c r="E135" s="166">
        <f t="shared" si="29"/>
        <v>40</v>
      </c>
      <c r="F135" s="167">
        <f t="shared" si="30"/>
        <v>3</v>
      </c>
      <c r="G135" s="168">
        <f t="shared" si="22"/>
        <v>5902</v>
      </c>
      <c r="H135" s="166">
        <f t="shared" si="23"/>
        <v>4</v>
      </c>
      <c r="I135" s="166">
        <f t="shared" si="31"/>
        <v>5664</v>
      </c>
      <c r="J135" s="152">
        <f>VLOOKUP(A135,[2]filiation!A:C,3,FALSE)</f>
        <v>9</v>
      </c>
      <c r="K135" s="152">
        <f>VLOOKUP(J135,[2]Entourage!A:N,14,FALSE)</f>
        <v>2</v>
      </c>
      <c r="L135" s="152" t="str">
        <f t="shared" si="24"/>
        <v>刺杀</v>
      </c>
      <c r="M135" s="152">
        <f>VLOOKUP(A135,[2]filiation!A:D,4,FALSE)</f>
        <v>11</v>
      </c>
      <c r="N135" s="152">
        <f>VLOOKUP(M135,[2]Entourage!A:N,14,FALSE)</f>
        <v>3</v>
      </c>
      <c r="O135" s="152" t="str">
        <f t="shared" si="25"/>
        <v>辅助</v>
      </c>
      <c r="P135" s="152">
        <f t="shared" si="26"/>
        <v>104</v>
      </c>
      <c r="Q135" s="151">
        <f>INT(VLOOKUP(VLOOKUP(A135,[2]filiation!A:E,3,FALSE),[2]Entourage!A:AA,IF(C135=101,25,IF(C135=102,26,IF(C135=104,27))),FALSE)*VLOOKUP(N135,$AF$2:$AI$6,IF(C135=1,2,IF(C135=2,3,4)),FALSE)*VLOOKUP(B135,$AK$2:$AL$11,2,FALSE))</f>
        <v>6950</v>
      </c>
      <c r="R135" s="153">
        <f>IFERROR(INDEX([3]ItemConfig!$BB:$BB,MATCH(G135,[3]ItemConfig!$A:$A,0))*H135,0)</f>
        <v>0</v>
      </c>
      <c r="S135" s="154" t="str">
        <f>VLOOKUP(J135,[2]Entourage!A:B,2,FALSE)</f>
        <v>安娜</v>
      </c>
      <c r="T135" s="151" t="str">
        <f>VLOOKUP(M135,[2]Entourage!A:B,2,FALSE)</f>
        <v>露莉亚</v>
      </c>
      <c r="U135" s="163"/>
      <c r="V135" s="147"/>
    </row>
    <row r="136" spans="1:22">
      <c r="A136" s="166">
        <f t="shared" si="27"/>
        <v>14</v>
      </c>
      <c r="B136" s="167">
        <f>COUNTIF(A$1:A136,A136)</f>
        <v>5</v>
      </c>
      <c r="C136" s="167">
        <f t="shared" si="28"/>
        <v>104</v>
      </c>
      <c r="D136" s="166">
        <v>7079</v>
      </c>
      <c r="E136" s="166">
        <f t="shared" si="29"/>
        <v>50</v>
      </c>
      <c r="F136" s="167">
        <f t="shared" si="30"/>
        <v>3</v>
      </c>
      <c r="G136" s="168">
        <f t="shared" si="22"/>
        <v>5902</v>
      </c>
      <c r="H136" s="166">
        <f t="shared" si="23"/>
        <v>6</v>
      </c>
      <c r="I136" s="166">
        <f t="shared" si="31"/>
        <v>7079</v>
      </c>
      <c r="J136" s="152">
        <f>VLOOKUP(A136,[2]filiation!A:C,3,FALSE)</f>
        <v>9</v>
      </c>
      <c r="K136" s="152">
        <f>VLOOKUP(J136,[2]Entourage!A:N,14,FALSE)</f>
        <v>2</v>
      </c>
      <c r="L136" s="152" t="str">
        <f t="shared" si="24"/>
        <v>刺杀</v>
      </c>
      <c r="M136" s="152">
        <f>VLOOKUP(A136,[2]filiation!A:D,4,FALSE)</f>
        <v>11</v>
      </c>
      <c r="N136" s="152">
        <f>VLOOKUP(M136,[2]Entourage!A:N,14,FALSE)</f>
        <v>3</v>
      </c>
      <c r="O136" s="152" t="str">
        <f t="shared" si="25"/>
        <v>辅助</v>
      </c>
      <c r="P136" s="152">
        <f t="shared" si="26"/>
        <v>104</v>
      </c>
      <c r="Q136" s="151">
        <f>INT(VLOOKUP(VLOOKUP(A136,[2]filiation!A:E,3,FALSE),[2]Entourage!A:AA,IF(C136=101,25,IF(C136=102,26,IF(C136=104,27))),FALSE)*VLOOKUP(N136,$AF$2:$AI$6,IF(C136=1,2,IF(C136=2,3,4)),FALSE)*VLOOKUP(B136,$AK$2:$AL$11,2,FALSE))</f>
        <v>7722</v>
      </c>
      <c r="R136" s="153">
        <f>IFERROR(INDEX([3]ItemConfig!$BB:$BB,MATCH(G136,[3]ItemConfig!$A:$A,0))*H136,0)</f>
        <v>0</v>
      </c>
      <c r="S136" s="154" t="str">
        <f>VLOOKUP(J136,[2]Entourage!A:B,2,FALSE)</f>
        <v>安娜</v>
      </c>
      <c r="T136" s="151" t="str">
        <f>VLOOKUP(M136,[2]Entourage!A:B,2,FALSE)</f>
        <v>露莉亚</v>
      </c>
      <c r="U136" s="163"/>
      <c r="V136" s="147"/>
    </row>
    <row r="137" spans="1:22">
      <c r="A137" s="166">
        <f t="shared" si="27"/>
        <v>14</v>
      </c>
      <c r="B137" s="167">
        <f>COUNTIF(A$1:A137,A137)</f>
        <v>6</v>
      </c>
      <c r="C137" s="167">
        <f t="shared" si="28"/>
        <v>104</v>
      </c>
      <c r="D137" s="166">
        <v>8495</v>
      </c>
      <c r="E137" s="166">
        <f t="shared" si="29"/>
        <v>60</v>
      </c>
      <c r="F137" s="167">
        <f t="shared" si="30"/>
        <v>4</v>
      </c>
      <c r="G137" s="168">
        <f t="shared" si="22"/>
        <v>5902</v>
      </c>
      <c r="H137" s="166">
        <f t="shared" si="23"/>
        <v>8</v>
      </c>
      <c r="I137" s="166">
        <f t="shared" si="31"/>
        <v>8495</v>
      </c>
      <c r="J137" s="152">
        <f>VLOOKUP(A137,[2]filiation!A:C,3,FALSE)</f>
        <v>9</v>
      </c>
      <c r="K137" s="152">
        <f>VLOOKUP(J137,[2]Entourage!A:N,14,FALSE)</f>
        <v>2</v>
      </c>
      <c r="L137" s="152" t="str">
        <f t="shared" si="24"/>
        <v>刺杀</v>
      </c>
      <c r="M137" s="152">
        <f>VLOOKUP(A137,[2]filiation!A:D,4,FALSE)</f>
        <v>11</v>
      </c>
      <c r="N137" s="152">
        <f>VLOOKUP(M137,[2]Entourage!A:N,14,FALSE)</f>
        <v>3</v>
      </c>
      <c r="O137" s="152" t="str">
        <f t="shared" si="25"/>
        <v>辅助</v>
      </c>
      <c r="P137" s="152">
        <f t="shared" si="26"/>
        <v>104</v>
      </c>
      <c r="Q137" s="151">
        <f>INT(VLOOKUP(VLOOKUP(A137,[2]filiation!A:E,3,FALSE),[2]Entourage!A:AA,IF(C137=101,25,IF(C137=102,26,IF(C137=104,27))),FALSE)*VLOOKUP(N137,$AF$2:$AI$6,IF(C137=1,2,IF(C137=2,3,4)),FALSE)*VLOOKUP(B137,$AK$2:$AL$11,2,FALSE))</f>
        <v>8666</v>
      </c>
      <c r="R137" s="153">
        <f>IFERROR(INDEX([3]ItemConfig!$BB:$BB,MATCH(G137,[3]ItemConfig!$A:$A,0))*H137,0)</f>
        <v>0</v>
      </c>
      <c r="S137" s="154" t="str">
        <f>VLOOKUP(J137,[2]Entourage!A:B,2,FALSE)</f>
        <v>安娜</v>
      </c>
      <c r="T137" s="151" t="str">
        <f>VLOOKUP(M137,[2]Entourage!A:B,2,FALSE)</f>
        <v>露莉亚</v>
      </c>
      <c r="U137" s="163"/>
      <c r="V137" s="147"/>
    </row>
    <row r="138" spans="1:22">
      <c r="A138" s="166">
        <f t="shared" si="27"/>
        <v>14</v>
      </c>
      <c r="B138" s="167">
        <f>COUNTIF(A$1:A138,A138)</f>
        <v>7</v>
      </c>
      <c r="C138" s="167">
        <f t="shared" si="28"/>
        <v>104</v>
      </c>
      <c r="D138" s="166">
        <v>9911</v>
      </c>
      <c r="E138" s="166">
        <f t="shared" si="29"/>
        <v>70</v>
      </c>
      <c r="F138" s="167">
        <f t="shared" si="30"/>
        <v>4</v>
      </c>
      <c r="G138" s="168">
        <f t="shared" si="22"/>
        <v>5902</v>
      </c>
      <c r="H138" s="166">
        <f t="shared" si="23"/>
        <v>10</v>
      </c>
      <c r="I138" s="166">
        <f t="shared" si="31"/>
        <v>9911</v>
      </c>
      <c r="J138" s="152">
        <f>VLOOKUP(A138,[2]filiation!A:C,3,FALSE)</f>
        <v>9</v>
      </c>
      <c r="K138" s="152">
        <f>VLOOKUP(J138,[2]Entourage!A:N,14,FALSE)</f>
        <v>2</v>
      </c>
      <c r="L138" s="152" t="str">
        <f t="shared" si="24"/>
        <v>刺杀</v>
      </c>
      <c r="M138" s="152">
        <f>VLOOKUP(A138,[2]filiation!A:D,4,FALSE)</f>
        <v>11</v>
      </c>
      <c r="N138" s="152">
        <f>VLOOKUP(M138,[2]Entourage!A:N,14,FALSE)</f>
        <v>3</v>
      </c>
      <c r="O138" s="152" t="str">
        <f t="shared" si="25"/>
        <v>辅助</v>
      </c>
      <c r="P138" s="152">
        <f t="shared" si="26"/>
        <v>104</v>
      </c>
      <c r="Q138" s="151">
        <f>INT(VLOOKUP(VLOOKUP(A138,[2]filiation!A:E,3,FALSE),[2]Entourage!A:AA,IF(C138=101,25,IF(C138=102,26,IF(C138=104,27))),FALSE)*VLOOKUP(N138,$AF$2:$AI$6,IF(C138=1,2,IF(C138=2,3,4)),FALSE)*VLOOKUP(B138,$AK$2:$AL$11,2,FALSE))</f>
        <v>9781</v>
      </c>
      <c r="R138" s="153">
        <f>IFERROR(INDEX([3]ItemConfig!$BB:$BB,MATCH(G138,[3]ItemConfig!$A:$A,0))*H138,0)</f>
        <v>0</v>
      </c>
      <c r="S138" s="154" t="str">
        <f>VLOOKUP(J138,[2]Entourage!A:B,2,FALSE)</f>
        <v>安娜</v>
      </c>
      <c r="T138" s="151" t="str">
        <f>VLOOKUP(M138,[2]Entourage!A:B,2,FALSE)</f>
        <v>露莉亚</v>
      </c>
      <c r="U138" s="163"/>
      <c r="V138" s="147"/>
    </row>
    <row r="139" spans="1:22">
      <c r="A139" s="166">
        <f t="shared" si="27"/>
        <v>14</v>
      </c>
      <c r="B139" s="167">
        <f>COUNTIF(A$1:A139,A139)</f>
        <v>8</v>
      </c>
      <c r="C139" s="167">
        <f t="shared" si="28"/>
        <v>104</v>
      </c>
      <c r="D139" s="166">
        <v>11327</v>
      </c>
      <c r="E139" s="166">
        <f t="shared" si="29"/>
        <v>80</v>
      </c>
      <c r="F139" s="167">
        <f t="shared" si="30"/>
        <v>5</v>
      </c>
      <c r="G139" s="168">
        <f t="shared" si="22"/>
        <v>5902</v>
      </c>
      <c r="H139" s="166">
        <f t="shared" si="23"/>
        <v>12</v>
      </c>
      <c r="I139" s="166">
        <f t="shared" si="31"/>
        <v>11327</v>
      </c>
      <c r="J139" s="152">
        <f>VLOOKUP(A139,[2]filiation!A:C,3,FALSE)</f>
        <v>9</v>
      </c>
      <c r="K139" s="152">
        <f>VLOOKUP(J139,[2]Entourage!A:N,14,FALSE)</f>
        <v>2</v>
      </c>
      <c r="L139" s="152" t="str">
        <f t="shared" si="24"/>
        <v>刺杀</v>
      </c>
      <c r="M139" s="152">
        <f>VLOOKUP(A139,[2]filiation!A:D,4,FALSE)</f>
        <v>11</v>
      </c>
      <c r="N139" s="152">
        <f>VLOOKUP(M139,[2]Entourage!A:N,14,FALSE)</f>
        <v>3</v>
      </c>
      <c r="O139" s="152" t="str">
        <f t="shared" si="25"/>
        <v>辅助</v>
      </c>
      <c r="P139" s="152">
        <f t="shared" si="26"/>
        <v>104</v>
      </c>
      <c r="Q139" s="151">
        <f>INT(VLOOKUP(VLOOKUP(A139,[2]filiation!A:E,3,FALSE),[2]Entourage!A:AA,IF(C139=101,25,IF(C139=102,26,IF(C139=104,27))),FALSE)*VLOOKUP(N139,$AF$2:$AI$6,IF(C139=1,2,IF(C139=2,3,4)),FALSE)*VLOOKUP(B139,$AK$2:$AL$11,2,FALSE))</f>
        <v>11068</v>
      </c>
      <c r="R139" s="153">
        <f>IFERROR(INDEX([3]ItemConfig!$BB:$BB,MATCH(G139,[3]ItemConfig!$A:$A,0))*H139,0)</f>
        <v>0</v>
      </c>
      <c r="S139" s="154" t="str">
        <f>VLOOKUP(J139,[2]Entourage!A:B,2,FALSE)</f>
        <v>安娜</v>
      </c>
      <c r="T139" s="151" t="str">
        <f>VLOOKUP(M139,[2]Entourage!A:B,2,FALSE)</f>
        <v>露莉亚</v>
      </c>
      <c r="U139" s="163"/>
      <c r="V139" s="147"/>
    </row>
    <row r="140" spans="1:22">
      <c r="A140" s="166">
        <f t="shared" si="27"/>
        <v>14</v>
      </c>
      <c r="B140" s="167">
        <f>COUNTIF(A$1:A140,A140)</f>
        <v>9</v>
      </c>
      <c r="C140" s="167">
        <f t="shared" si="28"/>
        <v>104</v>
      </c>
      <c r="D140" s="166">
        <v>12743</v>
      </c>
      <c r="E140" s="166">
        <f t="shared" si="29"/>
        <v>90</v>
      </c>
      <c r="F140" s="167">
        <f t="shared" si="30"/>
        <v>5</v>
      </c>
      <c r="G140" s="168">
        <f t="shared" si="22"/>
        <v>5902</v>
      </c>
      <c r="H140" s="166">
        <f t="shared" si="23"/>
        <v>15</v>
      </c>
      <c r="I140" s="166">
        <f t="shared" si="31"/>
        <v>12743</v>
      </c>
      <c r="J140" s="152">
        <f>VLOOKUP(A140,[2]filiation!A:C,3,FALSE)</f>
        <v>9</v>
      </c>
      <c r="K140" s="152">
        <f>VLOOKUP(J140,[2]Entourage!A:N,14,FALSE)</f>
        <v>2</v>
      </c>
      <c r="L140" s="152" t="str">
        <f t="shared" si="24"/>
        <v>刺杀</v>
      </c>
      <c r="M140" s="152">
        <f>VLOOKUP(A140,[2]filiation!A:D,4,FALSE)</f>
        <v>11</v>
      </c>
      <c r="N140" s="152">
        <f>VLOOKUP(M140,[2]Entourage!A:N,14,FALSE)</f>
        <v>3</v>
      </c>
      <c r="O140" s="152" t="str">
        <f t="shared" si="25"/>
        <v>辅助</v>
      </c>
      <c r="P140" s="152">
        <f t="shared" si="26"/>
        <v>104</v>
      </c>
      <c r="Q140" s="151">
        <f>INT(VLOOKUP(VLOOKUP(A140,[2]filiation!A:E,3,FALSE),[2]Entourage!A:AA,IF(C140=101,25,IF(C140=102,26,IF(C140=104,27))),FALSE)*VLOOKUP(N140,$AF$2:$AI$6,IF(C140=1,2,IF(C140=2,3,4)),FALSE)*VLOOKUP(B140,$AK$2:$AL$11,2,FALSE))</f>
        <v>12527</v>
      </c>
      <c r="R140" s="153">
        <f>IFERROR(INDEX([3]ItemConfig!$BB:$BB,MATCH(G140,[3]ItemConfig!$A:$A,0))*H140,0)</f>
        <v>0</v>
      </c>
      <c r="S140" s="154" t="str">
        <f>VLOOKUP(J140,[2]Entourage!A:B,2,FALSE)</f>
        <v>安娜</v>
      </c>
      <c r="T140" s="151" t="str">
        <f>VLOOKUP(M140,[2]Entourage!A:B,2,FALSE)</f>
        <v>露莉亚</v>
      </c>
      <c r="U140" s="163"/>
      <c r="V140" s="147"/>
    </row>
    <row r="141" spans="1:22">
      <c r="A141" s="166">
        <f t="shared" si="27"/>
        <v>14</v>
      </c>
      <c r="B141" s="167">
        <f>COUNTIF(A$1:A141,A141)</f>
        <v>10</v>
      </c>
      <c r="C141" s="167">
        <f t="shared" si="28"/>
        <v>104</v>
      </c>
      <c r="D141" s="166">
        <v>14158</v>
      </c>
      <c r="E141" s="166">
        <f t="shared" si="29"/>
        <v>90</v>
      </c>
      <c r="F141" s="167">
        <f t="shared" si="30"/>
        <v>6</v>
      </c>
      <c r="G141" s="168">
        <f t="shared" si="22"/>
        <v>5902</v>
      </c>
      <c r="H141" s="166">
        <f t="shared" si="23"/>
        <v>18</v>
      </c>
      <c r="I141" s="166">
        <f t="shared" si="31"/>
        <v>14158</v>
      </c>
      <c r="J141" s="152">
        <f>VLOOKUP(A141,[2]filiation!A:C,3,FALSE)</f>
        <v>9</v>
      </c>
      <c r="K141" s="152">
        <f>VLOOKUP(J141,[2]Entourage!A:N,14,FALSE)</f>
        <v>2</v>
      </c>
      <c r="L141" s="152" t="str">
        <f t="shared" si="24"/>
        <v>刺杀</v>
      </c>
      <c r="M141" s="152">
        <f>VLOOKUP(A141,[2]filiation!A:D,4,FALSE)</f>
        <v>11</v>
      </c>
      <c r="N141" s="152">
        <f>VLOOKUP(M141,[2]Entourage!A:N,14,FALSE)</f>
        <v>3</v>
      </c>
      <c r="O141" s="152" t="str">
        <f t="shared" si="25"/>
        <v>辅助</v>
      </c>
      <c r="P141" s="152">
        <f t="shared" si="26"/>
        <v>104</v>
      </c>
      <c r="Q141" s="151">
        <f>INT(VLOOKUP(VLOOKUP(A141,[2]filiation!A:E,3,FALSE),[2]Entourage!A:AA,IF(C141=101,25,IF(C141=102,26,IF(C141=104,27))),FALSE)*VLOOKUP(N141,$AF$2:$AI$6,IF(C141=1,2,IF(C141=2,3,4)),FALSE)*VLOOKUP(B141,$AK$2:$AL$11,2,FALSE))</f>
        <v>14158</v>
      </c>
      <c r="R141" s="153">
        <f>IFERROR(INDEX([3]ItemConfig!$BB:$BB,MATCH(G141,[3]ItemConfig!$A:$A,0))*H141,0)</f>
        <v>0</v>
      </c>
      <c r="S141" s="154" t="str">
        <f>VLOOKUP(J141,[2]Entourage!A:B,2,FALSE)</f>
        <v>安娜</v>
      </c>
      <c r="T141" s="151" t="str">
        <f>VLOOKUP(M141,[2]Entourage!A:B,2,FALSE)</f>
        <v>露莉亚</v>
      </c>
      <c r="U141" s="163"/>
      <c r="V141" s="147"/>
    </row>
    <row r="142" spans="1:22">
      <c r="A142" s="159">
        <f t="shared" si="27"/>
        <v>15</v>
      </c>
      <c r="B142" s="160">
        <f>COUNTIF(A$1:A142,A142)</f>
        <v>1</v>
      </c>
      <c r="C142" s="160">
        <f t="shared" si="28"/>
        <v>104</v>
      </c>
      <c r="D142" s="159">
        <v>1416</v>
      </c>
      <c r="E142" s="159">
        <f t="shared" si="29"/>
        <v>10</v>
      </c>
      <c r="F142" s="160">
        <f t="shared" si="30"/>
        <v>1</v>
      </c>
      <c r="G142" s="161">
        <f t="shared" si="22"/>
        <v>5902</v>
      </c>
      <c r="H142" s="159">
        <f t="shared" si="23"/>
        <v>1</v>
      </c>
      <c r="I142" s="159">
        <f t="shared" si="31"/>
        <v>1416</v>
      </c>
      <c r="J142" s="152">
        <f>VLOOKUP(A142,[2]filiation!A:C,3,FALSE)</f>
        <v>9</v>
      </c>
      <c r="K142" s="152">
        <f>VLOOKUP(J142,[2]Entourage!A:N,14,FALSE)</f>
        <v>2</v>
      </c>
      <c r="L142" s="152" t="str">
        <f t="shared" si="24"/>
        <v>刺杀</v>
      </c>
      <c r="M142" s="152">
        <f>VLOOKUP(A142,[2]filiation!A:D,4,FALSE)</f>
        <v>12</v>
      </c>
      <c r="N142" s="152">
        <f>VLOOKUP(M142,[2]Entourage!A:N,14,FALSE)</f>
        <v>3</v>
      </c>
      <c r="O142" s="152" t="str">
        <f t="shared" si="25"/>
        <v>辅助</v>
      </c>
      <c r="P142" s="152">
        <f t="shared" si="26"/>
        <v>104</v>
      </c>
      <c r="Q142" s="151">
        <f>INT(VLOOKUP(VLOOKUP(A142,[2]filiation!A:E,3,FALSE),[2]Entourage!A:AA,IF(C142=101,25,IF(C142=102,26,IF(C142=104,27))),FALSE)*VLOOKUP(N142,$AF$2:$AI$6,IF(C142=1,2,IF(C142=2,3,4)),FALSE)*VLOOKUP(B142,$AK$2:$AL$11,2,FALSE))</f>
        <v>5663</v>
      </c>
      <c r="R142" s="153">
        <f>IFERROR(INDEX([3]ItemConfig!$BB:$BB,MATCH(G142,[3]ItemConfig!$A:$A,0))*H142,0)</f>
        <v>0</v>
      </c>
      <c r="S142" s="154" t="str">
        <f>VLOOKUP(J142,[2]Entourage!A:B,2,FALSE)</f>
        <v>安娜</v>
      </c>
      <c r="T142" s="151" t="str">
        <f>VLOOKUP(M142,[2]Entourage!A:B,2,FALSE)</f>
        <v>格拉尔</v>
      </c>
      <c r="U142" s="163"/>
      <c r="V142" s="147"/>
    </row>
    <row r="143" spans="1:22">
      <c r="A143" s="159">
        <f t="shared" si="27"/>
        <v>15</v>
      </c>
      <c r="B143" s="160">
        <f>COUNTIF(A$1:A143,A143)</f>
        <v>2</v>
      </c>
      <c r="C143" s="160">
        <f t="shared" si="28"/>
        <v>104</v>
      </c>
      <c r="D143" s="159">
        <v>2832</v>
      </c>
      <c r="E143" s="159">
        <f t="shared" si="29"/>
        <v>20</v>
      </c>
      <c r="F143" s="160">
        <f t="shared" si="30"/>
        <v>2</v>
      </c>
      <c r="G143" s="161">
        <f t="shared" si="22"/>
        <v>5902</v>
      </c>
      <c r="H143" s="159">
        <f t="shared" si="23"/>
        <v>2</v>
      </c>
      <c r="I143" s="159">
        <f t="shared" si="31"/>
        <v>2832</v>
      </c>
      <c r="J143" s="152">
        <f>VLOOKUP(A143,[2]filiation!A:C,3,FALSE)</f>
        <v>9</v>
      </c>
      <c r="K143" s="152">
        <f>VLOOKUP(J143,[2]Entourage!A:N,14,FALSE)</f>
        <v>2</v>
      </c>
      <c r="L143" s="152" t="str">
        <f t="shared" si="24"/>
        <v>刺杀</v>
      </c>
      <c r="M143" s="152">
        <f>VLOOKUP(A143,[2]filiation!A:D,4,FALSE)</f>
        <v>12</v>
      </c>
      <c r="N143" s="152">
        <f>VLOOKUP(M143,[2]Entourage!A:N,14,FALSE)</f>
        <v>3</v>
      </c>
      <c r="O143" s="152" t="str">
        <f t="shared" si="25"/>
        <v>辅助</v>
      </c>
      <c r="P143" s="152">
        <f t="shared" si="26"/>
        <v>104</v>
      </c>
      <c r="Q143" s="151">
        <f>INT(VLOOKUP(VLOOKUP(A143,[2]filiation!A:E,3,FALSE),[2]Entourage!A:AA,IF(C143=101,25,IF(C143=102,26,IF(C143=104,27))),FALSE)*VLOOKUP(N143,$AF$2:$AI$6,IF(C143=1,2,IF(C143=2,3,4)),FALSE)*VLOOKUP(B143,$AK$2:$AL$11,2,FALSE))</f>
        <v>5920</v>
      </c>
      <c r="R143" s="153">
        <f>IFERROR(INDEX([3]ItemConfig!$BB:$BB,MATCH(G143,[3]ItemConfig!$A:$A,0))*H143,0)</f>
        <v>0</v>
      </c>
      <c r="S143" s="154" t="str">
        <f>VLOOKUP(J143,[2]Entourage!A:B,2,FALSE)</f>
        <v>安娜</v>
      </c>
      <c r="T143" s="151" t="str">
        <f>VLOOKUP(M143,[2]Entourage!A:B,2,FALSE)</f>
        <v>格拉尔</v>
      </c>
      <c r="U143" s="163"/>
      <c r="V143" s="147"/>
    </row>
    <row r="144" spans="1:22">
      <c r="A144" s="159">
        <f t="shared" si="27"/>
        <v>15</v>
      </c>
      <c r="B144" s="160">
        <f>COUNTIF(A$1:A144,A144)</f>
        <v>3</v>
      </c>
      <c r="C144" s="160">
        <f t="shared" si="28"/>
        <v>104</v>
      </c>
      <c r="D144" s="159">
        <v>4248</v>
      </c>
      <c r="E144" s="159">
        <f t="shared" si="29"/>
        <v>30</v>
      </c>
      <c r="F144" s="160">
        <f t="shared" si="30"/>
        <v>2</v>
      </c>
      <c r="G144" s="161">
        <f t="shared" si="22"/>
        <v>5902</v>
      </c>
      <c r="H144" s="159">
        <f t="shared" si="23"/>
        <v>3</v>
      </c>
      <c r="I144" s="159">
        <f t="shared" si="31"/>
        <v>4248</v>
      </c>
      <c r="J144" s="152">
        <f>VLOOKUP(A144,[2]filiation!A:C,3,FALSE)</f>
        <v>9</v>
      </c>
      <c r="K144" s="152">
        <f>VLOOKUP(J144,[2]Entourage!A:N,14,FALSE)</f>
        <v>2</v>
      </c>
      <c r="L144" s="152" t="str">
        <f t="shared" si="24"/>
        <v>刺杀</v>
      </c>
      <c r="M144" s="152">
        <f>VLOOKUP(A144,[2]filiation!A:D,4,FALSE)</f>
        <v>12</v>
      </c>
      <c r="N144" s="152">
        <f>VLOOKUP(M144,[2]Entourage!A:N,14,FALSE)</f>
        <v>3</v>
      </c>
      <c r="O144" s="152" t="str">
        <f t="shared" si="25"/>
        <v>辅助</v>
      </c>
      <c r="P144" s="152">
        <f t="shared" si="26"/>
        <v>104</v>
      </c>
      <c r="Q144" s="151">
        <f>INT(VLOOKUP(VLOOKUP(A144,[2]filiation!A:E,3,FALSE),[2]Entourage!A:AA,IF(C144=101,25,IF(C144=102,26,IF(C144=104,27))),FALSE)*VLOOKUP(N144,$AF$2:$AI$6,IF(C144=1,2,IF(C144=2,3,4)),FALSE)*VLOOKUP(B144,$AK$2:$AL$11,2,FALSE))</f>
        <v>6349</v>
      </c>
      <c r="R144" s="153">
        <f>IFERROR(INDEX([3]ItemConfig!$BB:$BB,MATCH(G144,[3]ItemConfig!$A:$A,0))*H144,0)</f>
        <v>0</v>
      </c>
      <c r="S144" s="154" t="str">
        <f>VLOOKUP(J144,[2]Entourage!A:B,2,FALSE)</f>
        <v>安娜</v>
      </c>
      <c r="T144" s="151" t="str">
        <f>VLOOKUP(M144,[2]Entourage!A:B,2,FALSE)</f>
        <v>格拉尔</v>
      </c>
      <c r="U144" s="163"/>
      <c r="V144" s="147"/>
    </row>
    <row r="145" spans="1:22">
      <c r="A145" s="159">
        <f t="shared" si="27"/>
        <v>15</v>
      </c>
      <c r="B145" s="160">
        <f>COUNTIF(A$1:A145,A145)</f>
        <v>4</v>
      </c>
      <c r="C145" s="160">
        <f t="shared" si="28"/>
        <v>104</v>
      </c>
      <c r="D145" s="159">
        <v>5664</v>
      </c>
      <c r="E145" s="159">
        <f t="shared" si="29"/>
        <v>40</v>
      </c>
      <c r="F145" s="160">
        <f t="shared" si="30"/>
        <v>3</v>
      </c>
      <c r="G145" s="161">
        <f t="shared" si="22"/>
        <v>5902</v>
      </c>
      <c r="H145" s="159">
        <f t="shared" si="23"/>
        <v>4</v>
      </c>
      <c r="I145" s="159">
        <f t="shared" si="31"/>
        <v>5664</v>
      </c>
      <c r="J145" s="152">
        <f>VLOOKUP(A145,[2]filiation!A:C,3,FALSE)</f>
        <v>9</v>
      </c>
      <c r="K145" s="152">
        <f>VLOOKUP(J145,[2]Entourage!A:N,14,FALSE)</f>
        <v>2</v>
      </c>
      <c r="L145" s="152" t="str">
        <f t="shared" si="24"/>
        <v>刺杀</v>
      </c>
      <c r="M145" s="152">
        <f>VLOOKUP(A145,[2]filiation!A:D,4,FALSE)</f>
        <v>12</v>
      </c>
      <c r="N145" s="152">
        <f>VLOOKUP(M145,[2]Entourage!A:N,14,FALSE)</f>
        <v>3</v>
      </c>
      <c r="O145" s="152" t="str">
        <f t="shared" si="25"/>
        <v>辅助</v>
      </c>
      <c r="P145" s="152">
        <f t="shared" si="26"/>
        <v>104</v>
      </c>
      <c r="Q145" s="151">
        <f>INT(VLOOKUP(VLOOKUP(A145,[2]filiation!A:E,3,FALSE),[2]Entourage!A:AA,IF(C145=101,25,IF(C145=102,26,IF(C145=104,27))),FALSE)*VLOOKUP(N145,$AF$2:$AI$6,IF(C145=1,2,IF(C145=2,3,4)),FALSE)*VLOOKUP(B145,$AK$2:$AL$11,2,FALSE))</f>
        <v>6950</v>
      </c>
      <c r="R145" s="153">
        <f>IFERROR(INDEX([3]ItemConfig!$BB:$BB,MATCH(G145,[3]ItemConfig!$A:$A,0))*H145,0)</f>
        <v>0</v>
      </c>
      <c r="S145" s="154" t="str">
        <f>VLOOKUP(J145,[2]Entourage!A:B,2,FALSE)</f>
        <v>安娜</v>
      </c>
      <c r="T145" s="151" t="str">
        <f>VLOOKUP(M145,[2]Entourage!A:B,2,FALSE)</f>
        <v>格拉尔</v>
      </c>
      <c r="U145" s="163"/>
      <c r="V145" s="147"/>
    </row>
    <row r="146" spans="1:22">
      <c r="A146" s="159">
        <f t="shared" si="27"/>
        <v>15</v>
      </c>
      <c r="B146" s="160">
        <f>COUNTIF(A$1:A146,A146)</f>
        <v>5</v>
      </c>
      <c r="C146" s="160">
        <f t="shared" si="28"/>
        <v>104</v>
      </c>
      <c r="D146" s="159">
        <v>7079</v>
      </c>
      <c r="E146" s="159">
        <f t="shared" si="29"/>
        <v>50</v>
      </c>
      <c r="F146" s="160">
        <f t="shared" si="30"/>
        <v>3</v>
      </c>
      <c r="G146" s="161">
        <f t="shared" si="22"/>
        <v>5902</v>
      </c>
      <c r="H146" s="159">
        <f t="shared" si="23"/>
        <v>6</v>
      </c>
      <c r="I146" s="159">
        <f t="shared" si="31"/>
        <v>7079</v>
      </c>
      <c r="J146" s="152">
        <f>VLOOKUP(A146,[2]filiation!A:C,3,FALSE)</f>
        <v>9</v>
      </c>
      <c r="K146" s="152">
        <f>VLOOKUP(J146,[2]Entourage!A:N,14,FALSE)</f>
        <v>2</v>
      </c>
      <c r="L146" s="152" t="str">
        <f t="shared" si="24"/>
        <v>刺杀</v>
      </c>
      <c r="M146" s="152">
        <f>VLOOKUP(A146,[2]filiation!A:D,4,FALSE)</f>
        <v>12</v>
      </c>
      <c r="N146" s="152">
        <f>VLOOKUP(M146,[2]Entourage!A:N,14,FALSE)</f>
        <v>3</v>
      </c>
      <c r="O146" s="152" t="str">
        <f t="shared" si="25"/>
        <v>辅助</v>
      </c>
      <c r="P146" s="152">
        <f t="shared" si="26"/>
        <v>104</v>
      </c>
      <c r="Q146" s="151">
        <f>INT(VLOOKUP(VLOOKUP(A146,[2]filiation!A:E,3,FALSE),[2]Entourage!A:AA,IF(C146=101,25,IF(C146=102,26,IF(C146=104,27))),FALSE)*VLOOKUP(N146,$AF$2:$AI$6,IF(C146=1,2,IF(C146=2,3,4)),FALSE)*VLOOKUP(B146,$AK$2:$AL$11,2,FALSE))</f>
        <v>7722</v>
      </c>
      <c r="R146" s="153">
        <f>IFERROR(INDEX([3]ItemConfig!$BB:$BB,MATCH(G146,[3]ItemConfig!$A:$A,0))*H146,0)</f>
        <v>0</v>
      </c>
      <c r="S146" s="154" t="str">
        <f>VLOOKUP(J146,[2]Entourage!A:B,2,FALSE)</f>
        <v>安娜</v>
      </c>
      <c r="T146" s="151" t="str">
        <f>VLOOKUP(M146,[2]Entourage!A:B,2,FALSE)</f>
        <v>格拉尔</v>
      </c>
      <c r="U146" s="163"/>
      <c r="V146" s="147"/>
    </row>
    <row r="147" spans="1:22">
      <c r="A147" s="159">
        <f t="shared" si="27"/>
        <v>15</v>
      </c>
      <c r="B147" s="160">
        <f>COUNTIF(A$1:A147,A147)</f>
        <v>6</v>
      </c>
      <c r="C147" s="160">
        <f t="shared" si="28"/>
        <v>104</v>
      </c>
      <c r="D147" s="159">
        <v>8495</v>
      </c>
      <c r="E147" s="159">
        <f t="shared" si="29"/>
        <v>60</v>
      </c>
      <c r="F147" s="160">
        <f t="shared" si="30"/>
        <v>4</v>
      </c>
      <c r="G147" s="161">
        <f t="shared" si="22"/>
        <v>5902</v>
      </c>
      <c r="H147" s="159">
        <f t="shared" si="23"/>
        <v>8</v>
      </c>
      <c r="I147" s="159">
        <f t="shared" si="31"/>
        <v>8495</v>
      </c>
      <c r="J147" s="152">
        <f>VLOOKUP(A147,[2]filiation!A:C,3,FALSE)</f>
        <v>9</v>
      </c>
      <c r="K147" s="152">
        <f>VLOOKUP(J147,[2]Entourage!A:N,14,FALSE)</f>
        <v>2</v>
      </c>
      <c r="L147" s="152" t="str">
        <f t="shared" si="24"/>
        <v>刺杀</v>
      </c>
      <c r="M147" s="152">
        <f>VLOOKUP(A147,[2]filiation!A:D,4,FALSE)</f>
        <v>12</v>
      </c>
      <c r="N147" s="152">
        <f>VLOOKUP(M147,[2]Entourage!A:N,14,FALSE)</f>
        <v>3</v>
      </c>
      <c r="O147" s="152" t="str">
        <f t="shared" si="25"/>
        <v>辅助</v>
      </c>
      <c r="P147" s="152">
        <f t="shared" si="26"/>
        <v>104</v>
      </c>
      <c r="Q147" s="151">
        <f>INT(VLOOKUP(VLOOKUP(A147,[2]filiation!A:E,3,FALSE),[2]Entourage!A:AA,IF(C147=101,25,IF(C147=102,26,IF(C147=104,27))),FALSE)*VLOOKUP(N147,$AF$2:$AI$6,IF(C147=1,2,IF(C147=2,3,4)),FALSE)*VLOOKUP(B147,$AK$2:$AL$11,2,FALSE))</f>
        <v>8666</v>
      </c>
      <c r="R147" s="153">
        <f>IFERROR(INDEX([3]ItemConfig!$BB:$BB,MATCH(G147,[3]ItemConfig!$A:$A,0))*H147,0)</f>
        <v>0</v>
      </c>
      <c r="S147" s="154" t="str">
        <f>VLOOKUP(J147,[2]Entourage!A:B,2,FALSE)</f>
        <v>安娜</v>
      </c>
      <c r="T147" s="151" t="str">
        <f>VLOOKUP(M147,[2]Entourage!A:B,2,FALSE)</f>
        <v>格拉尔</v>
      </c>
      <c r="U147" s="163"/>
      <c r="V147" s="147"/>
    </row>
    <row r="148" spans="1:22">
      <c r="A148" s="159">
        <f t="shared" si="27"/>
        <v>15</v>
      </c>
      <c r="B148" s="160">
        <f>COUNTIF(A$1:A148,A148)</f>
        <v>7</v>
      </c>
      <c r="C148" s="160">
        <f t="shared" si="28"/>
        <v>104</v>
      </c>
      <c r="D148" s="159">
        <v>9911</v>
      </c>
      <c r="E148" s="159">
        <f t="shared" si="29"/>
        <v>70</v>
      </c>
      <c r="F148" s="160">
        <f t="shared" si="30"/>
        <v>4</v>
      </c>
      <c r="G148" s="161">
        <f t="shared" si="22"/>
        <v>5902</v>
      </c>
      <c r="H148" s="159">
        <f t="shared" si="23"/>
        <v>10</v>
      </c>
      <c r="I148" s="159">
        <f t="shared" si="31"/>
        <v>9911</v>
      </c>
      <c r="J148" s="152">
        <f>VLOOKUP(A148,[2]filiation!A:C,3,FALSE)</f>
        <v>9</v>
      </c>
      <c r="K148" s="152">
        <f>VLOOKUP(J148,[2]Entourage!A:N,14,FALSE)</f>
        <v>2</v>
      </c>
      <c r="L148" s="152" t="str">
        <f t="shared" si="24"/>
        <v>刺杀</v>
      </c>
      <c r="M148" s="152">
        <f>VLOOKUP(A148,[2]filiation!A:D,4,FALSE)</f>
        <v>12</v>
      </c>
      <c r="N148" s="152">
        <f>VLOOKUP(M148,[2]Entourage!A:N,14,FALSE)</f>
        <v>3</v>
      </c>
      <c r="O148" s="152" t="str">
        <f t="shared" si="25"/>
        <v>辅助</v>
      </c>
      <c r="P148" s="152">
        <f t="shared" si="26"/>
        <v>104</v>
      </c>
      <c r="Q148" s="151">
        <f>INT(VLOOKUP(VLOOKUP(A148,[2]filiation!A:E,3,FALSE),[2]Entourage!A:AA,IF(C148=101,25,IF(C148=102,26,IF(C148=104,27))),FALSE)*VLOOKUP(N148,$AF$2:$AI$6,IF(C148=1,2,IF(C148=2,3,4)),FALSE)*VLOOKUP(B148,$AK$2:$AL$11,2,FALSE))</f>
        <v>9781</v>
      </c>
      <c r="R148" s="153">
        <f>IFERROR(INDEX([3]ItemConfig!$BB:$BB,MATCH(G148,[3]ItemConfig!$A:$A,0))*H148,0)</f>
        <v>0</v>
      </c>
      <c r="S148" s="154" t="str">
        <f>VLOOKUP(J148,[2]Entourage!A:B,2,FALSE)</f>
        <v>安娜</v>
      </c>
      <c r="T148" s="151" t="str">
        <f>VLOOKUP(M148,[2]Entourage!A:B,2,FALSE)</f>
        <v>格拉尔</v>
      </c>
      <c r="U148" s="163"/>
      <c r="V148" s="147"/>
    </row>
    <row r="149" spans="1:22">
      <c r="A149" s="159">
        <f t="shared" si="27"/>
        <v>15</v>
      </c>
      <c r="B149" s="160">
        <f>COUNTIF(A$1:A149,A149)</f>
        <v>8</v>
      </c>
      <c r="C149" s="160">
        <f t="shared" si="28"/>
        <v>104</v>
      </c>
      <c r="D149" s="159">
        <v>11327</v>
      </c>
      <c r="E149" s="159">
        <f t="shared" si="29"/>
        <v>80</v>
      </c>
      <c r="F149" s="160">
        <f t="shared" si="30"/>
        <v>5</v>
      </c>
      <c r="G149" s="161">
        <f t="shared" si="22"/>
        <v>5902</v>
      </c>
      <c r="H149" s="159">
        <f t="shared" si="23"/>
        <v>12</v>
      </c>
      <c r="I149" s="159">
        <f t="shared" si="31"/>
        <v>11327</v>
      </c>
      <c r="J149" s="152">
        <f>VLOOKUP(A149,[2]filiation!A:C,3,FALSE)</f>
        <v>9</v>
      </c>
      <c r="K149" s="152">
        <f>VLOOKUP(J149,[2]Entourage!A:N,14,FALSE)</f>
        <v>2</v>
      </c>
      <c r="L149" s="152" t="str">
        <f t="shared" si="24"/>
        <v>刺杀</v>
      </c>
      <c r="M149" s="152">
        <f>VLOOKUP(A149,[2]filiation!A:D,4,FALSE)</f>
        <v>12</v>
      </c>
      <c r="N149" s="152">
        <f>VLOOKUP(M149,[2]Entourage!A:N,14,FALSE)</f>
        <v>3</v>
      </c>
      <c r="O149" s="152" t="str">
        <f t="shared" si="25"/>
        <v>辅助</v>
      </c>
      <c r="P149" s="152">
        <f t="shared" si="26"/>
        <v>104</v>
      </c>
      <c r="Q149" s="151">
        <f>INT(VLOOKUP(VLOOKUP(A149,[2]filiation!A:E,3,FALSE),[2]Entourage!A:AA,IF(C149=101,25,IF(C149=102,26,IF(C149=104,27))),FALSE)*VLOOKUP(N149,$AF$2:$AI$6,IF(C149=1,2,IF(C149=2,3,4)),FALSE)*VLOOKUP(B149,$AK$2:$AL$11,2,FALSE))</f>
        <v>11068</v>
      </c>
      <c r="R149" s="153">
        <f>IFERROR(INDEX([3]ItemConfig!$BB:$BB,MATCH(G149,[3]ItemConfig!$A:$A,0))*H149,0)</f>
        <v>0</v>
      </c>
      <c r="S149" s="154" t="str">
        <f>VLOOKUP(J149,[2]Entourage!A:B,2,FALSE)</f>
        <v>安娜</v>
      </c>
      <c r="T149" s="151" t="str">
        <f>VLOOKUP(M149,[2]Entourage!A:B,2,FALSE)</f>
        <v>格拉尔</v>
      </c>
      <c r="U149" s="163"/>
      <c r="V149" s="147"/>
    </row>
    <row r="150" spans="1:22">
      <c r="A150" s="159">
        <f t="shared" si="27"/>
        <v>15</v>
      </c>
      <c r="B150" s="160">
        <f>COUNTIF(A$1:A150,A150)</f>
        <v>9</v>
      </c>
      <c r="C150" s="160">
        <f t="shared" si="28"/>
        <v>104</v>
      </c>
      <c r="D150" s="159">
        <v>12743</v>
      </c>
      <c r="E150" s="159">
        <f t="shared" si="29"/>
        <v>90</v>
      </c>
      <c r="F150" s="160">
        <f t="shared" si="30"/>
        <v>5</v>
      </c>
      <c r="G150" s="161">
        <f t="shared" si="22"/>
        <v>5902</v>
      </c>
      <c r="H150" s="159">
        <f t="shared" si="23"/>
        <v>15</v>
      </c>
      <c r="I150" s="159">
        <f t="shared" si="31"/>
        <v>12743</v>
      </c>
      <c r="J150" s="152">
        <f>VLOOKUP(A150,[2]filiation!A:C,3,FALSE)</f>
        <v>9</v>
      </c>
      <c r="K150" s="152">
        <f>VLOOKUP(J150,[2]Entourage!A:N,14,FALSE)</f>
        <v>2</v>
      </c>
      <c r="L150" s="152" t="str">
        <f t="shared" si="24"/>
        <v>刺杀</v>
      </c>
      <c r="M150" s="152">
        <f>VLOOKUP(A150,[2]filiation!A:D,4,FALSE)</f>
        <v>12</v>
      </c>
      <c r="N150" s="152">
        <f>VLOOKUP(M150,[2]Entourage!A:N,14,FALSE)</f>
        <v>3</v>
      </c>
      <c r="O150" s="152" t="str">
        <f t="shared" si="25"/>
        <v>辅助</v>
      </c>
      <c r="P150" s="152">
        <f t="shared" si="26"/>
        <v>104</v>
      </c>
      <c r="Q150" s="151">
        <f>INT(VLOOKUP(VLOOKUP(A150,[2]filiation!A:E,3,FALSE),[2]Entourage!A:AA,IF(C150=101,25,IF(C150=102,26,IF(C150=104,27))),FALSE)*VLOOKUP(N150,$AF$2:$AI$6,IF(C150=1,2,IF(C150=2,3,4)),FALSE)*VLOOKUP(B150,$AK$2:$AL$11,2,FALSE))</f>
        <v>12527</v>
      </c>
      <c r="R150" s="153">
        <f>IFERROR(INDEX([3]ItemConfig!$BB:$BB,MATCH(G150,[3]ItemConfig!$A:$A,0))*H150,0)</f>
        <v>0</v>
      </c>
      <c r="S150" s="154" t="str">
        <f>VLOOKUP(J150,[2]Entourage!A:B,2,FALSE)</f>
        <v>安娜</v>
      </c>
      <c r="T150" s="151" t="str">
        <f>VLOOKUP(M150,[2]Entourage!A:B,2,FALSE)</f>
        <v>格拉尔</v>
      </c>
      <c r="U150" s="163"/>
      <c r="V150" s="147"/>
    </row>
    <row r="151" spans="1:22">
      <c r="A151" s="159">
        <f t="shared" si="27"/>
        <v>15</v>
      </c>
      <c r="B151" s="160">
        <f>COUNTIF(A$1:A151,A151)</f>
        <v>10</v>
      </c>
      <c r="C151" s="160">
        <f t="shared" si="28"/>
        <v>104</v>
      </c>
      <c r="D151" s="159">
        <v>14158</v>
      </c>
      <c r="E151" s="159">
        <f t="shared" si="29"/>
        <v>90</v>
      </c>
      <c r="F151" s="160">
        <f t="shared" si="30"/>
        <v>6</v>
      </c>
      <c r="G151" s="161">
        <f t="shared" si="22"/>
        <v>5902</v>
      </c>
      <c r="H151" s="159">
        <f t="shared" si="23"/>
        <v>18</v>
      </c>
      <c r="I151" s="159">
        <f t="shared" si="31"/>
        <v>14158</v>
      </c>
      <c r="J151" s="152">
        <f>VLOOKUP(A151,[2]filiation!A:C,3,FALSE)</f>
        <v>9</v>
      </c>
      <c r="K151" s="152">
        <f>VLOOKUP(J151,[2]Entourage!A:N,14,FALSE)</f>
        <v>2</v>
      </c>
      <c r="L151" s="152" t="str">
        <f t="shared" si="24"/>
        <v>刺杀</v>
      </c>
      <c r="M151" s="152">
        <f>VLOOKUP(A151,[2]filiation!A:D,4,FALSE)</f>
        <v>12</v>
      </c>
      <c r="N151" s="152">
        <f>VLOOKUP(M151,[2]Entourage!A:N,14,FALSE)</f>
        <v>3</v>
      </c>
      <c r="O151" s="152" t="str">
        <f t="shared" si="25"/>
        <v>辅助</v>
      </c>
      <c r="P151" s="152">
        <f t="shared" si="26"/>
        <v>104</v>
      </c>
      <c r="Q151" s="151">
        <f>INT(VLOOKUP(VLOOKUP(A151,[2]filiation!A:E,3,FALSE),[2]Entourage!A:AA,IF(C151=101,25,IF(C151=102,26,IF(C151=104,27))),FALSE)*VLOOKUP(N151,$AF$2:$AI$6,IF(C151=1,2,IF(C151=2,3,4)),FALSE)*VLOOKUP(B151,$AK$2:$AL$11,2,FALSE))</f>
        <v>14158</v>
      </c>
      <c r="R151" s="153">
        <f>IFERROR(INDEX([3]ItemConfig!$BB:$BB,MATCH(G151,[3]ItemConfig!$A:$A,0))*H151,0)</f>
        <v>0</v>
      </c>
      <c r="S151" s="154" t="str">
        <f>VLOOKUP(J151,[2]Entourage!A:B,2,FALSE)</f>
        <v>安娜</v>
      </c>
      <c r="T151" s="151" t="str">
        <f>VLOOKUP(M151,[2]Entourage!A:B,2,FALSE)</f>
        <v>格拉尔</v>
      </c>
      <c r="U151" s="163"/>
      <c r="V151" s="147"/>
    </row>
    <row r="152" spans="1:22">
      <c r="A152" s="166">
        <f t="shared" si="27"/>
        <v>16</v>
      </c>
      <c r="B152" s="167">
        <f>COUNTIF(A$1:A152,A152)</f>
        <v>1</v>
      </c>
      <c r="C152" s="167">
        <f t="shared" si="28"/>
        <v>104</v>
      </c>
      <c r="D152" s="166">
        <v>1416</v>
      </c>
      <c r="E152" s="166">
        <f t="shared" si="29"/>
        <v>10</v>
      </c>
      <c r="F152" s="167">
        <f t="shared" si="30"/>
        <v>1</v>
      </c>
      <c r="G152" s="168">
        <f t="shared" si="22"/>
        <v>5902</v>
      </c>
      <c r="H152" s="166">
        <f t="shared" si="23"/>
        <v>1</v>
      </c>
      <c r="I152" s="166">
        <f t="shared" si="31"/>
        <v>1416</v>
      </c>
      <c r="J152" s="152">
        <f>VLOOKUP(A152,[2]filiation!A:C,3,FALSE)</f>
        <v>9</v>
      </c>
      <c r="K152" s="152">
        <f>VLOOKUP(J152,[2]Entourage!A:N,14,FALSE)</f>
        <v>2</v>
      </c>
      <c r="L152" s="152" t="str">
        <f t="shared" si="24"/>
        <v>刺杀</v>
      </c>
      <c r="M152" s="152">
        <f>VLOOKUP(A152,[2]filiation!A:D,4,FALSE)</f>
        <v>18</v>
      </c>
      <c r="N152" s="152">
        <f>VLOOKUP(M152,[2]Entourage!A:N,14,FALSE)</f>
        <v>3</v>
      </c>
      <c r="O152" s="152" t="str">
        <f t="shared" si="25"/>
        <v>辅助</v>
      </c>
      <c r="P152" s="152">
        <f t="shared" si="26"/>
        <v>104</v>
      </c>
      <c r="Q152" s="151">
        <f>INT(VLOOKUP(VLOOKUP(A152,[2]filiation!A:E,3,FALSE),[2]Entourage!A:AA,IF(C152=101,25,IF(C152=102,26,IF(C152=104,27))),FALSE)*VLOOKUP(N152,$AF$2:$AI$6,IF(C152=1,2,IF(C152=2,3,4)),FALSE)*VLOOKUP(B152,$AK$2:$AL$11,2,FALSE))</f>
        <v>5663</v>
      </c>
      <c r="R152" s="153">
        <f>IFERROR(INDEX([3]ItemConfig!$BB:$BB,MATCH(G152,[3]ItemConfig!$A:$A,0))*H152,0)</f>
        <v>0</v>
      </c>
      <c r="S152" s="154" t="str">
        <f>VLOOKUP(J152,[2]Entourage!A:B,2,FALSE)</f>
        <v>安娜</v>
      </c>
      <c r="T152" s="151" t="str">
        <f>VLOOKUP(M152,[2]Entourage!A:B,2,FALSE)</f>
        <v>乌德尔</v>
      </c>
      <c r="U152" s="163"/>
      <c r="V152" s="147"/>
    </row>
    <row r="153" spans="1:22">
      <c r="A153" s="166">
        <f t="shared" si="27"/>
        <v>16</v>
      </c>
      <c r="B153" s="167">
        <f>COUNTIF(A$1:A153,A153)</f>
        <v>2</v>
      </c>
      <c r="C153" s="167">
        <f t="shared" si="28"/>
        <v>104</v>
      </c>
      <c r="D153" s="166">
        <v>2832</v>
      </c>
      <c r="E153" s="166">
        <f t="shared" si="29"/>
        <v>20</v>
      </c>
      <c r="F153" s="167">
        <f t="shared" si="30"/>
        <v>2</v>
      </c>
      <c r="G153" s="168">
        <f t="shared" si="22"/>
        <v>5902</v>
      </c>
      <c r="H153" s="166">
        <f t="shared" si="23"/>
        <v>2</v>
      </c>
      <c r="I153" s="166">
        <f t="shared" si="31"/>
        <v>2832</v>
      </c>
      <c r="J153" s="152">
        <f>VLOOKUP(A153,[2]filiation!A:C,3,FALSE)</f>
        <v>9</v>
      </c>
      <c r="K153" s="152">
        <f>VLOOKUP(J153,[2]Entourage!A:N,14,FALSE)</f>
        <v>2</v>
      </c>
      <c r="L153" s="152" t="str">
        <f t="shared" si="24"/>
        <v>刺杀</v>
      </c>
      <c r="M153" s="152">
        <f>VLOOKUP(A153,[2]filiation!A:D,4,FALSE)</f>
        <v>18</v>
      </c>
      <c r="N153" s="152">
        <f>VLOOKUP(M153,[2]Entourage!A:N,14,FALSE)</f>
        <v>3</v>
      </c>
      <c r="O153" s="152" t="str">
        <f t="shared" si="25"/>
        <v>辅助</v>
      </c>
      <c r="P153" s="152">
        <f t="shared" si="26"/>
        <v>104</v>
      </c>
      <c r="Q153" s="151">
        <f>INT(VLOOKUP(VLOOKUP(A153,[2]filiation!A:E,3,FALSE),[2]Entourage!A:AA,IF(C153=101,25,IF(C153=102,26,IF(C153=104,27))),FALSE)*VLOOKUP(N153,$AF$2:$AI$6,IF(C153=1,2,IF(C153=2,3,4)),FALSE)*VLOOKUP(B153,$AK$2:$AL$11,2,FALSE))</f>
        <v>5920</v>
      </c>
      <c r="R153" s="153">
        <f>IFERROR(INDEX([3]ItemConfig!$BB:$BB,MATCH(G153,[3]ItemConfig!$A:$A,0))*H153,0)</f>
        <v>0</v>
      </c>
      <c r="S153" s="154" t="str">
        <f>VLOOKUP(J153,[2]Entourage!A:B,2,FALSE)</f>
        <v>安娜</v>
      </c>
      <c r="T153" s="151" t="str">
        <f>VLOOKUP(M153,[2]Entourage!A:B,2,FALSE)</f>
        <v>乌德尔</v>
      </c>
      <c r="U153" s="163"/>
      <c r="V153" s="147"/>
    </row>
    <row r="154" spans="1:22">
      <c r="A154" s="166">
        <f t="shared" si="27"/>
        <v>16</v>
      </c>
      <c r="B154" s="167">
        <f>COUNTIF(A$1:A154,A154)</f>
        <v>3</v>
      </c>
      <c r="C154" s="167">
        <f t="shared" si="28"/>
        <v>104</v>
      </c>
      <c r="D154" s="166">
        <v>4248</v>
      </c>
      <c r="E154" s="166">
        <f t="shared" si="29"/>
        <v>30</v>
      </c>
      <c r="F154" s="167">
        <f t="shared" si="30"/>
        <v>2</v>
      </c>
      <c r="G154" s="168">
        <f t="shared" si="22"/>
        <v>5902</v>
      </c>
      <c r="H154" s="166">
        <f t="shared" si="23"/>
        <v>3</v>
      </c>
      <c r="I154" s="166">
        <f t="shared" si="31"/>
        <v>4248</v>
      </c>
      <c r="J154" s="152">
        <f>VLOOKUP(A154,[2]filiation!A:C,3,FALSE)</f>
        <v>9</v>
      </c>
      <c r="K154" s="152">
        <f>VLOOKUP(J154,[2]Entourage!A:N,14,FALSE)</f>
        <v>2</v>
      </c>
      <c r="L154" s="152" t="str">
        <f t="shared" si="24"/>
        <v>刺杀</v>
      </c>
      <c r="M154" s="152">
        <f>VLOOKUP(A154,[2]filiation!A:D,4,FALSE)</f>
        <v>18</v>
      </c>
      <c r="N154" s="152">
        <f>VLOOKUP(M154,[2]Entourage!A:N,14,FALSE)</f>
        <v>3</v>
      </c>
      <c r="O154" s="152" t="str">
        <f t="shared" si="25"/>
        <v>辅助</v>
      </c>
      <c r="P154" s="152">
        <f t="shared" si="26"/>
        <v>104</v>
      </c>
      <c r="Q154" s="151">
        <f>INT(VLOOKUP(VLOOKUP(A154,[2]filiation!A:E,3,FALSE),[2]Entourage!A:AA,IF(C154=101,25,IF(C154=102,26,IF(C154=104,27))),FALSE)*VLOOKUP(N154,$AF$2:$AI$6,IF(C154=1,2,IF(C154=2,3,4)),FALSE)*VLOOKUP(B154,$AK$2:$AL$11,2,FALSE))</f>
        <v>6349</v>
      </c>
      <c r="R154" s="153">
        <f>IFERROR(INDEX([3]ItemConfig!$BB:$BB,MATCH(G154,[3]ItemConfig!$A:$A,0))*H154,0)</f>
        <v>0</v>
      </c>
      <c r="S154" s="154" t="str">
        <f>VLOOKUP(J154,[2]Entourage!A:B,2,FALSE)</f>
        <v>安娜</v>
      </c>
      <c r="T154" s="151" t="str">
        <f>VLOOKUP(M154,[2]Entourage!A:B,2,FALSE)</f>
        <v>乌德尔</v>
      </c>
      <c r="U154" s="163"/>
      <c r="V154" s="147"/>
    </row>
    <row r="155" spans="1:22">
      <c r="A155" s="166">
        <f t="shared" si="27"/>
        <v>16</v>
      </c>
      <c r="B155" s="167">
        <f>COUNTIF(A$1:A155,A155)</f>
        <v>4</v>
      </c>
      <c r="C155" s="167">
        <f t="shared" si="28"/>
        <v>104</v>
      </c>
      <c r="D155" s="166">
        <v>5664</v>
      </c>
      <c r="E155" s="166">
        <f t="shared" si="29"/>
        <v>40</v>
      </c>
      <c r="F155" s="167">
        <f t="shared" si="30"/>
        <v>3</v>
      </c>
      <c r="G155" s="168">
        <f t="shared" si="22"/>
        <v>5902</v>
      </c>
      <c r="H155" s="166">
        <f t="shared" si="23"/>
        <v>4</v>
      </c>
      <c r="I155" s="166">
        <f t="shared" si="31"/>
        <v>5664</v>
      </c>
      <c r="J155" s="152">
        <f>VLOOKUP(A155,[2]filiation!A:C,3,FALSE)</f>
        <v>9</v>
      </c>
      <c r="K155" s="152">
        <f>VLOOKUP(J155,[2]Entourage!A:N,14,FALSE)</f>
        <v>2</v>
      </c>
      <c r="L155" s="152" t="str">
        <f t="shared" si="24"/>
        <v>刺杀</v>
      </c>
      <c r="M155" s="152">
        <f>VLOOKUP(A155,[2]filiation!A:D,4,FALSE)</f>
        <v>18</v>
      </c>
      <c r="N155" s="152">
        <f>VLOOKUP(M155,[2]Entourage!A:N,14,FALSE)</f>
        <v>3</v>
      </c>
      <c r="O155" s="152" t="str">
        <f t="shared" si="25"/>
        <v>辅助</v>
      </c>
      <c r="P155" s="152">
        <f t="shared" si="26"/>
        <v>104</v>
      </c>
      <c r="Q155" s="151">
        <f>INT(VLOOKUP(VLOOKUP(A155,[2]filiation!A:E,3,FALSE),[2]Entourage!A:AA,IF(C155=101,25,IF(C155=102,26,IF(C155=104,27))),FALSE)*VLOOKUP(N155,$AF$2:$AI$6,IF(C155=1,2,IF(C155=2,3,4)),FALSE)*VLOOKUP(B155,$AK$2:$AL$11,2,FALSE))</f>
        <v>6950</v>
      </c>
      <c r="R155" s="153">
        <f>IFERROR(INDEX([3]ItemConfig!$BB:$BB,MATCH(G155,[3]ItemConfig!$A:$A,0))*H155,0)</f>
        <v>0</v>
      </c>
      <c r="S155" s="154" t="str">
        <f>VLOOKUP(J155,[2]Entourage!A:B,2,FALSE)</f>
        <v>安娜</v>
      </c>
      <c r="T155" s="151" t="str">
        <f>VLOOKUP(M155,[2]Entourage!A:B,2,FALSE)</f>
        <v>乌德尔</v>
      </c>
      <c r="U155" s="163"/>
      <c r="V155" s="147"/>
    </row>
    <row r="156" spans="1:22">
      <c r="A156" s="166">
        <f t="shared" si="27"/>
        <v>16</v>
      </c>
      <c r="B156" s="167">
        <f>COUNTIF(A$1:A156,A156)</f>
        <v>5</v>
      </c>
      <c r="C156" s="167">
        <f t="shared" si="28"/>
        <v>104</v>
      </c>
      <c r="D156" s="166">
        <v>7079</v>
      </c>
      <c r="E156" s="166">
        <f t="shared" si="29"/>
        <v>50</v>
      </c>
      <c r="F156" s="167">
        <f t="shared" si="30"/>
        <v>3</v>
      </c>
      <c r="G156" s="168">
        <f t="shared" si="22"/>
        <v>5902</v>
      </c>
      <c r="H156" s="166">
        <f t="shared" si="23"/>
        <v>6</v>
      </c>
      <c r="I156" s="166">
        <f t="shared" si="31"/>
        <v>7079</v>
      </c>
      <c r="J156" s="152">
        <f>VLOOKUP(A156,[2]filiation!A:C,3,FALSE)</f>
        <v>9</v>
      </c>
      <c r="K156" s="152">
        <f>VLOOKUP(J156,[2]Entourage!A:N,14,FALSE)</f>
        <v>2</v>
      </c>
      <c r="L156" s="152" t="str">
        <f t="shared" si="24"/>
        <v>刺杀</v>
      </c>
      <c r="M156" s="152">
        <f>VLOOKUP(A156,[2]filiation!A:D,4,FALSE)</f>
        <v>18</v>
      </c>
      <c r="N156" s="152">
        <f>VLOOKUP(M156,[2]Entourage!A:N,14,FALSE)</f>
        <v>3</v>
      </c>
      <c r="O156" s="152" t="str">
        <f t="shared" si="25"/>
        <v>辅助</v>
      </c>
      <c r="P156" s="152">
        <f t="shared" si="26"/>
        <v>104</v>
      </c>
      <c r="Q156" s="151">
        <f>INT(VLOOKUP(VLOOKUP(A156,[2]filiation!A:E,3,FALSE),[2]Entourage!A:AA,IF(C156=101,25,IF(C156=102,26,IF(C156=104,27))),FALSE)*VLOOKUP(N156,$AF$2:$AI$6,IF(C156=1,2,IF(C156=2,3,4)),FALSE)*VLOOKUP(B156,$AK$2:$AL$11,2,FALSE))</f>
        <v>7722</v>
      </c>
      <c r="R156" s="153">
        <f>IFERROR(INDEX([3]ItemConfig!$BB:$BB,MATCH(G156,[3]ItemConfig!$A:$A,0))*H156,0)</f>
        <v>0</v>
      </c>
      <c r="S156" s="154" t="str">
        <f>VLOOKUP(J156,[2]Entourage!A:B,2,FALSE)</f>
        <v>安娜</v>
      </c>
      <c r="T156" s="151" t="str">
        <f>VLOOKUP(M156,[2]Entourage!A:B,2,FALSE)</f>
        <v>乌德尔</v>
      </c>
      <c r="U156" s="163"/>
      <c r="V156" s="147"/>
    </row>
    <row r="157" spans="1:22">
      <c r="A157" s="166">
        <f t="shared" si="27"/>
        <v>16</v>
      </c>
      <c r="B157" s="167">
        <f>COUNTIF(A$1:A157,A157)</f>
        <v>6</v>
      </c>
      <c r="C157" s="167">
        <f t="shared" si="28"/>
        <v>104</v>
      </c>
      <c r="D157" s="166">
        <v>8495</v>
      </c>
      <c r="E157" s="166">
        <f t="shared" si="29"/>
        <v>60</v>
      </c>
      <c r="F157" s="167">
        <f t="shared" si="30"/>
        <v>4</v>
      </c>
      <c r="G157" s="168">
        <f t="shared" si="22"/>
        <v>5902</v>
      </c>
      <c r="H157" s="166">
        <f t="shared" si="23"/>
        <v>8</v>
      </c>
      <c r="I157" s="166">
        <f t="shared" si="31"/>
        <v>8495</v>
      </c>
      <c r="J157" s="152">
        <f>VLOOKUP(A157,[2]filiation!A:C,3,FALSE)</f>
        <v>9</v>
      </c>
      <c r="K157" s="152">
        <f>VLOOKUP(J157,[2]Entourage!A:N,14,FALSE)</f>
        <v>2</v>
      </c>
      <c r="L157" s="152" t="str">
        <f t="shared" si="24"/>
        <v>刺杀</v>
      </c>
      <c r="M157" s="152">
        <f>VLOOKUP(A157,[2]filiation!A:D,4,FALSE)</f>
        <v>18</v>
      </c>
      <c r="N157" s="152">
        <f>VLOOKUP(M157,[2]Entourage!A:N,14,FALSE)</f>
        <v>3</v>
      </c>
      <c r="O157" s="152" t="str">
        <f t="shared" si="25"/>
        <v>辅助</v>
      </c>
      <c r="P157" s="152">
        <f t="shared" si="26"/>
        <v>104</v>
      </c>
      <c r="Q157" s="151">
        <f>INT(VLOOKUP(VLOOKUP(A157,[2]filiation!A:E,3,FALSE),[2]Entourage!A:AA,IF(C157=101,25,IF(C157=102,26,IF(C157=104,27))),FALSE)*VLOOKUP(N157,$AF$2:$AI$6,IF(C157=1,2,IF(C157=2,3,4)),FALSE)*VLOOKUP(B157,$AK$2:$AL$11,2,FALSE))</f>
        <v>8666</v>
      </c>
      <c r="R157" s="153">
        <f>IFERROR(INDEX([3]ItemConfig!$BB:$BB,MATCH(G157,[3]ItemConfig!$A:$A,0))*H157,0)</f>
        <v>0</v>
      </c>
      <c r="S157" s="154" t="str">
        <f>VLOOKUP(J157,[2]Entourage!A:B,2,FALSE)</f>
        <v>安娜</v>
      </c>
      <c r="T157" s="151" t="str">
        <f>VLOOKUP(M157,[2]Entourage!A:B,2,FALSE)</f>
        <v>乌德尔</v>
      </c>
      <c r="U157" s="163"/>
      <c r="V157" s="147"/>
    </row>
    <row r="158" spans="1:22">
      <c r="A158" s="166">
        <f t="shared" si="27"/>
        <v>16</v>
      </c>
      <c r="B158" s="167">
        <f>COUNTIF(A$1:A158,A158)</f>
        <v>7</v>
      </c>
      <c r="C158" s="167">
        <f t="shared" si="28"/>
        <v>104</v>
      </c>
      <c r="D158" s="166">
        <v>9911</v>
      </c>
      <c r="E158" s="166">
        <f t="shared" si="29"/>
        <v>70</v>
      </c>
      <c r="F158" s="167">
        <f t="shared" si="30"/>
        <v>4</v>
      </c>
      <c r="G158" s="168">
        <f t="shared" si="22"/>
        <v>5902</v>
      </c>
      <c r="H158" s="166">
        <f t="shared" si="23"/>
        <v>10</v>
      </c>
      <c r="I158" s="166">
        <f t="shared" si="31"/>
        <v>9911</v>
      </c>
      <c r="J158" s="152">
        <f>VLOOKUP(A158,[2]filiation!A:C,3,FALSE)</f>
        <v>9</v>
      </c>
      <c r="K158" s="152">
        <f>VLOOKUP(J158,[2]Entourage!A:N,14,FALSE)</f>
        <v>2</v>
      </c>
      <c r="L158" s="152" t="str">
        <f t="shared" si="24"/>
        <v>刺杀</v>
      </c>
      <c r="M158" s="152">
        <f>VLOOKUP(A158,[2]filiation!A:D,4,FALSE)</f>
        <v>18</v>
      </c>
      <c r="N158" s="152">
        <f>VLOOKUP(M158,[2]Entourage!A:N,14,FALSE)</f>
        <v>3</v>
      </c>
      <c r="O158" s="152" t="str">
        <f t="shared" si="25"/>
        <v>辅助</v>
      </c>
      <c r="P158" s="152">
        <f t="shared" si="26"/>
        <v>104</v>
      </c>
      <c r="Q158" s="151">
        <f>INT(VLOOKUP(VLOOKUP(A158,[2]filiation!A:E,3,FALSE),[2]Entourage!A:AA,IF(C158=101,25,IF(C158=102,26,IF(C158=104,27))),FALSE)*VLOOKUP(N158,$AF$2:$AI$6,IF(C158=1,2,IF(C158=2,3,4)),FALSE)*VLOOKUP(B158,$AK$2:$AL$11,2,FALSE))</f>
        <v>9781</v>
      </c>
      <c r="R158" s="153">
        <f>IFERROR(INDEX([3]ItemConfig!$BB:$BB,MATCH(G158,[3]ItemConfig!$A:$A,0))*H158,0)</f>
        <v>0</v>
      </c>
      <c r="S158" s="154" t="str">
        <f>VLOOKUP(J158,[2]Entourage!A:B,2,FALSE)</f>
        <v>安娜</v>
      </c>
      <c r="T158" s="151" t="str">
        <f>VLOOKUP(M158,[2]Entourage!A:B,2,FALSE)</f>
        <v>乌德尔</v>
      </c>
      <c r="U158" s="163"/>
      <c r="V158" s="147"/>
    </row>
    <row r="159" spans="1:22">
      <c r="A159" s="166">
        <f t="shared" si="27"/>
        <v>16</v>
      </c>
      <c r="B159" s="167">
        <f>COUNTIF(A$1:A159,A159)</f>
        <v>8</v>
      </c>
      <c r="C159" s="167">
        <f t="shared" si="28"/>
        <v>104</v>
      </c>
      <c r="D159" s="166">
        <v>11327</v>
      </c>
      <c r="E159" s="166">
        <f t="shared" si="29"/>
        <v>80</v>
      </c>
      <c r="F159" s="167">
        <f t="shared" si="30"/>
        <v>5</v>
      </c>
      <c r="G159" s="168">
        <f t="shared" si="22"/>
        <v>5902</v>
      </c>
      <c r="H159" s="166">
        <f t="shared" si="23"/>
        <v>12</v>
      </c>
      <c r="I159" s="166">
        <f t="shared" si="31"/>
        <v>11327</v>
      </c>
      <c r="J159" s="152">
        <f>VLOOKUP(A159,[2]filiation!A:C,3,FALSE)</f>
        <v>9</v>
      </c>
      <c r="K159" s="152">
        <f>VLOOKUP(J159,[2]Entourage!A:N,14,FALSE)</f>
        <v>2</v>
      </c>
      <c r="L159" s="152" t="str">
        <f t="shared" si="24"/>
        <v>刺杀</v>
      </c>
      <c r="M159" s="152">
        <f>VLOOKUP(A159,[2]filiation!A:D,4,FALSE)</f>
        <v>18</v>
      </c>
      <c r="N159" s="152">
        <f>VLOOKUP(M159,[2]Entourage!A:N,14,FALSE)</f>
        <v>3</v>
      </c>
      <c r="O159" s="152" t="str">
        <f t="shared" si="25"/>
        <v>辅助</v>
      </c>
      <c r="P159" s="152">
        <f t="shared" si="26"/>
        <v>104</v>
      </c>
      <c r="Q159" s="151">
        <f>INT(VLOOKUP(VLOOKUP(A159,[2]filiation!A:E,3,FALSE),[2]Entourage!A:AA,IF(C159=101,25,IF(C159=102,26,IF(C159=104,27))),FALSE)*VLOOKUP(N159,$AF$2:$AI$6,IF(C159=1,2,IF(C159=2,3,4)),FALSE)*VLOOKUP(B159,$AK$2:$AL$11,2,FALSE))</f>
        <v>11068</v>
      </c>
      <c r="R159" s="153">
        <f>IFERROR(INDEX([3]ItemConfig!$BB:$BB,MATCH(G159,[3]ItemConfig!$A:$A,0))*H159,0)</f>
        <v>0</v>
      </c>
      <c r="S159" s="154" t="str">
        <f>VLOOKUP(J159,[2]Entourage!A:B,2,FALSE)</f>
        <v>安娜</v>
      </c>
      <c r="T159" s="151" t="str">
        <f>VLOOKUP(M159,[2]Entourage!A:B,2,FALSE)</f>
        <v>乌德尔</v>
      </c>
      <c r="U159" s="163"/>
      <c r="V159" s="147"/>
    </row>
    <row r="160" spans="1:22">
      <c r="A160" s="166">
        <f t="shared" si="27"/>
        <v>16</v>
      </c>
      <c r="B160" s="167">
        <f>COUNTIF(A$1:A160,A160)</f>
        <v>9</v>
      </c>
      <c r="C160" s="167">
        <f t="shared" si="28"/>
        <v>104</v>
      </c>
      <c r="D160" s="166">
        <v>12743</v>
      </c>
      <c r="E160" s="166">
        <f t="shared" si="29"/>
        <v>90</v>
      </c>
      <c r="F160" s="167">
        <f t="shared" si="30"/>
        <v>5</v>
      </c>
      <c r="G160" s="168">
        <f t="shared" si="22"/>
        <v>5902</v>
      </c>
      <c r="H160" s="166">
        <f t="shared" si="23"/>
        <v>15</v>
      </c>
      <c r="I160" s="166">
        <f t="shared" si="31"/>
        <v>12743</v>
      </c>
      <c r="J160" s="152">
        <f>VLOOKUP(A160,[2]filiation!A:C,3,FALSE)</f>
        <v>9</v>
      </c>
      <c r="K160" s="152">
        <f>VLOOKUP(J160,[2]Entourage!A:N,14,FALSE)</f>
        <v>2</v>
      </c>
      <c r="L160" s="152" t="str">
        <f t="shared" si="24"/>
        <v>刺杀</v>
      </c>
      <c r="M160" s="152">
        <f>VLOOKUP(A160,[2]filiation!A:D,4,FALSE)</f>
        <v>18</v>
      </c>
      <c r="N160" s="152">
        <f>VLOOKUP(M160,[2]Entourage!A:N,14,FALSE)</f>
        <v>3</v>
      </c>
      <c r="O160" s="152" t="str">
        <f t="shared" si="25"/>
        <v>辅助</v>
      </c>
      <c r="P160" s="152">
        <f t="shared" si="26"/>
        <v>104</v>
      </c>
      <c r="Q160" s="151">
        <f>INT(VLOOKUP(VLOOKUP(A160,[2]filiation!A:E,3,FALSE),[2]Entourage!A:AA,IF(C160=101,25,IF(C160=102,26,IF(C160=104,27))),FALSE)*VLOOKUP(N160,$AF$2:$AI$6,IF(C160=1,2,IF(C160=2,3,4)),FALSE)*VLOOKUP(B160,$AK$2:$AL$11,2,FALSE))</f>
        <v>12527</v>
      </c>
      <c r="R160" s="153">
        <f>IFERROR(INDEX([3]ItemConfig!$BB:$BB,MATCH(G160,[3]ItemConfig!$A:$A,0))*H160,0)</f>
        <v>0</v>
      </c>
      <c r="S160" s="154" t="str">
        <f>VLOOKUP(J160,[2]Entourage!A:B,2,FALSE)</f>
        <v>安娜</v>
      </c>
      <c r="T160" s="151" t="str">
        <f>VLOOKUP(M160,[2]Entourage!A:B,2,FALSE)</f>
        <v>乌德尔</v>
      </c>
      <c r="U160" s="163"/>
      <c r="V160" s="147"/>
    </row>
    <row r="161" spans="1:22">
      <c r="A161" s="166">
        <f t="shared" si="27"/>
        <v>16</v>
      </c>
      <c r="B161" s="167">
        <f>COUNTIF(A$1:A161,A161)</f>
        <v>10</v>
      </c>
      <c r="C161" s="167">
        <f t="shared" si="28"/>
        <v>104</v>
      </c>
      <c r="D161" s="166">
        <v>14158</v>
      </c>
      <c r="E161" s="166">
        <f t="shared" si="29"/>
        <v>90</v>
      </c>
      <c r="F161" s="167">
        <f t="shared" si="30"/>
        <v>6</v>
      </c>
      <c r="G161" s="168">
        <f t="shared" si="22"/>
        <v>5902</v>
      </c>
      <c r="H161" s="166">
        <f t="shared" si="23"/>
        <v>18</v>
      </c>
      <c r="I161" s="166">
        <f t="shared" si="31"/>
        <v>14158</v>
      </c>
      <c r="J161" s="152">
        <f>VLOOKUP(A161,[2]filiation!A:C,3,FALSE)</f>
        <v>9</v>
      </c>
      <c r="K161" s="152">
        <f>VLOOKUP(J161,[2]Entourage!A:N,14,FALSE)</f>
        <v>2</v>
      </c>
      <c r="L161" s="152" t="str">
        <f t="shared" si="24"/>
        <v>刺杀</v>
      </c>
      <c r="M161" s="152">
        <f>VLOOKUP(A161,[2]filiation!A:D,4,FALSE)</f>
        <v>18</v>
      </c>
      <c r="N161" s="152">
        <f>VLOOKUP(M161,[2]Entourage!A:N,14,FALSE)</f>
        <v>3</v>
      </c>
      <c r="O161" s="152" t="str">
        <f t="shared" si="25"/>
        <v>辅助</v>
      </c>
      <c r="P161" s="152">
        <f t="shared" si="26"/>
        <v>104</v>
      </c>
      <c r="Q161" s="151">
        <f>INT(VLOOKUP(VLOOKUP(A161,[2]filiation!A:E,3,FALSE),[2]Entourage!A:AA,IF(C161=101,25,IF(C161=102,26,IF(C161=104,27))),FALSE)*VLOOKUP(N161,$AF$2:$AI$6,IF(C161=1,2,IF(C161=2,3,4)),FALSE)*VLOOKUP(B161,$AK$2:$AL$11,2,FALSE))</f>
        <v>14158</v>
      </c>
      <c r="R161" s="153">
        <f>IFERROR(INDEX([3]ItemConfig!$BB:$BB,MATCH(G161,[3]ItemConfig!$A:$A,0))*H161,0)</f>
        <v>0</v>
      </c>
      <c r="S161" s="154" t="str">
        <f>VLOOKUP(J161,[2]Entourage!A:B,2,FALSE)</f>
        <v>安娜</v>
      </c>
      <c r="T161" s="151" t="str">
        <f>VLOOKUP(M161,[2]Entourage!A:B,2,FALSE)</f>
        <v>乌德尔</v>
      </c>
      <c r="U161" s="163"/>
      <c r="V161" s="147"/>
    </row>
    <row r="162" spans="1:22">
      <c r="A162" s="159">
        <f t="shared" si="27"/>
        <v>17</v>
      </c>
      <c r="B162" s="160">
        <f>COUNTIF(A$1:A162,A162)</f>
        <v>1</v>
      </c>
      <c r="C162" s="160">
        <f t="shared" si="28"/>
        <v>104</v>
      </c>
      <c r="D162" s="159">
        <v>1416</v>
      </c>
      <c r="E162" s="159">
        <f t="shared" si="29"/>
        <v>10</v>
      </c>
      <c r="F162" s="160">
        <f t="shared" si="30"/>
        <v>1</v>
      </c>
      <c r="G162" s="161">
        <f t="shared" si="22"/>
        <v>5902</v>
      </c>
      <c r="H162" s="159">
        <f t="shared" si="23"/>
        <v>1</v>
      </c>
      <c r="I162" s="159">
        <f t="shared" si="31"/>
        <v>1416</v>
      </c>
      <c r="J162" s="152">
        <f>VLOOKUP(A162,[2]filiation!A:C,3,FALSE)</f>
        <v>9</v>
      </c>
      <c r="K162" s="152">
        <f>VLOOKUP(J162,[2]Entourage!A:N,14,FALSE)</f>
        <v>2</v>
      </c>
      <c r="L162" s="152" t="str">
        <f t="shared" si="24"/>
        <v>刺杀</v>
      </c>
      <c r="M162" s="152">
        <f>VLOOKUP(A162,[2]filiation!A:D,4,FALSE)</f>
        <v>22</v>
      </c>
      <c r="N162" s="152">
        <f>VLOOKUP(M162,[2]Entourage!A:N,14,FALSE)</f>
        <v>3</v>
      </c>
      <c r="O162" s="152" t="str">
        <f t="shared" si="25"/>
        <v>辅助</v>
      </c>
      <c r="P162" s="152">
        <f t="shared" si="26"/>
        <v>104</v>
      </c>
      <c r="Q162" s="151">
        <f>INT(VLOOKUP(VLOOKUP(A162,[2]filiation!A:E,3,FALSE),[2]Entourage!A:AA,IF(C162=101,25,IF(C162=102,26,IF(C162=104,27))),FALSE)*VLOOKUP(N162,$AF$2:$AI$6,IF(C162=1,2,IF(C162=2,3,4)),FALSE)*VLOOKUP(B162,$AK$2:$AL$11,2,FALSE))</f>
        <v>5663</v>
      </c>
      <c r="R162" s="153">
        <f>IFERROR(INDEX([3]ItemConfig!$BB:$BB,MATCH(G162,[3]ItemConfig!$A:$A,0))*H162,0)</f>
        <v>0</v>
      </c>
      <c r="S162" s="154" t="str">
        <f>VLOOKUP(J162,[2]Entourage!A:B,2,FALSE)</f>
        <v>安娜</v>
      </c>
      <c r="T162" s="151" t="str">
        <f>VLOOKUP(M162,[2]Entourage!A:B,2,FALSE)</f>
        <v>格拉克茜</v>
      </c>
      <c r="U162" s="163"/>
      <c r="V162" s="147"/>
    </row>
    <row r="163" spans="1:22">
      <c r="A163" s="159">
        <f t="shared" si="27"/>
        <v>17</v>
      </c>
      <c r="B163" s="160">
        <f>COUNTIF(A$1:A163,A163)</f>
        <v>2</v>
      </c>
      <c r="C163" s="160">
        <f t="shared" si="28"/>
        <v>104</v>
      </c>
      <c r="D163" s="159">
        <v>2832</v>
      </c>
      <c r="E163" s="159">
        <f t="shared" si="29"/>
        <v>20</v>
      </c>
      <c r="F163" s="160">
        <f t="shared" si="30"/>
        <v>2</v>
      </c>
      <c r="G163" s="161">
        <f t="shared" si="22"/>
        <v>5902</v>
      </c>
      <c r="H163" s="159">
        <f t="shared" si="23"/>
        <v>2</v>
      </c>
      <c r="I163" s="159">
        <f t="shared" si="31"/>
        <v>2832</v>
      </c>
      <c r="J163" s="152">
        <f>VLOOKUP(A163,[2]filiation!A:C,3,FALSE)</f>
        <v>9</v>
      </c>
      <c r="K163" s="152">
        <f>VLOOKUP(J163,[2]Entourage!A:N,14,FALSE)</f>
        <v>2</v>
      </c>
      <c r="L163" s="152" t="str">
        <f t="shared" si="24"/>
        <v>刺杀</v>
      </c>
      <c r="M163" s="152">
        <f>VLOOKUP(A163,[2]filiation!A:D,4,FALSE)</f>
        <v>22</v>
      </c>
      <c r="N163" s="152">
        <f>VLOOKUP(M163,[2]Entourage!A:N,14,FALSE)</f>
        <v>3</v>
      </c>
      <c r="O163" s="152" t="str">
        <f t="shared" si="25"/>
        <v>辅助</v>
      </c>
      <c r="P163" s="152">
        <f t="shared" si="26"/>
        <v>104</v>
      </c>
      <c r="Q163" s="151">
        <f>INT(VLOOKUP(VLOOKUP(A163,[2]filiation!A:E,3,FALSE),[2]Entourage!A:AA,IF(C163=101,25,IF(C163=102,26,IF(C163=104,27))),FALSE)*VLOOKUP(N163,$AF$2:$AI$6,IF(C163=1,2,IF(C163=2,3,4)),FALSE)*VLOOKUP(B163,$AK$2:$AL$11,2,FALSE))</f>
        <v>5920</v>
      </c>
      <c r="R163" s="153">
        <f>IFERROR(INDEX([3]ItemConfig!$BB:$BB,MATCH(G163,[3]ItemConfig!$A:$A,0))*H163,0)</f>
        <v>0</v>
      </c>
      <c r="S163" s="154" t="str">
        <f>VLOOKUP(J163,[2]Entourage!A:B,2,FALSE)</f>
        <v>安娜</v>
      </c>
      <c r="T163" s="151" t="str">
        <f>VLOOKUP(M163,[2]Entourage!A:B,2,FALSE)</f>
        <v>格拉克茜</v>
      </c>
      <c r="U163" s="163"/>
      <c r="V163" s="147"/>
    </row>
    <row r="164" spans="1:22">
      <c r="A164" s="159">
        <f t="shared" si="27"/>
        <v>17</v>
      </c>
      <c r="B164" s="160">
        <f>COUNTIF(A$1:A164,A164)</f>
        <v>3</v>
      </c>
      <c r="C164" s="160">
        <f t="shared" si="28"/>
        <v>104</v>
      </c>
      <c r="D164" s="159">
        <v>4248</v>
      </c>
      <c r="E164" s="159">
        <f t="shared" si="29"/>
        <v>30</v>
      </c>
      <c r="F164" s="160">
        <f t="shared" si="30"/>
        <v>2</v>
      </c>
      <c r="G164" s="161">
        <f t="shared" si="22"/>
        <v>5902</v>
      </c>
      <c r="H164" s="159">
        <f t="shared" si="23"/>
        <v>3</v>
      </c>
      <c r="I164" s="159">
        <f t="shared" si="31"/>
        <v>4248</v>
      </c>
      <c r="J164" s="152">
        <f>VLOOKUP(A164,[2]filiation!A:C,3,FALSE)</f>
        <v>9</v>
      </c>
      <c r="K164" s="152">
        <f>VLOOKUP(J164,[2]Entourage!A:N,14,FALSE)</f>
        <v>2</v>
      </c>
      <c r="L164" s="152" t="str">
        <f t="shared" si="24"/>
        <v>刺杀</v>
      </c>
      <c r="M164" s="152">
        <f>VLOOKUP(A164,[2]filiation!A:D,4,FALSE)</f>
        <v>22</v>
      </c>
      <c r="N164" s="152">
        <f>VLOOKUP(M164,[2]Entourage!A:N,14,FALSE)</f>
        <v>3</v>
      </c>
      <c r="O164" s="152" t="str">
        <f t="shared" si="25"/>
        <v>辅助</v>
      </c>
      <c r="P164" s="152">
        <f t="shared" si="26"/>
        <v>104</v>
      </c>
      <c r="Q164" s="151">
        <f>INT(VLOOKUP(VLOOKUP(A164,[2]filiation!A:E,3,FALSE),[2]Entourage!A:AA,IF(C164=101,25,IF(C164=102,26,IF(C164=104,27))),FALSE)*VLOOKUP(N164,$AF$2:$AI$6,IF(C164=1,2,IF(C164=2,3,4)),FALSE)*VLOOKUP(B164,$AK$2:$AL$11,2,FALSE))</f>
        <v>6349</v>
      </c>
      <c r="R164" s="153">
        <f>IFERROR(INDEX([3]ItemConfig!$BB:$BB,MATCH(G164,[3]ItemConfig!$A:$A,0))*H164,0)</f>
        <v>0</v>
      </c>
      <c r="S164" s="154" t="str">
        <f>VLOOKUP(J164,[2]Entourage!A:B,2,FALSE)</f>
        <v>安娜</v>
      </c>
      <c r="T164" s="151" t="str">
        <f>VLOOKUP(M164,[2]Entourage!A:B,2,FALSE)</f>
        <v>格拉克茜</v>
      </c>
      <c r="U164" s="163"/>
      <c r="V164" s="147"/>
    </row>
    <row r="165" spans="1:22">
      <c r="A165" s="159">
        <f t="shared" si="27"/>
        <v>17</v>
      </c>
      <c r="B165" s="160">
        <f>COUNTIF(A$1:A165,A165)</f>
        <v>4</v>
      </c>
      <c r="C165" s="160">
        <f t="shared" si="28"/>
        <v>104</v>
      </c>
      <c r="D165" s="159">
        <v>5664</v>
      </c>
      <c r="E165" s="159">
        <f t="shared" si="29"/>
        <v>40</v>
      </c>
      <c r="F165" s="160">
        <f t="shared" si="30"/>
        <v>3</v>
      </c>
      <c r="G165" s="161">
        <f t="shared" si="22"/>
        <v>5902</v>
      </c>
      <c r="H165" s="159">
        <f t="shared" si="23"/>
        <v>4</v>
      </c>
      <c r="I165" s="159">
        <f t="shared" si="31"/>
        <v>5664</v>
      </c>
      <c r="J165" s="152">
        <f>VLOOKUP(A165,[2]filiation!A:C,3,FALSE)</f>
        <v>9</v>
      </c>
      <c r="K165" s="152">
        <f>VLOOKUP(J165,[2]Entourage!A:N,14,FALSE)</f>
        <v>2</v>
      </c>
      <c r="L165" s="152" t="str">
        <f t="shared" si="24"/>
        <v>刺杀</v>
      </c>
      <c r="M165" s="152">
        <f>VLOOKUP(A165,[2]filiation!A:D,4,FALSE)</f>
        <v>22</v>
      </c>
      <c r="N165" s="152">
        <f>VLOOKUP(M165,[2]Entourage!A:N,14,FALSE)</f>
        <v>3</v>
      </c>
      <c r="O165" s="152" t="str">
        <f t="shared" si="25"/>
        <v>辅助</v>
      </c>
      <c r="P165" s="152">
        <f t="shared" si="26"/>
        <v>104</v>
      </c>
      <c r="Q165" s="151">
        <f>INT(VLOOKUP(VLOOKUP(A165,[2]filiation!A:E,3,FALSE),[2]Entourage!A:AA,IF(C165=101,25,IF(C165=102,26,IF(C165=104,27))),FALSE)*VLOOKUP(N165,$AF$2:$AI$6,IF(C165=1,2,IF(C165=2,3,4)),FALSE)*VLOOKUP(B165,$AK$2:$AL$11,2,FALSE))</f>
        <v>6950</v>
      </c>
      <c r="R165" s="153">
        <f>IFERROR(INDEX([3]ItemConfig!$BB:$BB,MATCH(G165,[3]ItemConfig!$A:$A,0))*H165,0)</f>
        <v>0</v>
      </c>
      <c r="S165" s="154" t="str">
        <f>VLOOKUP(J165,[2]Entourage!A:B,2,FALSE)</f>
        <v>安娜</v>
      </c>
      <c r="T165" s="151" t="str">
        <f>VLOOKUP(M165,[2]Entourage!A:B,2,FALSE)</f>
        <v>格拉克茜</v>
      </c>
      <c r="U165" s="163"/>
      <c r="V165" s="147"/>
    </row>
    <row r="166" spans="1:22">
      <c r="A166" s="159">
        <f t="shared" si="27"/>
        <v>17</v>
      </c>
      <c r="B166" s="160">
        <f>COUNTIF(A$1:A166,A166)</f>
        <v>5</v>
      </c>
      <c r="C166" s="160">
        <f t="shared" si="28"/>
        <v>104</v>
      </c>
      <c r="D166" s="159">
        <v>7079</v>
      </c>
      <c r="E166" s="159">
        <f t="shared" si="29"/>
        <v>50</v>
      </c>
      <c r="F166" s="160">
        <f t="shared" si="30"/>
        <v>3</v>
      </c>
      <c r="G166" s="161">
        <f t="shared" si="22"/>
        <v>5902</v>
      </c>
      <c r="H166" s="159">
        <f t="shared" si="23"/>
        <v>6</v>
      </c>
      <c r="I166" s="159">
        <f t="shared" si="31"/>
        <v>7079</v>
      </c>
      <c r="J166" s="152">
        <f>VLOOKUP(A166,[2]filiation!A:C,3,FALSE)</f>
        <v>9</v>
      </c>
      <c r="K166" s="152">
        <f>VLOOKUP(J166,[2]Entourage!A:N,14,FALSE)</f>
        <v>2</v>
      </c>
      <c r="L166" s="152" t="str">
        <f t="shared" si="24"/>
        <v>刺杀</v>
      </c>
      <c r="M166" s="152">
        <f>VLOOKUP(A166,[2]filiation!A:D,4,FALSE)</f>
        <v>22</v>
      </c>
      <c r="N166" s="152">
        <f>VLOOKUP(M166,[2]Entourage!A:N,14,FALSE)</f>
        <v>3</v>
      </c>
      <c r="O166" s="152" t="str">
        <f t="shared" si="25"/>
        <v>辅助</v>
      </c>
      <c r="P166" s="152">
        <f t="shared" si="26"/>
        <v>104</v>
      </c>
      <c r="Q166" s="151">
        <f>INT(VLOOKUP(VLOOKUP(A166,[2]filiation!A:E,3,FALSE),[2]Entourage!A:AA,IF(C166=101,25,IF(C166=102,26,IF(C166=104,27))),FALSE)*VLOOKUP(N166,$AF$2:$AI$6,IF(C166=1,2,IF(C166=2,3,4)),FALSE)*VLOOKUP(B166,$AK$2:$AL$11,2,FALSE))</f>
        <v>7722</v>
      </c>
      <c r="R166" s="153">
        <f>IFERROR(INDEX([3]ItemConfig!$BB:$BB,MATCH(G166,[3]ItemConfig!$A:$A,0))*H166,0)</f>
        <v>0</v>
      </c>
      <c r="S166" s="154" t="str">
        <f>VLOOKUP(J166,[2]Entourage!A:B,2,FALSE)</f>
        <v>安娜</v>
      </c>
      <c r="T166" s="151" t="str">
        <f>VLOOKUP(M166,[2]Entourage!A:B,2,FALSE)</f>
        <v>格拉克茜</v>
      </c>
      <c r="U166" s="163"/>
      <c r="V166" s="147"/>
    </row>
    <row r="167" spans="1:22">
      <c r="A167" s="159">
        <f t="shared" si="27"/>
        <v>17</v>
      </c>
      <c r="B167" s="160">
        <f>COUNTIF(A$1:A167,A167)</f>
        <v>6</v>
      </c>
      <c r="C167" s="160">
        <f t="shared" si="28"/>
        <v>104</v>
      </c>
      <c r="D167" s="159">
        <v>8495</v>
      </c>
      <c r="E167" s="159">
        <f t="shared" si="29"/>
        <v>60</v>
      </c>
      <c r="F167" s="160">
        <f t="shared" si="30"/>
        <v>4</v>
      </c>
      <c r="G167" s="161">
        <f t="shared" si="22"/>
        <v>5902</v>
      </c>
      <c r="H167" s="159">
        <f t="shared" si="23"/>
        <v>8</v>
      </c>
      <c r="I167" s="159">
        <f t="shared" si="31"/>
        <v>8495</v>
      </c>
      <c r="J167" s="152">
        <f>VLOOKUP(A167,[2]filiation!A:C,3,FALSE)</f>
        <v>9</v>
      </c>
      <c r="K167" s="152">
        <f>VLOOKUP(J167,[2]Entourage!A:N,14,FALSE)</f>
        <v>2</v>
      </c>
      <c r="L167" s="152" t="str">
        <f t="shared" si="24"/>
        <v>刺杀</v>
      </c>
      <c r="M167" s="152">
        <f>VLOOKUP(A167,[2]filiation!A:D,4,FALSE)</f>
        <v>22</v>
      </c>
      <c r="N167" s="152">
        <f>VLOOKUP(M167,[2]Entourage!A:N,14,FALSE)</f>
        <v>3</v>
      </c>
      <c r="O167" s="152" t="str">
        <f t="shared" si="25"/>
        <v>辅助</v>
      </c>
      <c r="P167" s="152">
        <f t="shared" si="26"/>
        <v>104</v>
      </c>
      <c r="Q167" s="151">
        <f>INT(VLOOKUP(VLOOKUP(A167,[2]filiation!A:E,3,FALSE),[2]Entourage!A:AA,IF(C167=101,25,IF(C167=102,26,IF(C167=104,27))),FALSE)*VLOOKUP(N167,$AF$2:$AI$6,IF(C167=1,2,IF(C167=2,3,4)),FALSE)*VLOOKUP(B167,$AK$2:$AL$11,2,FALSE))</f>
        <v>8666</v>
      </c>
      <c r="R167" s="153">
        <f>IFERROR(INDEX([3]ItemConfig!$BB:$BB,MATCH(G167,[3]ItemConfig!$A:$A,0))*H167,0)</f>
        <v>0</v>
      </c>
      <c r="S167" s="154" t="str">
        <f>VLOOKUP(J167,[2]Entourage!A:B,2,FALSE)</f>
        <v>安娜</v>
      </c>
      <c r="T167" s="151" t="str">
        <f>VLOOKUP(M167,[2]Entourage!A:B,2,FALSE)</f>
        <v>格拉克茜</v>
      </c>
      <c r="U167" s="163"/>
      <c r="V167" s="147"/>
    </row>
    <row r="168" spans="1:22">
      <c r="A168" s="159">
        <f t="shared" si="27"/>
        <v>17</v>
      </c>
      <c r="B168" s="160">
        <f>COUNTIF(A$1:A168,A168)</f>
        <v>7</v>
      </c>
      <c r="C168" s="160">
        <f t="shared" si="28"/>
        <v>104</v>
      </c>
      <c r="D168" s="159">
        <v>9911</v>
      </c>
      <c r="E168" s="159">
        <f t="shared" si="29"/>
        <v>70</v>
      </c>
      <c r="F168" s="160">
        <f t="shared" si="30"/>
        <v>4</v>
      </c>
      <c r="G168" s="161">
        <f t="shared" si="22"/>
        <v>5902</v>
      </c>
      <c r="H168" s="159">
        <f t="shared" si="23"/>
        <v>10</v>
      </c>
      <c r="I168" s="159">
        <f t="shared" si="31"/>
        <v>9911</v>
      </c>
      <c r="J168" s="152">
        <f>VLOOKUP(A168,[2]filiation!A:C,3,FALSE)</f>
        <v>9</v>
      </c>
      <c r="K168" s="152">
        <f>VLOOKUP(J168,[2]Entourage!A:N,14,FALSE)</f>
        <v>2</v>
      </c>
      <c r="L168" s="152" t="str">
        <f t="shared" si="24"/>
        <v>刺杀</v>
      </c>
      <c r="M168" s="152">
        <f>VLOOKUP(A168,[2]filiation!A:D,4,FALSE)</f>
        <v>22</v>
      </c>
      <c r="N168" s="152">
        <f>VLOOKUP(M168,[2]Entourage!A:N,14,FALSE)</f>
        <v>3</v>
      </c>
      <c r="O168" s="152" t="str">
        <f t="shared" si="25"/>
        <v>辅助</v>
      </c>
      <c r="P168" s="152">
        <f t="shared" si="26"/>
        <v>104</v>
      </c>
      <c r="Q168" s="151">
        <f>INT(VLOOKUP(VLOOKUP(A168,[2]filiation!A:E,3,FALSE),[2]Entourage!A:AA,IF(C168=101,25,IF(C168=102,26,IF(C168=104,27))),FALSE)*VLOOKUP(N168,$AF$2:$AI$6,IF(C168=1,2,IF(C168=2,3,4)),FALSE)*VLOOKUP(B168,$AK$2:$AL$11,2,FALSE))</f>
        <v>9781</v>
      </c>
      <c r="R168" s="153">
        <f>IFERROR(INDEX([3]ItemConfig!$BB:$BB,MATCH(G168,[3]ItemConfig!$A:$A,0))*H168,0)</f>
        <v>0</v>
      </c>
      <c r="S168" s="154" t="str">
        <f>VLOOKUP(J168,[2]Entourage!A:B,2,FALSE)</f>
        <v>安娜</v>
      </c>
      <c r="T168" s="151" t="str">
        <f>VLOOKUP(M168,[2]Entourage!A:B,2,FALSE)</f>
        <v>格拉克茜</v>
      </c>
      <c r="U168" s="163"/>
      <c r="V168" s="147"/>
    </row>
    <row r="169" spans="1:22">
      <c r="A169" s="159">
        <f t="shared" si="27"/>
        <v>17</v>
      </c>
      <c r="B169" s="160">
        <f>COUNTIF(A$1:A169,A169)</f>
        <v>8</v>
      </c>
      <c r="C169" s="160">
        <f t="shared" si="28"/>
        <v>104</v>
      </c>
      <c r="D169" s="159">
        <v>11327</v>
      </c>
      <c r="E169" s="159">
        <f t="shared" si="29"/>
        <v>80</v>
      </c>
      <c r="F169" s="160">
        <f t="shared" si="30"/>
        <v>5</v>
      </c>
      <c r="G169" s="161">
        <f t="shared" si="22"/>
        <v>5902</v>
      </c>
      <c r="H169" s="159">
        <f t="shared" si="23"/>
        <v>12</v>
      </c>
      <c r="I169" s="159">
        <f t="shared" si="31"/>
        <v>11327</v>
      </c>
      <c r="J169" s="152">
        <f>VLOOKUP(A169,[2]filiation!A:C,3,FALSE)</f>
        <v>9</v>
      </c>
      <c r="K169" s="152">
        <f>VLOOKUP(J169,[2]Entourage!A:N,14,FALSE)</f>
        <v>2</v>
      </c>
      <c r="L169" s="152" t="str">
        <f t="shared" si="24"/>
        <v>刺杀</v>
      </c>
      <c r="M169" s="152">
        <f>VLOOKUP(A169,[2]filiation!A:D,4,FALSE)</f>
        <v>22</v>
      </c>
      <c r="N169" s="152">
        <f>VLOOKUP(M169,[2]Entourage!A:N,14,FALSE)</f>
        <v>3</v>
      </c>
      <c r="O169" s="152" t="str">
        <f t="shared" si="25"/>
        <v>辅助</v>
      </c>
      <c r="P169" s="152">
        <f t="shared" si="26"/>
        <v>104</v>
      </c>
      <c r="Q169" s="151">
        <f>INT(VLOOKUP(VLOOKUP(A169,[2]filiation!A:E,3,FALSE),[2]Entourage!A:AA,IF(C169=101,25,IF(C169=102,26,IF(C169=104,27))),FALSE)*VLOOKUP(N169,$AF$2:$AI$6,IF(C169=1,2,IF(C169=2,3,4)),FALSE)*VLOOKUP(B169,$AK$2:$AL$11,2,FALSE))</f>
        <v>11068</v>
      </c>
      <c r="R169" s="153">
        <f>IFERROR(INDEX([3]ItemConfig!$BB:$BB,MATCH(G169,[3]ItemConfig!$A:$A,0))*H169,0)</f>
        <v>0</v>
      </c>
      <c r="S169" s="154" t="str">
        <f>VLOOKUP(J169,[2]Entourage!A:B,2,FALSE)</f>
        <v>安娜</v>
      </c>
      <c r="T169" s="151" t="str">
        <f>VLOOKUP(M169,[2]Entourage!A:B,2,FALSE)</f>
        <v>格拉克茜</v>
      </c>
      <c r="U169" s="163"/>
      <c r="V169" s="147"/>
    </row>
    <row r="170" spans="1:22">
      <c r="A170" s="159">
        <f t="shared" si="27"/>
        <v>17</v>
      </c>
      <c r="B170" s="160">
        <f>COUNTIF(A$1:A170,A170)</f>
        <v>9</v>
      </c>
      <c r="C170" s="160">
        <f t="shared" si="28"/>
        <v>104</v>
      </c>
      <c r="D170" s="159">
        <v>12743</v>
      </c>
      <c r="E170" s="159">
        <f t="shared" si="29"/>
        <v>90</v>
      </c>
      <c r="F170" s="160">
        <f t="shared" si="30"/>
        <v>5</v>
      </c>
      <c r="G170" s="161">
        <f t="shared" si="22"/>
        <v>5902</v>
      </c>
      <c r="H170" s="159">
        <f t="shared" si="23"/>
        <v>15</v>
      </c>
      <c r="I170" s="159">
        <f t="shared" si="31"/>
        <v>12743</v>
      </c>
      <c r="J170" s="152">
        <f>VLOOKUP(A170,[2]filiation!A:C,3,FALSE)</f>
        <v>9</v>
      </c>
      <c r="K170" s="152">
        <f>VLOOKUP(J170,[2]Entourage!A:N,14,FALSE)</f>
        <v>2</v>
      </c>
      <c r="L170" s="152" t="str">
        <f t="shared" si="24"/>
        <v>刺杀</v>
      </c>
      <c r="M170" s="152">
        <f>VLOOKUP(A170,[2]filiation!A:D,4,FALSE)</f>
        <v>22</v>
      </c>
      <c r="N170" s="152">
        <f>VLOOKUP(M170,[2]Entourage!A:N,14,FALSE)</f>
        <v>3</v>
      </c>
      <c r="O170" s="152" t="str">
        <f t="shared" si="25"/>
        <v>辅助</v>
      </c>
      <c r="P170" s="152">
        <f t="shared" si="26"/>
        <v>104</v>
      </c>
      <c r="Q170" s="151">
        <f>INT(VLOOKUP(VLOOKUP(A170,[2]filiation!A:E,3,FALSE),[2]Entourage!A:AA,IF(C170=101,25,IF(C170=102,26,IF(C170=104,27))),FALSE)*VLOOKUP(N170,$AF$2:$AI$6,IF(C170=1,2,IF(C170=2,3,4)),FALSE)*VLOOKUP(B170,$AK$2:$AL$11,2,FALSE))</f>
        <v>12527</v>
      </c>
      <c r="R170" s="153">
        <f>IFERROR(INDEX([3]ItemConfig!$BB:$BB,MATCH(G170,[3]ItemConfig!$A:$A,0))*H170,0)</f>
        <v>0</v>
      </c>
      <c r="S170" s="154" t="str">
        <f>VLOOKUP(J170,[2]Entourage!A:B,2,FALSE)</f>
        <v>安娜</v>
      </c>
      <c r="T170" s="151" t="str">
        <f>VLOOKUP(M170,[2]Entourage!A:B,2,FALSE)</f>
        <v>格拉克茜</v>
      </c>
      <c r="U170" s="163"/>
      <c r="V170" s="147"/>
    </row>
    <row r="171" spans="1:22">
      <c r="A171" s="159">
        <f t="shared" si="27"/>
        <v>17</v>
      </c>
      <c r="B171" s="160">
        <f>COUNTIF(A$1:A171,A171)</f>
        <v>10</v>
      </c>
      <c r="C171" s="160">
        <f t="shared" si="28"/>
        <v>104</v>
      </c>
      <c r="D171" s="159">
        <v>14158</v>
      </c>
      <c r="E171" s="159">
        <f t="shared" si="29"/>
        <v>90</v>
      </c>
      <c r="F171" s="160">
        <f t="shared" si="30"/>
        <v>6</v>
      </c>
      <c r="G171" s="161">
        <f t="shared" si="22"/>
        <v>5902</v>
      </c>
      <c r="H171" s="159">
        <f t="shared" si="23"/>
        <v>18</v>
      </c>
      <c r="I171" s="159">
        <f t="shared" si="31"/>
        <v>14158</v>
      </c>
      <c r="J171" s="152">
        <f>VLOOKUP(A171,[2]filiation!A:C,3,FALSE)</f>
        <v>9</v>
      </c>
      <c r="K171" s="152">
        <f>VLOOKUP(J171,[2]Entourage!A:N,14,FALSE)</f>
        <v>2</v>
      </c>
      <c r="L171" s="152" t="str">
        <f t="shared" si="24"/>
        <v>刺杀</v>
      </c>
      <c r="M171" s="152">
        <f>VLOOKUP(A171,[2]filiation!A:D,4,FALSE)</f>
        <v>22</v>
      </c>
      <c r="N171" s="152">
        <f>VLOOKUP(M171,[2]Entourage!A:N,14,FALSE)</f>
        <v>3</v>
      </c>
      <c r="O171" s="152" t="str">
        <f t="shared" si="25"/>
        <v>辅助</v>
      </c>
      <c r="P171" s="152">
        <f t="shared" si="26"/>
        <v>104</v>
      </c>
      <c r="Q171" s="151">
        <f>INT(VLOOKUP(VLOOKUP(A171,[2]filiation!A:E,3,FALSE),[2]Entourage!A:AA,IF(C171=101,25,IF(C171=102,26,IF(C171=104,27))),FALSE)*VLOOKUP(N171,$AF$2:$AI$6,IF(C171=1,2,IF(C171=2,3,4)),FALSE)*VLOOKUP(B171,$AK$2:$AL$11,2,FALSE))</f>
        <v>14158</v>
      </c>
      <c r="R171" s="153">
        <f>IFERROR(INDEX([3]ItemConfig!$BB:$BB,MATCH(G171,[3]ItemConfig!$A:$A,0))*H171,0)</f>
        <v>0</v>
      </c>
      <c r="S171" s="154" t="str">
        <f>VLOOKUP(J171,[2]Entourage!A:B,2,FALSE)</f>
        <v>安娜</v>
      </c>
      <c r="T171" s="151" t="str">
        <f>VLOOKUP(M171,[2]Entourage!A:B,2,FALSE)</f>
        <v>格拉克茜</v>
      </c>
      <c r="U171" s="163"/>
      <c r="V171" s="147"/>
    </row>
    <row r="172" spans="1:22">
      <c r="A172" s="166">
        <f t="shared" si="27"/>
        <v>18</v>
      </c>
      <c r="B172" s="167">
        <f>COUNTIF(A$1:A172,A172)</f>
        <v>1</v>
      </c>
      <c r="C172" s="167">
        <f t="shared" si="28"/>
        <v>104</v>
      </c>
      <c r="D172" s="166">
        <v>2004</v>
      </c>
      <c r="E172" s="166">
        <f t="shared" si="29"/>
        <v>10</v>
      </c>
      <c r="F172" s="167">
        <f t="shared" si="30"/>
        <v>1</v>
      </c>
      <c r="G172" s="168">
        <f t="shared" si="22"/>
        <v>5902</v>
      </c>
      <c r="H172" s="166">
        <f t="shared" si="23"/>
        <v>1</v>
      </c>
      <c r="I172" s="166">
        <f t="shared" si="31"/>
        <v>2004</v>
      </c>
      <c r="J172" s="152">
        <f>VLOOKUP(A172,[2]filiation!A:C,3,FALSE)</f>
        <v>10</v>
      </c>
      <c r="K172" s="152">
        <f>VLOOKUP(J172,[2]Entourage!A:N,14,FALSE)</f>
        <v>1</v>
      </c>
      <c r="L172" s="152" t="str">
        <f t="shared" si="24"/>
        <v>战斗</v>
      </c>
      <c r="M172" s="152">
        <f>VLOOKUP(A172,[2]filiation!A:D,4,FALSE)</f>
        <v>3</v>
      </c>
      <c r="N172" s="152">
        <f>VLOOKUP(M172,[2]Entourage!A:N,14,FALSE)</f>
        <v>3</v>
      </c>
      <c r="O172" s="152" t="str">
        <f t="shared" si="25"/>
        <v>辅助</v>
      </c>
      <c r="P172" s="152">
        <f t="shared" si="26"/>
        <v>104</v>
      </c>
      <c r="Q172" s="151">
        <f>INT(VLOOKUP(VLOOKUP(A172,[2]filiation!A:E,3,FALSE),[2]Entourage!A:AA,IF(C172=101,25,IF(C172=102,26,IF(C172=104,27))),FALSE)*VLOOKUP(N172,$AF$2:$AI$6,IF(C172=1,2,IF(C172=2,3,4)),FALSE)*VLOOKUP(B172,$AK$2:$AL$11,2,FALSE))</f>
        <v>8014</v>
      </c>
      <c r="R172" s="153">
        <f>IFERROR(INDEX([3]ItemConfig!$BB:$BB,MATCH(G172,[3]ItemConfig!$A:$A,0))*H172,0)</f>
        <v>0</v>
      </c>
      <c r="S172" s="154" t="str">
        <f>VLOOKUP(J172,[2]Entourage!A:B,2,FALSE)</f>
        <v>黑暗君王</v>
      </c>
      <c r="T172" s="151" t="str">
        <f>VLOOKUP(M172,[2]Entourage!A:B,2,FALSE)</f>
        <v>莫德雷斯</v>
      </c>
      <c r="U172" s="163"/>
      <c r="V172" s="147"/>
    </row>
    <row r="173" spans="1:22">
      <c r="A173" s="166">
        <f t="shared" si="27"/>
        <v>18</v>
      </c>
      <c r="B173" s="167">
        <f>COUNTIF(A$1:A173,A173)</f>
        <v>2</v>
      </c>
      <c r="C173" s="167">
        <f t="shared" si="28"/>
        <v>104</v>
      </c>
      <c r="D173" s="166">
        <v>4008</v>
      </c>
      <c r="E173" s="166">
        <f t="shared" si="29"/>
        <v>20</v>
      </c>
      <c r="F173" s="167">
        <f t="shared" si="30"/>
        <v>2</v>
      </c>
      <c r="G173" s="168">
        <f t="shared" si="22"/>
        <v>5902</v>
      </c>
      <c r="H173" s="166">
        <f t="shared" si="23"/>
        <v>2</v>
      </c>
      <c r="I173" s="166">
        <f t="shared" si="31"/>
        <v>4008</v>
      </c>
      <c r="J173" s="152">
        <f>VLOOKUP(A173,[2]filiation!A:C,3,FALSE)</f>
        <v>10</v>
      </c>
      <c r="K173" s="152">
        <f>VLOOKUP(J173,[2]Entourage!A:N,14,FALSE)</f>
        <v>1</v>
      </c>
      <c r="L173" s="152" t="str">
        <f t="shared" si="24"/>
        <v>战斗</v>
      </c>
      <c r="M173" s="152">
        <f>VLOOKUP(A173,[2]filiation!A:D,4,FALSE)</f>
        <v>3</v>
      </c>
      <c r="N173" s="152">
        <f>VLOOKUP(M173,[2]Entourage!A:N,14,FALSE)</f>
        <v>3</v>
      </c>
      <c r="O173" s="152" t="str">
        <f t="shared" si="25"/>
        <v>辅助</v>
      </c>
      <c r="P173" s="152">
        <f t="shared" si="26"/>
        <v>104</v>
      </c>
      <c r="Q173" s="151">
        <f>INT(VLOOKUP(VLOOKUP(A173,[2]filiation!A:E,3,FALSE),[2]Entourage!A:AA,IF(C173=101,25,IF(C173=102,26,IF(C173=104,27))),FALSE)*VLOOKUP(N173,$AF$2:$AI$6,IF(C173=1,2,IF(C173=2,3,4)),FALSE)*VLOOKUP(B173,$AK$2:$AL$11,2,FALSE))</f>
        <v>8378</v>
      </c>
      <c r="R173" s="153">
        <f>IFERROR(INDEX([3]ItemConfig!$BB:$BB,MATCH(G173,[3]ItemConfig!$A:$A,0))*H173,0)</f>
        <v>0</v>
      </c>
      <c r="S173" s="154" t="str">
        <f>VLOOKUP(J173,[2]Entourage!A:B,2,FALSE)</f>
        <v>黑暗君王</v>
      </c>
      <c r="T173" s="151" t="str">
        <f>VLOOKUP(M173,[2]Entourage!A:B,2,FALSE)</f>
        <v>莫德雷斯</v>
      </c>
      <c r="U173" s="163"/>
      <c r="V173" s="147"/>
    </row>
    <row r="174" spans="1:22">
      <c r="A174" s="166">
        <f t="shared" si="27"/>
        <v>18</v>
      </c>
      <c r="B174" s="167">
        <f>COUNTIF(A$1:A174,A174)</f>
        <v>3</v>
      </c>
      <c r="C174" s="167">
        <f t="shared" si="28"/>
        <v>104</v>
      </c>
      <c r="D174" s="166">
        <v>6011</v>
      </c>
      <c r="E174" s="166">
        <f t="shared" si="29"/>
        <v>30</v>
      </c>
      <c r="F174" s="167">
        <f t="shared" si="30"/>
        <v>2</v>
      </c>
      <c r="G174" s="168">
        <f t="shared" si="22"/>
        <v>5902</v>
      </c>
      <c r="H174" s="166">
        <f t="shared" si="23"/>
        <v>3</v>
      </c>
      <c r="I174" s="166">
        <f t="shared" si="31"/>
        <v>6011</v>
      </c>
      <c r="J174" s="152">
        <f>VLOOKUP(A174,[2]filiation!A:C,3,FALSE)</f>
        <v>10</v>
      </c>
      <c r="K174" s="152">
        <f>VLOOKUP(J174,[2]Entourage!A:N,14,FALSE)</f>
        <v>1</v>
      </c>
      <c r="L174" s="152" t="str">
        <f t="shared" si="24"/>
        <v>战斗</v>
      </c>
      <c r="M174" s="152">
        <f>VLOOKUP(A174,[2]filiation!A:D,4,FALSE)</f>
        <v>3</v>
      </c>
      <c r="N174" s="152">
        <f>VLOOKUP(M174,[2]Entourage!A:N,14,FALSE)</f>
        <v>3</v>
      </c>
      <c r="O174" s="152" t="str">
        <f t="shared" si="25"/>
        <v>辅助</v>
      </c>
      <c r="P174" s="152">
        <f t="shared" si="26"/>
        <v>104</v>
      </c>
      <c r="Q174" s="151">
        <f>INT(VLOOKUP(VLOOKUP(A174,[2]filiation!A:E,3,FALSE),[2]Entourage!A:AA,IF(C174=101,25,IF(C174=102,26,IF(C174=104,27))),FALSE)*VLOOKUP(N174,$AF$2:$AI$6,IF(C174=1,2,IF(C174=2,3,4)),FALSE)*VLOOKUP(B174,$AK$2:$AL$11,2,FALSE))</f>
        <v>8985</v>
      </c>
      <c r="R174" s="153">
        <f>IFERROR(INDEX([3]ItemConfig!$BB:$BB,MATCH(G174,[3]ItemConfig!$A:$A,0))*H174,0)</f>
        <v>0</v>
      </c>
      <c r="S174" s="154" t="str">
        <f>VLOOKUP(J174,[2]Entourage!A:B,2,FALSE)</f>
        <v>黑暗君王</v>
      </c>
      <c r="T174" s="151" t="str">
        <f>VLOOKUP(M174,[2]Entourage!A:B,2,FALSE)</f>
        <v>莫德雷斯</v>
      </c>
      <c r="U174" s="163"/>
      <c r="V174" s="147"/>
    </row>
    <row r="175" spans="1:22">
      <c r="A175" s="166">
        <f t="shared" si="27"/>
        <v>18</v>
      </c>
      <c r="B175" s="167">
        <f>COUNTIF(A$1:A175,A175)</f>
        <v>4</v>
      </c>
      <c r="C175" s="167">
        <f t="shared" si="28"/>
        <v>104</v>
      </c>
      <c r="D175" s="166">
        <v>8015</v>
      </c>
      <c r="E175" s="166">
        <f t="shared" si="29"/>
        <v>40</v>
      </c>
      <c r="F175" s="167">
        <f t="shared" si="30"/>
        <v>3</v>
      </c>
      <c r="G175" s="168">
        <f t="shared" si="22"/>
        <v>5902</v>
      </c>
      <c r="H175" s="166">
        <f t="shared" si="23"/>
        <v>4</v>
      </c>
      <c r="I175" s="166">
        <f t="shared" si="31"/>
        <v>8015</v>
      </c>
      <c r="J175" s="152">
        <f>VLOOKUP(A175,[2]filiation!A:C,3,FALSE)</f>
        <v>10</v>
      </c>
      <c r="K175" s="152">
        <f>VLOOKUP(J175,[2]Entourage!A:N,14,FALSE)</f>
        <v>1</v>
      </c>
      <c r="L175" s="152" t="str">
        <f t="shared" si="24"/>
        <v>战斗</v>
      </c>
      <c r="M175" s="152">
        <f>VLOOKUP(A175,[2]filiation!A:D,4,FALSE)</f>
        <v>3</v>
      </c>
      <c r="N175" s="152">
        <f>VLOOKUP(M175,[2]Entourage!A:N,14,FALSE)</f>
        <v>3</v>
      </c>
      <c r="O175" s="152" t="str">
        <f t="shared" si="25"/>
        <v>辅助</v>
      </c>
      <c r="P175" s="152">
        <f t="shared" si="26"/>
        <v>104</v>
      </c>
      <c r="Q175" s="151">
        <f>INT(VLOOKUP(VLOOKUP(A175,[2]filiation!A:E,3,FALSE),[2]Entourage!A:AA,IF(C175=101,25,IF(C175=102,26,IF(C175=104,27))),FALSE)*VLOOKUP(N175,$AF$2:$AI$6,IF(C175=1,2,IF(C175=2,3,4)),FALSE)*VLOOKUP(B175,$AK$2:$AL$11,2,FALSE))</f>
        <v>9835</v>
      </c>
      <c r="R175" s="153">
        <f>IFERROR(INDEX([3]ItemConfig!$BB:$BB,MATCH(G175,[3]ItemConfig!$A:$A,0))*H175,0)</f>
        <v>0</v>
      </c>
      <c r="S175" s="154" t="str">
        <f>VLOOKUP(J175,[2]Entourage!A:B,2,FALSE)</f>
        <v>黑暗君王</v>
      </c>
      <c r="T175" s="151" t="str">
        <f>VLOOKUP(M175,[2]Entourage!A:B,2,FALSE)</f>
        <v>莫德雷斯</v>
      </c>
      <c r="U175" s="163"/>
      <c r="V175" s="147"/>
    </row>
    <row r="176" spans="1:22">
      <c r="A176" s="166">
        <f t="shared" si="27"/>
        <v>18</v>
      </c>
      <c r="B176" s="167">
        <f>COUNTIF(A$1:A176,A176)</f>
        <v>5</v>
      </c>
      <c r="C176" s="167">
        <f t="shared" si="28"/>
        <v>104</v>
      </c>
      <c r="D176" s="166">
        <v>10018</v>
      </c>
      <c r="E176" s="166">
        <f t="shared" si="29"/>
        <v>50</v>
      </c>
      <c r="F176" s="167">
        <f t="shared" si="30"/>
        <v>3</v>
      </c>
      <c r="G176" s="168">
        <f t="shared" si="22"/>
        <v>5902</v>
      </c>
      <c r="H176" s="166">
        <f t="shared" si="23"/>
        <v>6</v>
      </c>
      <c r="I176" s="166">
        <f t="shared" si="31"/>
        <v>10018</v>
      </c>
      <c r="J176" s="152">
        <f>VLOOKUP(A176,[2]filiation!A:C,3,FALSE)</f>
        <v>10</v>
      </c>
      <c r="K176" s="152">
        <f>VLOOKUP(J176,[2]Entourage!A:N,14,FALSE)</f>
        <v>1</v>
      </c>
      <c r="L176" s="152" t="str">
        <f t="shared" si="24"/>
        <v>战斗</v>
      </c>
      <c r="M176" s="152">
        <f>VLOOKUP(A176,[2]filiation!A:D,4,FALSE)</f>
        <v>3</v>
      </c>
      <c r="N176" s="152">
        <f>VLOOKUP(M176,[2]Entourage!A:N,14,FALSE)</f>
        <v>3</v>
      </c>
      <c r="O176" s="152" t="str">
        <f t="shared" si="25"/>
        <v>辅助</v>
      </c>
      <c r="P176" s="152">
        <f t="shared" si="26"/>
        <v>104</v>
      </c>
      <c r="Q176" s="151">
        <f>INT(VLOOKUP(VLOOKUP(A176,[2]filiation!A:E,3,FALSE),[2]Entourage!A:AA,IF(C176=101,25,IF(C176=102,26,IF(C176=104,27))),FALSE)*VLOOKUP(N176,$AF$2:$AI$6,IF(C176=1,2,IF(C176=2,3,4)),FALSE)*VLOOKUP(B176,$AK$2:$AL$11,2,FALSE))</f>
        <v>10928</v>
      </c>
      <c r="R176" s="153">
        <f>IFERROR(INDEX([3]ItemConfig!$BB:$BB,MATCH(G176,[3]ItemConfig!$A:$A,0))*H176,0)</f>
        <v>0</v>
      </c>
      <c r="S176" s="154" t="str">
        <f>VLOOKUP(J176,[2]Entourage!A:B,2,FALSE)</f>
        <v>黑暗君王</v>
      </c>
      <c r="T176" s="151" t="str">
        <f>VLOOKUP(M176,[2]Entourage!A:B,2,FALSE)</f>
        <v>莫德雷斯</v>
      </c>
      <c r="U176" s="163"/>
      <c r="V176" s="147"/>
    </row>
    <row r="177" spans="1:22">
      <c r="A177" s="166">
        <f t="shared" si="27"/>
        <v>18</v>
      </c>
      <c r="B177" s="167">
        <f>COUNTIF(A$1:A177,A177)</f>
        <v>6</v>
      </c>
      <c r="C177" s="167">
        <f t="shared" si="28"/>
        <v>104</v>
      </c>
      <c r="D177" s="166">
        <v>12022</v>
      </c>
      <c r="E177" s="166">
        <f t="shared" si="29"/>
        <v>60</v>
      </c>
      <c r="F177" s="167">
        <f t="shared" si="30"/>
        <v>4</v>
      </c>
      <c r="G177" s="168">
        <f t="shared" si="22"/>
        <v>5902</v>
      </c>
      <c r="H177" s="166">
        <f t="shared" si="23"/>
        <v>8</v>
      </c>
      <c r="I177" s="166">
        <f t="shared" si="31"/>
        <v>12022</v>
      </c>
      <c r="J177" s="152">
        <f>VLOOKUP(A177,[2]filiation!A:C,3,FALSE)</f>
        <v>10</v>
      </c>
      <c r="K177" s="152">
        <f>VLOOKUP(J177,[2]Entourage!A:N,14,FALSE)</f>
        <v>1</v>
      </c>
      <c r="L177" s="152" t="str">
        <f t="shared" si="24"/>
        <v>战斗</v>
      </c>
      <c r="M177" s="152">
        <f>VLOOKUP(A177,[2]filiation!A:D,4,FALSE)</f>
        <v>3</v>
      </c>
      <c r="N177" s="152">
        <f>VLOOKUP(M177,[2]Entourage!A:N,14,FALSE)</f>
        <v>3</v>
      </c>
      <c r="O177" s="152" t="str">
        <f t="shared" si="25"/>
        <v>辅助</v>
      </c>
      <c r="P177" s="152">
        <f t="shared" si="26"/>
        <v>104</v>
      </c>
      <c r="Q177" s="151">
        <f>INT(VLOOKUP(VLOOKUP(A177,[2]filiation!A:E,3,FALSE),[2]Entourage!A:AA,IF(C177=101,25,IF(C177=102,26,IF(C177=104,27))),FALSE)*VLOOKUP(N177,$AF$2:$AI$6,IF(C177=1,2,IF(C177=2,3,4)),FALSE)*VLOOKUP(B177,$AK$2:$AL$11,2,FALSE))</f>
        <v>12264</v>
      </c>
      <c r="R177" s="153">
        <f>IFERROR(INDEX([3]ItemConfig!$BB:$BB,MATCH(G177,[3]ItemConfig!$A:$A,0))*H177,0)</f>
        <v>0</v>
      </c>
      <c r="S177" s="154" t="str">
        <f>VLOOKUP(J177,[2]Entourage!A:B,2,FALSE)</f>
        <v>黑暗君王</v>
      </c>
      <c r="T177" s="151" t="str">
        <f>VLOOKUP(M177,[2]Entourage!A:B,2,FALSE)</f>
        <v>莫德雷斯</v>
      </c>
      <c r="U177" s="163"/>
      <c r="V177" s="147"/>
    </row>
    <row r="178" spans="1:22">
      <c r="A178" s="166">
        <f t="shared" si="27"/>
        <v>18</v>
      </c>
      <c r="B178" s="167">
        <f>COUNTIF(A$1:A178,A178)</f>
        <v>7</v>
      </c>
      <c r="C178" s="167">
        <f t="shared" si="28"/>
        <v>104</v>
      </c>
      <c r="D178" s="166">
        <v>14026</v>
      </c>
      <c r="E178" s="166">
        <f t="shared" si="29"/>
        <v>70</v>
      </c>
      <c r="F178" s="167">
        <f t="shared" si="30"/>
        <v>4</v>
      </c>
      <c r="G178" s="168">
        <f t="shared" si="22"/>
        <v>5902</v>
      </c>
      <c r="H178" s="166">
        <f t="shared" si="23"/>
        <v>10</v>
      </c>
      <c r="I178" s="166">
        <f t="shared" si="31"/>
        <v>14026</v>
      </c>
      <c r="J178" s="152">
        <f>VLOOKUP(A178,[2]filiation!A:C,3,FALSE)</f>
        <v>10</v>
      </c>
      <c r="K178" s="152">
        <f>VLOOKUP(J178,[2]Entourage!A:N,14,FALSE)</f>
        <v>1</v>
      </c>
      <c r="L178" s="152" t="str">
        <f t="shared" si="24"/>
        <v>战斗</v>
      </c>
      <c r="M178" s="152">
        <f>VLOOKUP(A178,[2]filiation!A:D,4,FALSE)</f>
        <v>3</v>
      </c>
      <c r="N178" s="152">
        <f>VLOOKUP(M178,[2]Entourage!A:N,14,FALSE)</f>
        <v>3</v>
      </c>
      <c r="O178" s="152" t="str">
        <f t="shared" si="25"/>
        <v>辅助</v>
      </c>
      <c r="P178" s="152">
        <f t="shared" si="26"/>
        <v>104</v>
      </c>
      <c r="Q178" s="151">
        <f>INT(VLOOKUP(VLOOKUP(A178,[2]filiation!A:E,3,FALSE),[2]Entourage!A:AA,IF(C178=101,25,IF(C178=102,26,IF(C178=104,27))),FALSE)*VLOOKUP(N178,$AF$2:$AI$6,IF(C178=1,2,IF(C178=2,3,4)),FALSE)*VLOOKUP(B178,$AK$2:$AL$11,2,FALSE))</f>
        <v>13843</v>
      </c>
      <c r="R178" s="153">
        <f>IFERROR(INDEX([3]ItemConfig!$BB:$BB,MATCH(G178,[3]ItemConfig!$A:$A,0))*H178,0)</f>
        <v>0</v>
      </c>
      <c r="S178" s="154" t="str">
        <f>VLOOKUP(J178,[2]Entourage!A:B,2,FALSE)</f>
        <v>黑暗君王</v>
      </c>
      <c r="T178" s="151" t="str">
        <f>VLOOKUP(M178,[2]Entourage!A:B,2,FALSE)</f>
        <v>莫德雷斯</v>
      </c>
      <c r="U178" s="163"/>
      <c r="V178" s="147"/>
    </row>
    <row r="179" spans="1:22">
      <c r="A179" s="166">
        <f t="shared" si="27"/>
        <v>18</v>
      </c>
      <c r="B179" s="167">
        <f>COUNTIF(A$1:A179,A179)</f>
        <v>8</v>
      </c>
      <c r="C179" s="167">
        <f t="shared" si="28"/>
        <v>104</v>
      </c>
      <c r="D179" s="166">
        <v>16029</v>
      </c>
      <c r="E179" s="166">
        <f t="shared" si="29"/>
        <v>80</v>
      </c>
      <c r="F179" s="167">
        <f t="shared" si="30"/>
        <v>5</v>
      </c>
      <c r="G179" s="168">
        <f t="shared" si="22"/>
        <v>5902</v>
      </c>
      <c r="H179" s="166">
        <f t="shared" si="23"/>
        <v>12</v>
      </c>
      <c r="I179" s="166">
        <f t="shared" si="31"/>
        <v>16029</v>
      </c>
      <c r="J179" s="152">
        <f>VLOOKUP(A179,[2]filiation!A:C,3,FALSE)</f>
        <v>10</v>
      </c>
      <c r="K179" s="152">
        <f>VLOOKUP(J179,[2]Entourage!A:N,14,FALSE)</f>
        <v>1</v>
      </c>
      <c r="L179" s="152" t="str">
        <f t="shared" si="24"/>
        <v>战斗</v>
      </c>
      <c r="M179" s="152">
        <f>VLOOKUP(A179,[2]filiation!A:D,4,FALSE)</f>
        <v>3</v>
      </c>
      <c r="N179" s="152">
        <f>VLOOKUP(M179,[2]Entourage!A:N,14,FALSE)</f>
        <v>3</v>
      </c>
      <c r="O179" s="152" t="str">
        <f t="shared" si="25"/>
        <v>辅助</v>
      </c>
      <c r="P179" s="152">
        <f t="shared" si="26"/>
        <v>104</v>
      </c>
      <c r="Q179" s="151">
        <f>INT(VLOOKUP(VLOOKUP(A179,[2]filiation!A:E,3,FALSE),[2]Entourage!A:AA,IF(C179=101,25,IF(C179=102,26,IF(C179=104,27))),FALSE)*VLOOKUP(N179,$AF$2:$AI$6,IF(C179=1,2,IF(C179=2,3,4)),FALSE)*VLOOKUP(B179,$AK$2:$AL$11,2,FALSE))</f>
        <v>15664</v>
      </c>
      <c r="R179" s="153">
        <f>IFERROR(INDEX([3]ItemConfig!$BB:$BB,MATCH(G179,[3]ItemConfig!$A:$A,0))*H179,0)</f>
        <v>0</v>
      </c>
      <c r="S179" s="154" t="str">
        <f>VLOOKUP(J179,[2]Entourage!A:B,2,FALSE)</f>
        <v>黑暗君王</v>
      </c>
      <c r="T179" s="151" t="str">
        <f>VLOOKUP(M179,[2]Entourage!A:B,2,FALSE)</f>
        <v>莫德雷斯</v>
      </c>
      <c r="U179" s="163"/>
      <c r="V179" s="147"/>
    </row>
    <row r="180" spans="1:22">
      <c r="A180" s="166">
        <f t="shared" si="27"/>
        <v>18</v>
      </c>
      <c r="B180" s="167">
        <f>COUNTIF(A$1:A180,A180)</f>
        <v>9</v>
      </c>
      <c r="C180" s="167">
        <f t="shared" si="28"/>
        <v>104</v>
      </c>
      <c r="D180" s="166">
        <v>18033</v>
      </c>
      <c r="E180" s="166">
        <f t="shared" si="29"/>
        <v>90</v>
      </c>
      <c r="F180" s="167">
        <f t="shared" si="30"/>
        <v>5</v>
      </c>
      <c r="G180" s="168">
        <f t="shared" si="22"/>
        <v>5902</v>
      </c>
      <c r="H180" s="166">
        <f t="shared" si="23"/>
        <v>15</v>
      </c>
      <c r="I180" s="166">
        <f t="shared" si="31"/>
        <v>18033</v>
      </c>
      <c r="J180" s="152">
        <f>VLOOKUP(A180,[2]filiation!A:C,3,FALSE)</f>
        <v>10</v>
      </c>
      <c r="K180" s="152">
        <f>VLOOKUP(J180,[2]Entourage!A:N,14,FALSE)</f>
        <v>1</v>
      </c>
      <c r="L180" s="152" t="str">
        <f t="shared" si="24"/>
        <v>战斗</v>
      </c>
      <c r="M180" s="152">
        <f>VLOOKUP(A180,[2]filiation!A:D,4,FALSE)</f>
        <v>3</v>
      </c>
      <c r="N180" s="152">
        <f>VLOOKUP(M180,[2]Entourage!A:N,14,FALSE)</f>
        <v>3</v>
      </c>
      <c r="O180" s="152" t="str">
        <f t="shared" si="25"/>
        <v>辅助</v>
      </c>
      <c r="P180" s="152">
        <f t="shared" si="26"/>
        <v>104</v>
      </c>
      <c r="Q180" s="151">
        <f>INT(VLOOKUP(VLOOKUP(A180,[2]filiation!A:E,3,FALSE),[2]Entourage!A:AA,IF(C180=101,25,IF(C180=102,26,IF(C180=104,27))),FALSE)*VLOOKUP(N180,$AF$2:$AI$6,IF(C180=1,2,IF(C180=2,3,4)),FALSE)*VLOOKUP(B180,$AK$2:$AL$11,2,FALSE))</f>
        <v>17728</v>
      </c>
      <c r="R180" s="153">
        <f>IFERROR(INDEX([3]ItemConfig!$BB:$BB,MATCH(G180,[3]ItemConfig!$A:$A,0))*H180,0)</f>
        <v>0</v>
      </c>
      <c r="S180" s="154" t="str">
        <f>VLOOKUP(J180,[2]Entourage!A:B,2,FALSE)</f>
        <v>黑暗君王</v>
      </c>
      <c r="T180" s="151" t="str">
        <f>VLOOKUP(M180,[2]Entourage!A:B,2,FALSE)</f>
        <v>莫德雷斯</v>
      </c>
      <c r="U180" s="163"/>
      <c r="V180" s="147"/>
    </row>
    <row r="181" spans="1:22">
      <c r="A181" s="166">
        <f t="shared" si="27"/>
        <v>18</v>
      </c>
      <c r="B181" s="167">
        <f>COUNTIF(A$1:A181,A181)</f>
        <v>10</v>
      </c>
      <c r="C181" s="167">
        <f t="shared" si="28"/>
        <v>104</v>
      </c>
      <c r="D181" s="166">
        <v>20036</v>
      </c>
      <c r="E181" s="166">
        <f t="shared" si="29"/>
        <v>90</v>
      </c>
      <c r="F181" s="167">
        <f t="shared" si="30"/>
        <v>6</v>
      </c>
      <c r="G181" s="168">
        <f t="shared" si="22"/>
        <v>5902</v>
      </c>
      <c r="H181" s="166">
        <f t="shared" si="23"/>
        <v>18</v>
      </c>
      <c r="I181" s="166">
        <f t="shared" si="31"/>
        <v>20036</v>
      </c>
      <c r="J181" s="152">
        <f>VLOOKUP(A181,[2]filiation!A:C,3,FALSE)</f>
        <v>10</v>
      </c>
      <c r="K181" s="152">
        <f>VLOOKUP(J181,[2]Entourage!A:N,14,FALSE)</f>
        <v>1</v>
      </c>
      <c r="L181" s="152" t="str">
        <f t="shared" si="24"/>
        <v>战斗</v>
      </c>
      <c r="M181" s="152">
        <f>VLOOKUP(A181,[2]filiation!A:D,4,FALSE)</f>
        <v>3</v>
      </c>
      <c r="N181" s="152">
        <f>VLOOKUP(M181,[2]Entourage!A:N,14,FALSE)</f>
        <v>3</v>
      </c>
      <c r="O181" s="152" t="str">
        <f t="shared" si="25"/>
        <v>辅助</v>
      </c>
      <c r="P181" s="152">
        <f t="shared" si="26"/>
        <v>104</v>
      </c>
      <c r="Q181" s="151">
        <f>INT(VLOOKUP(VLOOKUP(A181,[2]filiation!A:E,3,FALSE),[2]Entourage!A:AA,IF(C181=101,25,IF(C181=102,26,IF(C181=104,27))),FALSE)*VLOOKUP(N181,$AF$2:$AI$6,IF(C181=1,2,IF(C181=2,3,4)),FALSE)*VLOOKUP(B181,$AK$2:$AL$11,2,FALSE))</f>
        <v>20036</v>
      </c>
      <c r="R181" s="153">
        <f>IFERROR(INDEX([3]ItemConfig!$BB:$BB,MATCH(G181,[3]ItemConfig!$A:$A,0))*H181,0)</f>
        <v>0</v>
      </c>
      <c r="S181" s="154" t="str">
        <f>VLOOKUP(J181,[2]Entourage!A:B,2,FALSE)</f>
        <v>黑暗君王</v>
      </c>
      <c r="T181" s="151" t="str">
        <f>VLOOKUP(M181,[2]Entourage!A:B,2,FALSE)</f>
        <v>莫德雷斯</v>
      </c>
      <c r="U181" s="163"/>
      <c r="V181" s="147"/>
    </row>
    <row r="182" spans="1:22">
      <c r="A182" s="159">
        <v>21</v>
      </c>
      <c r="B182" s="160">
        <v>1</v>
      </c>
      <c r="C182" s="160">
        <v>101</v>
      </c>
      <c r="D182" s="159">
        <v>97</v>
      </c>
      <c r="E182" s="159">
        <v>10</v>
      </c>
      <c r="F182" s="160">
        <v>1</v>
      </c>
      <c r="G182" s="161">
        <f t="shared" si="22"/>
        <v>5902</v>
      </c>
      <c r="H182" s="159">
        <f t="shared" si="23"/>
        <v>1</v>
      </c>
      <c r="I182" s="159">
        <f t="shared" si="31"/>
        <v>2425</v>
      </c>
      <c r="J182" s="147">
        <v>10</v>
      </c>
      <c r="K182" s="147">
        <v>1</v>
      </c>
      <c r="L182" s="147" t="s">
        <v>655</v>
      </c>
      <c r="M182" s="147">
        <v>9</v>
      </c>
      <c r="N182" s="147">
        <v>2</v>
      </c>
      <c r="O182" s="147" t="s">
        <v>656</v>
      </c>
      <c r="P182" s="147">
        <v>101</v>
      </c>
      <c r="Q182" s="156">
        <v>384</v>
      </c>
      <c r="R182" s="157">
        <v>0</v>
      </c>
      <c r="S182" s="158" t="s">
        <v>398</v>
      </c>
      <c r="T182" s="155" t="s">
        <v>397</v>
      </c>
      <c r="U182" s="163"/>
      <c r="V182" s="147"/>
    </row>
    <row r="183" spans="1:22">
      <c r="A183" s="159">
        <v>21</v>
      </c>
      <c r="B183" s="160">
        <v>2</v>
      </c>
      <c r="C183" s="160">
        <v>101</v>
      </c>
      <c r="D183" s="159">
        <v>193</v>
      </c>
      <c r="E183" s="159">
        <v>20</v>
      </c>
      <c r="F183" s="160">
        <v>2</v>
      </c>
      <c r="G183" s="161">
        <f t="shared" si="22"/>
        <v>5902</v>
      </c>
      <c r="H183" s="159">
        <f t="shared" si="23"/>
        <v>2</v>
      </c>
      <c r="I183" s="159">
        <f t="shared" si="31"/>
        <v>4825</v>
      </c>
      <c r="J183" s="147">
        <v>10</v>
      </c>
      <c r="K183" s="147">
        <v>1</v>
      </c>
      <c r="L183" s="147" t="s">
        <v>655</v>
      </c>
      <c r="M183" s="147">
        <v>9</v>
      </c>
      <c r="N183" s="147">
        <v>2</v>
      </c>
      <c r="O183" s="147" t="s">
        <v>656</v>
      </c>
      <c r="P183" s="147">
        <v>101</v>
      </c>
      <c r="Q183" s="156">
        <v>401</v>
      </c>
      <c r="R183" s="157">
        <v>0</v>
      </c>
      <c r="S183" s="158" t="s">
        <v>398</v>
      </c>
      <c r="T183" s="155" t="s">
        <v>397</v>
      </c>
      <c r="U183" s="163"/>
      <c r="V183" s="147"/>
    </row>
    <row r="184" spans="1:22">
      <c r="A184" s="159">
        <v>21</v>
      </c>
      <c r="B184" s="160">
        <v>3</v>
      </c>
      <c r="C184" s="160">
        <v>101</v>
      </c>
      <c r="D184" s="159">
        <v>289</v>
      </c>
      <c r="E184" s="159">
        <v>30</v>
      </c>
      <c r="F184" s="160">
        <v>2</v>
      </c>
      <c r="G184" s="161">
        <f t="shared" si="22"/>
        <v>5902</v>
      </c>
      <c r="H184" s="159">
        <f t="shared" si="23"/>
        <v>3</v>
      </c>
      <c r="I184" s="159">
        <f t="shared" si="31"/>
        <v>7225</v>
      </c>
      <c r="J184" s="147">
        <v>10</v>
      </c>
      <c r="K184" s="147">
        <v>1</v>
      </c>
      <c r="L184" s="147" t="s">
        <v>655</v>
      </c>
      <c r="M184" s="147">
        <v>9</v>
      </c>
      <c r="N184" s="147">
        <v>2</v>
      </c>
      <c r="O184" s="147" t="s">
        <v>656</v>
      </c>
      <c r="P184" s="147">
        <v>101</v>
      </c>
      <c r="Q184" s="156">
        <v>431</v>
      </c>
      <c r="R184" s="157">
        <v>0</v>
      </c>
      <c r="S184" s="158" t="s">
        <v>398</v>
      </c>
      <c r="T184" s="155" t="s">
        <v>397</v>
      </c>
      <c r="U184" s="163"/>
      <c r="V184" s="147"/>
    </row>
    <row r="185" spans="1:22">
      <c r="A185" s="159">
        <v>21</v>
      </c>
      <c r="B185" s="160">
        <v>4</v>
      </c>
      <c r="C185" s="160">
        <v>101</v>
      </c>
      <c r="D185" s="159">
        <v>385</v>
      </c>
      <c r="E185" s="159">
        <v>40</v>
      </c>
      <c r="F185" s="160">
        <v>3</v>
      </c>
      <c r="G185" s="161">
        <f t="shared" si="22"/>
        <v>5902</v>
      </c>
      <c r="H185" s="159">
        <f t="shared" si="23"/>
        <v>4</v>
      </c>
      <c r="I185" s="159">
        <f t="shared" si="31"/>
        <v>9625</v>
      </c>
      <c r="J185" s="147">
        <v>10</v>
      </c>
      <c r="K185" s="147">
        <v>1</v>
      </c>
      <c r="L185" s="147" t="s">
        <v>655</v>
      </c>
      <c r="M185" s="147">
        <v>9</v>
      </c>
      <c r="N185" s="147">
        <v>2</v>
      </c>
      <c r="O185" s="147" t="s">
        <v>656</v>
      </c>
      <c r="P185" s="147">
        <v>101</v>
      </c>
      <c r="Q185" s="156">
        <v>471</v>
      </c>
      <c r="R185" s="157">
        <v>0</v>
      </c>
      <c r="S185" s="158" t="s">
        <v>398</v>
      </c>
      <c r="T185" s="155" t="s">
        <v>397</v>
      </c>
      <c r="U185" s="163"/>
      <c r="V185" s="147"/>
    </row>
    <row r="186" spans="1:22">
      <c r="A186" s="159">
        <v>21</v>
      </c>
      <c r="B186" s="160">
        <v>5</v>
      </c>
      <c r="C186" s="160">
        <v>101</v>
      </c>
      <c r="D186" s="159">
        <v>481</v>
      </c>
      <c r="E186" s="159">
        <v>50</v>
      </c>
      <c r="F186" s="160">
        <v>3</v>
      </c>
      <c r="G186" s="161">
        <f t="shared" si="22"/>
        <v>5902</v>
      </c>
      <c r="H186" s="159">
        <f t="shared" si="23"/>
        <v>6</v>
      </c>
      <c r="I186" s="159">
        <f t="shared" si="31"/>
        <v>12025</v>
      </c>
      <c r="J186" s="147">
        <v>10</v>
      </c>
      <c r="K186" s="147">
        <v>1</v>
      </c>
      <c r="L186" s="147" t="s">
        <v>655</v>
      </c>
      <c r="M186" s="147">
        <v>9</v>
      </c>
      <c r="N186" s="147">
        <v>2</v>
      </c>
      <c r="O186" s="147" t="s">
        <v>656</v>
      </c>
      <c r="P186" s="147">
        <v>101</v>
      </c>
      <c r="Q186" s="156">
        <v>524</v>
      </c>
      <c r="R186" s="157">
        <v>0</v>
      </c>
      <c r="S186" s="158" t="s">
        <v>398</v>
      </c>
      <c r="T186" s="155" t="s">
        <v>397</v>
      </c>
      <c r="U186" s="163"/>
      <c r="V186" s="147"/>
    </row>
    <row r="187" spans="1:22">
      <c r="A187" s="159">
        <v>21</v>
      </c>
      <c r="B187" s="160">
        <v>6</v>
      </c>
      <c r="C187" s="160">
        <v>101</v>
      </c>
      <c r="D187" s="159">
        <v>577</v>
      </c>
      <c r="E187" s="159">
        <v>60</v>
      </c>
      <c r="F187" s="160">
        <v>4</v>
      </c>
      <c r="G187" s="161">
        <f t="shared" si="22"/>
        <v>5902</v>
      </c>
      <c r="H187" s="159">
        <f t="shared" si="23"/>
        <v>8</v>
      </c>
      <c r="I187" s="159">
        <f t="shared" si="31"/>
        <v>14425</v>
      </c>
      <c r="J187" s="147">
        <v>10</v>
      </c>
      <c r="K187" s="147">
        <v>1</v>
      </c>
      <c r="L187" s="147" t="s">
        <v>655</v>
      </c>
      <c r="M187" s="147">
        <v>9</v>
      </c>
      <c r="N187" s="147">
        <v>2</v>
      </c>
      <c r="O187" s="147" t="s">
        <v>656</v>
      </c>
      <c r="P187" s="147">
        <v>101</v>
      </c>
      <c r="Q187" s="156">
        <v>588</v>
      </c>
      <c r="R187" s="157">
        <v>0</v>
      </c>
      <c r="S187" s="158" t="s">
        <v>398</v>
      </c>
      <c r="T187" s="155" t="s">
        <v>397</v>
      </c>
      <c r="U187" s="163"/>
      <c r="V187" s="147"/>
    </row>
    <row r="188" spans="1:22">
      <c r="A188" s="159">
        <v>21</v>
      </c>
      <c r="B188" s="160">
        <v>7</v>
      </c>
      <c r="C188" s="160">
        <v>101</v>
      </c>
      <c r="D188" s="159">
        <v>673</v>
      </c>
      <c r="E188" s="159">
        <v>70</v>
      </c>
      <c r="F188" s="160">
        <v>4</v>
      </c>
      <c r="G188" s="161">
        <f t="shared" si="22"/>
        <v>5902</v>
      </c>
      <c r="H188" s="159">
        <f t="shared" si="23"/>
        <v>10</v>
      </c>
      <c r="I188" s="159">
        <f t="shared" si="31"/>
        <v>16825</v>
      </c>
      <c r="J188" s="147">
        <v>10</v>
      </c>
      <c r="K188" s="147">
        <v>1</v>
      </c>
      <c r="L188" s="147" t="s">
        <v>655</v>
      </c>
      <c r="M188" s="147">
        <v>9</v>
      </c>
      <c r="N188" s="147">
        <v>2</v>
      </c>
      <c r="O188" s="147" t="s">
        <v>656</v>
      </c>
      <c r="P188" s="147">
        <v>101</v>
      </c>
      <c r="Q188" s="156">
        <v>664</v>
      </c>
      <c r="R188" s="157">
        <v>0</v>
      </c>
      <c r="S188" s="158" t="s">
        <v>398</v>
      </c>
      <c r="T188" s="155" t="s">
        <v>397</v>
      </c>
      <c r="U188" s="163"/>
      <c r="V188" s="147"/>
    </row>
    <row r="189" spans="1:22">
      <c r="A189" s="159">
        <v>21</v>
      </c>
      <c r="B189" s="160">
        <v>8</v>
      </c>
      <c r="C189" s="160">
        <v>101</v>
      </c>
      <c r="D189" s="159">
        <v>769</v>
      </c>
      <c r="E189" s="159">
        <v>80</v>
      </c>
      <c r="F189" s="160">
        <v>5</v>
      </c>
      <c r="G189" s="161">
        <f t="shared" si="22"/>
        <v>5902</v>
      </c>
      <c r="H189" s="159">
        <f t="shared" si="23"/>
        <v>12</v>
      </c>
      <c r="I189" s="159">
        <f t="shared" si="31"/>
        <v>19225</v>
      </c>
      <c r="J189" s="147">
        <v>10</v>
      </c>
      <c r="K189" s="147">
        <v>1</v>
      </c>
      <c r="L189" s="147" t="s">
        <v>655</v>
      </c>
      <c r="M189" s="147">
        <v>9</v>
      </c>
      <c r="N189" s="147">
        <v>2</v>
      </c>
      <c r="O189" s="147" t="s">
        <v>656</v>
      </c>
      <c r="P189" s="147">
        <v>101</v>
      </c>
      <c r="Q189" s="156">
        <v>751</v>
      </c>
      <c r="R189" s="157">
        <v>0</v>
      </c>
      <c r="S189" s="158" t="s">
        <v>398</v>
      </c>
      <c r="T189" s="155" t="s">
        <v>397</v>
      </c>
      <c r="U189" s="163"/>
      <c r="V189" s="147"/>
    </row>
    <row r="190" spans="1:22">
      <c r="A190" s="159">
        <v>21</v>
      </c>
      <c r="B190" s="160">
        <v>9</v>
      </c>
      <c r="C190" s="160">
        <v>101</v>
      </c>
      <c r="D190" s="159">
        <v>865</v>
      </c>
      <c r="E190" s="159">
        <v>90</v>
      </c>
      <c r="F190" s="160">
        <v>5</v>
      </c>
      <c r="G190" s="161">
        <f t="shared" si="22"/>
        <v>5902</v>
      </c>
      <c r="H190" s="159">
        <f t="shared" si="23"/>
        <v>15</v>
      </c>
      <c r="I190" s="159">
        <f t="shared" si="31"/>
        <v>21625</v>
      </c>
      <c r="J190" s="147">
        <v>10</v>
      </c>
      <c r="K190" s="147">
        <v>1</v>
      </c>
      <c r="L190" s="147" t="s">
        <v>655</v>
      </c>
      <c r="M190" s="147">
        <v>9</v>
      </c>
      <c r="N190" s="147">
        <v>2</v>
      </c>
      <c r="O190" s="147" t="s">
        <v>656</v>
      </c>
      <c r="P190" s="147">
        <v>101</v>
      </c>
      <c r="Q190" s="156">
        <v>850</v>
      </c>
      <c r="R190" s="157">
        <v>0</v>
      </c>
      <c r="S190" s="158" t="s">
        <v>398</v>
      </c>
      <c r="T190" s="155" t="s">
        <v>397</v>
      </c>
      <c r="U190" s="163"/>
      <c r="V190" s="147"/>
    </row>
    <row r="191" spans="1:22">
      <c r="A191" s="159">
        <v>21</v>
      </c>
      <c r="B191" s="160">
        <v>10</v>
      </c>
      <c r="C191" s="160">
        <v>101</v>
      </c>
      <c r="D191" s="159">
        <v>961</v>
      </c>
      <c r="E191" s="159">
        <v>90</v>
      </c>
      <c r="F191" s="160">
        <v>6</v>
      </c>
      <c r="G191" s="161">
        <f t="shared" si="22"/>
        <v>5902</v>
      </c>
      <c r="H191" s="159">
        <f t="shared" si="23"/>
        <v>18</v>
      </c>
      <c r="I191" s="159">
        <f t="shared" si="31"/>
        <v>24025</v>
      </c>
      <c r="J191" s="147">
        <v>10</v>
      </c>
      <c r="K191" s="147">
        <v>1</v>
      </c>
      <c r="L191" s="147" t="s">
        <v>655</v>
      </c>
      <c r="M191" s="147">
        <v>9</v>
      </c>
      <c r="N191" s="147">
        <v>2</v>
      </c>
      <c r="O191" s="147" t="s">
        <v>656</v>
      </c>
      <c r="P191" s="147">
        <v>101</v>
      </c>
      <c r="Q191" s="156">
        <v>961</v>
      </c>
      <c r="R191" s="157">
        <v>0</v>
      </c>
      <c r="S191" s="158" t="s">
        <v>398</v>
      </c>
      <c r="T191" s="155" t="s">
        <v>397</v>
      </c>
      <c r="U191" s="163"/>
      <c r="V191" s="147"/>
    </row>
    <row r="192" spans="1:22">
      <c r="A192" s="166">
        <v>22</v>
      </c>
      <c r="B192" s="167">
        <v>1</v>
      </c>
      <c r="C192" s="167">
        <v>101</v>
      </c>
      <c r="D192" s="166">
        <v>97</v>
      </c>
      <c r="E192" s="166">
        <v>10</v>
      </c>
      <c r="F192" s="167">
        <v>1</v>
      </c>
      <c r="G192" s="168">
        <f t="shared" si="22"/>
        <v>5902</v>
      </c>
      <c r="H192" s="166">
        <f t="shared" si="23"/>
        <v>1</v>
      </c>
      <c r="I192" s="166">
        <f t="shared" si="31"/>
        <v>2425</v>
      </c>
      <c r="J192" s="147">
        <v>10</v>
      </c>
      <c r="K192" s="147">
        <v>1</v>
      </c>
      <c r="L192" s="147" t="s">
        <v>655</v>
      </c>
      <c r="M192" s="147">
        <v>13</v>
      </c>
      <c r="N192" s="147">
        <v>2</v>
      </c>
      <c r="O192" s="147" t="s">
        <v>656</v>
      </c>
      <c r="P192" s="147">
        <v>101</v>
      </c>
      <c r="Q192" s="156">
        <v>384</v>
      </c>
      <c r="R192" s="157">
        <v>0</v>
      </c>
      <c r="S192" s="158" t="s">
        <v>398</v>
      </c>
      <c r="T192" s="155" t="s">
        <v>401</v>
      </c>
      <c r="U192" s="163"/>
      <c r="V192" s="147"/>
    </row>
    <row r="193" spans="1:22">
      <c r="A193" s="166">
        <v>22</v>
      </c>
      <c r="B193" s="167">
        <v>2</v>
      </c>
      <c r="C193" s="167">
        <v>101</v>
      </c>
      <c r="D193" s="166">
        <v>193</v>
      </c>
      <c r="E193" s="166">
        <v>20</v>
      </c>
      <c r="F193" s="167">
        <v>2</v>
      </c>
      <c r="G193" s="168">
        <f t="shared" si="22"/>
        <v>5902</v>
      </c>
      <c r="H193" s="166">
        <f t="shared" si="23"/>
        <v>2</v>
      </c>
      <c r="I193" s="166">
        <f t="shared" si="31"/>
        <v>4825</v>
      </c>
      <c r="J193" s="147">
        <v>10</v>
      </c>
      <c r="K193" s="147">
        <v>1</v>
      </c>
      <c r="L193" s="147" t="s">
        <v>655</v>
      </c>
      <c r="M193" s="147">
        <v>13</v>
      </c>
      <c r="N193" s="147">
        <v>2</v>
      </c>
      <c r="O193" s="147" t="s">
        <v>656</v>
      </c>
      <c r="P193" s="147">
        <v>101</v>
      </c>
      <c r="Q193" s="156">
        <v>401</v>
      </c>
      <c r="R193" s="157">
        <v>0</v>
      </c>
      <c r="S193" s="158" t="s">
        <v>398</v>
      </c>
      <c r="T193" s="155" t="s">
        <v>401</v>
      </c>
      <c r="U193" s="163"/>
      <c r="V193" s="147"/>
    </row>
    <row r="194" spans="1:22">
      <c r="A194" s="166">
        <v>22</v>
      </c>
      <c r="B194" s="167">
        <v>3</v>
      </c>
      <c r="C194" s="167">
        <v>101</v>
      </c>
      <c r="D194" s="166">
        <v>289</v>
      </c>
      <c r="E194" s="166">
        <v>30</v>
      </c>
      <c r="F194" s="167">
        <v>2</v>
      </c>
      <c r="G194" s="168">
        <f t="shared" ref="G194:G257" si="32">VLOOKUP(B194,AA$2:AC$11,2,FALSE)</f>
        <v>5902</v>
      </c>
      <c r="H194" s="166">
        <f t="shared" ref="H194:H257" si="33">VLOOKUP(B194,AA$2:AC$11,3,FALSE)</f>
        <v>3</v>
      </c>
      <c r="I194" s="166">
        <f t="shared" si="31"/>
        <v>7225</v>
      </c>
      <c r="J194" s="147">
        <v>10</v>
      </c>
      <c r="K194" s="147">
        <v>1</v>
      </c>
      <c r="L194" s="147" t="s">
        <v>655</v>
      </c>
      <c r="M194" s="147">
        <v>13</v>
      </c>
      <c r="N194" s="147">
        <v>2</v>
      </c>
      <c r="O194" s="147" t="s">
        <v>656</v>
      </c>
      <c r="P194" s="147">
        <v>101</v>
      </c>
      <c r="Q194" s="156">
        <v>431</v>
      </c>
      <c r="R194" s="157">
        <v>0</v>
      </c>
      <c r="S194" s="158" t="s">
        <v>398</v>
      </c>
      <c r="T194" s="155" t="s">
        <v>401</v>
      </c>
      <c r="U194" s="163"/>
      <c r="V194" s="147"/>
    </row>
    <row r="195" spans="1:22">
      <c r="A195" s="166">
        <v>22</v>
      </c>
      <c r="B195" s="167">
        <v>4</v>
      </c>
      <c r="C195" s="167">
        <v>101</v>
      </c>
      <c r="D195" s="166">
        <v>385</v>
      </c>
      <c r="E195" s="166">
        <v>40</v>
      </c>
      <c r="F195" s="167">
        <v>3</v>
      </c>
      <c r="G195" s="168">
        <f t="shared" si="32"/>
        <v>5902</v>
      </c>
      <c r="H195" s="166">
        <f t="shared" si="33"/>
        <v>4</v>
      </c>
      <c r="I195" s="166">
        <f t="shared" ref="I195:I258" si="34">INT(IF(C195=104,D195,D195*25))</f>
        <v>9625</v>
      </c>
      <c r="J195" s="147">
        <v>10</v>
      </c>
      <c r="K195" s="147">
        <v>1</v>
      </c>
      <c r="L195" s="147" t="s">
        <v>655</v>
      </c>
      <c r="M195" s="147">
        <v>13</v>
      </c>
      <c r="N195" s="147">
        <v>2</v>
      </c>
      <c r="O195" s="147" t="s">
        <v>656</v>
      </c>
      <c r="P195" s="147">
        <v>101</v>
      </c>
      <c r="Q195" s="156">
        <v>471</v>
      </c>
      <c r="R195" s="157">
        <v>0</v>
      </c>
      <c r="S195" s="158" t="s">
        <v>398</v>
      </c>
      <c r="T195" s="155" t="s">
        <v>401</v>
      </c>
      <c r="U195" s="163"/>
      <c r="V195" s="147"/>
    </row>
    <row r="196" spans="1:22">
      <c r="A196" s="166">
        <v>22</v>
      </c>
      <c r="B196" s="167">
        <v>5</v>
      </c>
      <c r="C196" s="167">
        <v>101</v>
      </c>
      <c r="D196" s="166">
        <v>481</v>
      </c>
      <c r="E196" s="166">
        <v>50</v>
      </c>
      <c r="F196" s="167">
        <v>3</v>
      </c>
      <c r="G196" s="168">
        <f t="shared" si="32"/>
        <v>5902</v>
      </c>
      <c r="H196" s="166">
        <f t="shared" si="33"/>
        <v>6</v>
      </c>
      <c r="I196" s="166">
        <f t="shared" si="34"/>
        <v>12025</v>
      </c>
      <c r="J196" s="147">
        <v>10</v>
      </c>
      <c r="K196" s="147">
        <v>1</v>
      </c>
      <c r="L196" s="147" t="s">
        <v>655</v>
      </c>
      <c r="M196" s="147">
        <v>13</v>
      </c>
      <c r="N196" s="147">
        <v>2</v>
      </c>
      <c r="O196" s="147" t="s">
        <v>656</v>
      </c>
      <c r="P196" s="147">
        <v>101</v>
      </c>
      <c r="Q196" s="156">
        <v>524</v>
      </c>
      <c r="R196" s="157">
        <v>0</v>
      </c>
      <c r="S196" s="158" t="s">
        <v>398</v>
      </c>
      <c r="T196" s="155" t="s">
        <v>401</v>
      </c>
      <c r="U196" s="163"/>
      <c r="V196" s="147"/>
    </row>
    <row r="197" spans="1:22">
      <c r="A197" s="166">
        <v>22</v>
      </c>
      <c r="B197" s="167">
        <v>6</v>
      </c>
      <c r="C197" s="167">
        <v>101</v>
      </c>
      <c r="D197" s="166">
        <v>577</v>
      </c>
      <c r="E197" s="166">
        <v>60</v>
      </c>
      <c r="F197" s="167">
        <v>4</v>
      </c>
      <c r="G197" s="168">
        <f t="shared" si="32"/>
        <v>5902</v>
      </c>
      <c r="H197" s="166">
        <f t="shared" si="33"/>
        <v>8</v>
      </c>
      <c r="I197" s="166">
        <f t="shared" si="34"/>
        <v>14425</v>
      </c>
      <c r="J197" s="147">
        <v>10</v>
      </c>
      <c r="K197" s="147">
        <v>1</v>
      </c>
      <c r="L197" s="147" t="s">
        <v>655</v>
      </c>
      <c r="M197" s="147">
        <v>13</v>
      </c>
      <c r="N197" s="147">
        <v>2</v>
      </c>
      <c r="O197" s="147" t="s">
        <v>656</v>
      </c>
      <c r="P197" s="147">
        <v>101</v>
      </c>
      <c r="Q197" s="156">
        <v>588</v>
      </c>
      <c r="R197" s="157">
        <v>0</v>
      </c>
      <c r="S197" s="158" t="s">
        <v>398</v>
      </c>
      <c r="T197" s="155" t="s">
        <v>401</v>
      </c>
      <c r="U197" s="163"/>
      <c r="V197" s="147"/>
    </row>
    <row r="198" spans="1:22">
      <c r="A198" s="166">
        <v>22</v>
      </c>
      <c r="B198" s="167">
        <v>7</v>
      </c>
      <c r="C198" s="167">
        <v>101</v>
      </c>
      <c r="D198" s="166">
        <v>673</v>
      </c>
      <c r="E198" s="166">
        <v>70</v>
      </c>
      <c r="F198" s="167">
        <v>4</v>
      </c>
      <c r="G198" s="168">
        <f t="shared" si="32"/>
        <v>5902</v>
      </c>
      <c r="H198" s="166">
        <f t="shared" si="33"/>
        <v>10</v>
      </c>
      <c r="I198" s="166">
        <f t="shared" si="34"/>
        <v>16825</v>
      </c>
      <c r="J198" s="147">
        <v>10</v>
      </c>
      <c r="K198" s="147">
        <v>1</v>
      </c>
      <c r="L198" s="147" t="s">
        <v>655</v>
      </c>
      <c r="M198" s="147">
        <v>13</v>
      </c>
      <c r="N198" s="147">
        <v>2</v>
      </c>
      <c r="O198" s="147" t="s">
        <v>656</v>
      </c>
      <c r="P198" s="147">
        <v>101</v>
      </c>
      <c r="Q198" s="156">
        <v>664</v>
      </c>
      <c r="R198" s="157">
        <v>0</v>
      </c>
      <c r="S198" s="158" t="s">
        <v>398</v>
      </c>
      <c r="T198" s="155" t="s">
        <v>401</v>
      </c>
      <c r="U198" s="163"/>
      <c r="V198" s="147"/>
    </row>
    <row r="199" spans="1:22">
      <c r="A199" s="166">
        <v>22</v>
      </c>
      <c r="B199" s="167">
        <v>8</v>
      </c>
      <c r="C199" s="167">
        <v>101</v>
      </c>
      <c r="D199" s="166">
        <v>769</v>
      </c>
      <c r="E199" s="166">
        <v>80</v>
      </c>
      <c r="F199" s="167">
        <v>5</v>
      </c>
      <c r="G199" s="168">
        <f t="shared" si="32"/>
        <v>5902</v>
      </c>
      <c r="H199" s="166">
        <f t="shared" si="33"/>
        <v>12</v>
      </c>
      <c r="I199" s="166">
        <f t="shared" si="34"/>
        <v>19225</v>
      </c>
      <c r="J199" s="147">
        <v>10</v>
      </c>
      <c r="K199" s="147">
        <v>1</v>
      </c>
      <c r="L199" s="147" t="s">
        <v>655</v>
      </c>
      <c r="M199" s="147">
        <v>13</v>
      </c>
      <c r="N199" s="147">
        <v>2</v>
      </c>
      <c r="O199" s="147" t="s">
        <v>656</v>
      </c>
      <c r="P199" s="147">
        <v>101</v>
      </c>
      <c r="Q199" s="156">
        <v>751</v>
      </c>
      <c r="R199" s="157">
        <v>0</v>
      </c>
      <c r="S199" s="158" t="s">
        <v>398</v>
      </c>
      <c r="T199" s="155" t="s">
        <v>401</v>
      </c>
      <c r="U199" s="163"/>
      <c r="V199" s="147"/>
    </row>
    <row r="200" spans="1:22">
      <c r="A200" s="166">
        <v>22</v>
      </c>
      <c r="B200" s="167">
        <v>9</v>
      </c>
      <c r="C200" s="167">
        <v>101</v>
      </c>
      <c r="D200" s="166">
        <v>865</v>
      </c>
      <c r="E200" s="166">
        <v>90</v>
      </c>
      <c r="F200" s="167">
        <v>5</v>
      </c>
      <c r="G200" s="168">
        <f t="shared" si="32"/>
        <v>5902</v>
      </c>
      <c r="H200" s="166">
        <f t="shared" si="33"/>
        <v>15</v>
      </c>
      <c r="I200" s="166">
        <f t="shared" si="34"/>
        <v>21625</v>
      </c>
      <c r="J200" s="147">
        <v>10</v>
      </c>
      <c r="K200" s="147">
        <v>1</v>
      </c>
      <c r="L200" s="147" t="s">
        <v>655</v>
      </c>
      <c r="M200" s="147">
        <v>13</v>
      </c>
      <c r="N200" s="147">
        <v>2</v>
      </c>
      <c r="O200" s="147" t="s">
        <v>656</v>
      </c>
      <c r="P200" s="147">
        <v>101</v>
      </c>
      <c r="Q200" s="156">
        <v>850</v>
      </c>
      <c r="R200" s="157">
        <v>0</v>
      </c>
      <c r="S200" s="158" t="s">
        <v>398</v>
      </c>
      <c r="T200" s="155" t="s">
        <v>401</v>
      </c>
      <c r="U200" s="163"/>
      <c r="V200" s="147"/>
    </row>
    <row r="201" spans="1:22">
      <c r="A201" s="166">
        <v>22</v>
      </c>
      <c r="B201" s="167">
        <v>10</v>
      </c>
      <c r="C201" s="167">
        <v>101</v>
      </c>
      <c r="D201" s="166">
        <v>961</v>
      </c>
      <c r="E201" s="166">
        <v>90</v>
      </c>
      <c r="F201" s="167">
        <v>6</v>
      </c>
      <c r="G201" s="168">
        <f t="shared" si="32"/>
        <v>5902</v>
      </c>
      <c r="H201" s="166">
        <f t="shared" si="33"/>
        <v>18</v>
      </c>
      <c r="I201" s="166">
        <f t="shared" si="34"/>
        <v>24025</v>
      </c>
      <c r="J201" s="147">
        <v>10</v>
      </c>
      <c r="K201" s="147">
        <v>1</v>
      </c>
      <c r="L201" s="147" t="s">
        <v>655</v>
      </c>
      <c r="M201" s="147">
        <v>13</v>
      </c>
      <c r="N201" s="147">
        <v>2</v>
      </c>
      <c r="O201" s="147" t="s">
        <v>656</v>
      </c>
      <c r="P201" s="147">
        <v>101</v>
      </c>
      <c r="Q201" s="156">
        <v>961</v>
      </c>
      <c r="R201" s="157">
        <v>0</v>
      </c>
      <c r="S201" s="158" t="s">
        <v>398</v>
      </c>
      <c r="T201" s="155" t="s">
        <v>401</v>
      </c>
      <c r="U201" s="163"/>
      <c r="V201" s="147"/>
    </row>
    <row r="202" spans="1:22">
      <c r="A202" s="159">
        <v>23</v>
      </c>
      <c r="B202" s="160">
        <v>1</v>
      </c>
      <c r="C202" s="160">
        <v>104</v>
      </c>
      <c r="D202" s="159">
        <v>2004</v>
      </c>
      <c r="E202" s="159">
        <v>10</v>
      </c>
      <c r="F202" s="160">
        <v>1</v>
      </c>
      <c r="G202" s="161">
        <f t="shared" si="32"/>
        <v>5902</v>
      </c>
      <c r="H202" s="159">
        <f t="shared" si="33"/>
        <v>1</v>
      </c>
      <c r="I202" s="159">
        <f t="shared" si="34"/>
        <v>2004</v>
      </c>
      <c r="J202" s="147">
        <v>10</v>
      </c>
      <c r="K202" s="147">
        <v>1</v>
      </c>
      <c r="L202" s="147" t="s">
        <v>655</v>
      </c>
      <c r="M202" s="147">
        <v>22</v>
      </c>
      <c r="N202" s="147">
        <v>3</v>
      </c>
      <c r="O202" s="147" t="s">
        <v>657</v>
      </c>
      <c r="P202" s="147">
        <v>104</v>
      </c>
      <c r="Q202" s="156">
        <v>8014</v>
      </c>
      <c r="R202" s="157">
        <v>0</v>
      </c>
      <c r="S202" s="158" t="s">
        <v>398</v>
      </c>
      <c r="T202" s="155" t="s">
        <v>409</v>
      </c>
      <c r="U202" s="163"/>
      <c r="V202" s="147"/>
    </row>
    <row r="203" spans="1:22">
      <c r="A203" s="159">
        <v>23</v>
      </c>
      <c r="B203" s="160">
        <v>2</v>
      </c>
      <c r="C203" s="160">
        <v>104</v>
      </c>
      <c r="D203" s="159">
        <v>4008</v>
      </c>
      <c r="E203" s="159">
        <v>20</v>
      </c>
      <c r="F203" s="160">
        <v>2</v>
      </c>
      <c r="G203" s="161">
        <f t="shared" si="32"/>
        <v>5902</v>
      </c>
      <c r="H203" s="159">
        <f t="shared" si="33"/>
        <v>2</v>
      </c>
      <c r="I203" s="159">
        <f t="shared" si="34"/>
        <v>4008</v>
      </c>
      <c r="J203" s="147">
        <v>10</v>
      </c>
      <c r="K203" s="147">
        <v>1</v>
      </c>
      <c r="L203" s="147" t="s">
        <v>655</v>
      </c>
      <c r="M203" s="147">
        <v>22</v>
      </c>
      <c r="N203" s="147">
        <v>3</v>
      </c>
      <c r="O203" s="147" t="s">
        <v>657</v>
      </c>
      <c r="P203" s="147">
        <v>104</v>
      </c>
      <c r="Q203" s="156">
        <v>8378</v>
      </c>
      <c r="R203" s="157">
        <v>0</v>
      </c>
      <c r="S203" s="158" t="s">
        <v>398</v>
      </c>
      <c r="T203" s="155" t="s">
        <v>409</v>
      </c>
      <c r="U203" s="163"/>
      <c r="V203" s="147"/>
    </row>
    <row r="204" spans="1:22">
      <c r="A204" s="159">
        <v>23</v>
      </c>
      <c r="B204" s="160">
        <v>3</v>
      </c>
      <c r="C204" s="160">
        <v>104</v>
      </c>
      <c r="D204" s="159">
        <v>6011</v>
      </c>
      <c r="E204" s="159">
        <v>30</v>
      </c>
      <c r="F204" s="160">
        <v>2</v>
      </c>
      <c r="G204" s="161">
        <f t="shared" si="32"/>
        <v>5902</v>
      </c>
      <c r="H204" s="159">
        <f t="shared" si="33"/>
        <v>3</v>
      </c>
      <c r="I204" s="159">
        <f t="shared" si="34"/>
        <v>6011</v>
      </c>
      <c r="J204" s="147">
        <v>10</v>
      </c>
      <c r="K204" s="147">
        <v>1</v>
      </c>
      <c r="L204" s="147" t="s">
        <v>655</v>
      </c>
      <c r="M204" s="147">
        <v>22</v>
      </c>
      <c r="N204" s="147">
        <v>3</v>
      </c>
      <c r="O204" s="147" t="s">
        <v>657</v>
      </c>
      <c r="P204" s="147">
        <v>104</v>
      </c>
      <c r="Q204" s="156">
        <v>8985</v>
      </c>
      <c r="R204" s="157">
        <v>0</v>
      </c>
      <c r="S204" s="158" t="s">
        <v>398</v>
      </c>
      <c r="T204" s="155" t="s">
        <v>409</v>
      </c>
      <c r="U204" s="163"/>
      <c r="V204" s="147"/>
    </row>
    <row r="205" spans="1:22">
      <c r="A205" s="159">
        <v>23</v>
      </c>
      <c r="B205" s="160">
        <v>4</v>
      </c>
      <c r="C205" s="160">
        <v>104</v>
      </c>
      <c r="D205" s="159">
        <v>8015</v>
      </c>
      <c r="E205" s="159">
        <v>40</v>
      </c>
      <c r="F205" s="160">
        <v>3</v>
      </c>
      <c r="G205" s="161">
        <f t="shared" si="32"/>
        <v>5902</v>
      </c>
      <c r="H205" s="159">
        <f t="shared" si="33"/>
        <v>4</v>
      </c>
      <c r="I205" s="159">
        <f t="shared" si="34"/>
        <v>8015</v>
      </c>
      <c r="J205" s="147">
        <v>10</v>
      </c>
      <c r="K205" s="147">
        <v>1</v>
      </c>
      <c r="L205" s="147" t="s">
        <v>655</v>
      </c>
      <c r="M205" s="147">
        <v>22</v>
      </c>
      <c r="N205" s="147">
        <v>3</v>
      </c>
      <c r="O205" s="147" t="s">
        <v>657</v>
      </c>
      <c r="P205" s="147">
        <v>104</v>
      </c>
      <c r="Q205" s="156">
        <v>9835</v>
      </c>
      <c r="R205" s="157">
        <v>0</v>
      </c>
      <c r="S205" s="158" t="s">
        <v>398</v>
      </c>
      <c r="T205" s="155" t="s">
        <v>409</v>
      </c>
      <c r="U205" s="163"/>
      <c r="V205" s="147"/>
    </row>
    <row r="206" spans="1:22">
      <c r="A206" s="159">
        <v>23</v>
      </c>
      <c r="B206" s="160">
        <v>5</v>
      </c>
      <c r="C206" s="160">
        <v>104</v>
      </c>
      <c r="D206" s="159">
        <v>10018</v>
      </c>
      <c r="E206" s="159">
        <v>50</v>
      </c>
      <c r="F206" s="160">
        <v>3</v>
      </c>
      <c r="G206" s="161">
        <f t="shared" si="32"/>
        <v>5902</v>
      </c>
      <c r="H206" s="159">
        <f t="shared" si="33"/>
        <v>6</v>
      </c>
      <c r="I206" s="159">
        <f t="shared" si="34"/>
        <v>10018</v>
      </c>
      <c r="J206" s="147">
        <v>10</v>
      </c>
      <c r="K206" s="147">
        <v>1</v>
      </c>
      <c r="L206" s="147" t="s">
        <v>655</v>
      </c>
      <c r="M206" s="147">
        <v>22</v>
      </c>
      <c r="N206" s="147">
        <v>3</v>
      </c>
      <c r="O206" s="147" t="s">
        <v>657</v>
      </c>
      <c r="P206" s="147">
        <v>104</v>
      </c>
      <c r="Q206" s="156">
        <v>10928</v>
      </c>
      <c r="R206" s="157">
        <v>0</v>
      </c>
      <c r="S206" s="158" t="s">
        <v>398</v>
      </c>
      <c r="T206" s="155" t="s">
        <v>409</v>
      </c>
      <c r="U206" s="163"/>
      <c r="V206" s="147"/>
    </row>
    <row r="207" spans="1:22">
      <c r="A207" s="159">
        <v>23</v>
      </c>
      <c r="B207" s="160">
        <v>6</v>
      </c>
      <c r="C207" s="160">
        <v>104</v>
      </c>
      <c r="D207" s="159">
        <v>12022</v>
      </c>
      <c r="E207" s="159">
        <v>60</v>
      </c>
      <c r="F207" s="160">
        <v>4</v>
      </c>
      <c r="G207" s="161">
        <f t="shared" si="32"/>
        <v>5902</v>
      </c>
      <c r="H207" s="159">
        <f t="shared" si="33"/>
        <v>8</v>
      </c>
      <c r="I207" s="159">
        <f t="shared" si="34"/>
        <v>12022</v>
      </c>
      <c r="J207" s="147">
        <v>10</v>
      </c>
      <c r="K207" s="147">
        <v>1</v>
      </c>
      <c r="L207" s="147" t="s">
        <v>655</v>
      </c>
      <c r="M207" s="147">
        <v>22</v>
      </c>
      <c r="N207" s="147">
        <v>3</v>
      </c>
      <c r="O207" s="147" t="s">
        <v>657</v>
      </c>
      <c r="P207" s="147">
        <v>104</v>
      </c>
      <c r="Q207" s="156">
        <v>12264</v>
      </c>
      <c r="R207" s="157">
        <v>0</v>
      </c>
      <c r="S207" s="158" t="s">
        <v>398</v>
      </c>
      <c r="T207" s="155" t="s">
        <v>409</v>
      </c>
      <c r="U207" s="163"/>
      <c r="V207" s="147"/>
    </row>
    <row r="208" spans="1:22">
      <c r="A208" s="159">
        <v>23</v>
      </c>
      <c r="B208" s="160">
        <v>7</v>
      </c>
      <c r="C208" s="160">
        <v>104</v>
      </c>
      <c r="D208" s="159">
        <v>14026</v>
      </c>
      <c r="E208" s="159">
        <v>70</v>
      </c>
      <c r="F208" s="160">
        <v>4</v>
      </c>
      <c r="G208" s="161">
        <f t="shared" si="32"/>
        <v>5902</v>
      </c>
      <c r="H208" s="159">
        <f t="shared" si="33"/>
        <v>10</v>
      </c>
      <c r="I208" s="159">
        <f t="shared" si="34"/>
        <v>14026</v>
      </c>
      <c r="J208" s="147">
        <v>10</v>
      </c>
      <c r="K208" s="147">
        <v>1</v>
      </c>
      <c r="L208" s="147" t="s">
        <v>655</v>
      </c>
      <c r="M208" s="147">
        <v>22</v>
      </c>
      <c r="N208" s="147">
        <v>3</v>
      </c>
      <c r="O208" s="147" t="s">
        <v>657</v>
      </c>
      <c r="P208" s="147">
        <v>104</v>
      </c>
      <c r="Q208" s="156">
        <v>13843</v>
      </c>
      <c r="R208" s="157">
        <v>0</v>
      </c>
      <c r="S208" s="158" t="s">
        <v>398</v>
      </c>
      <c r="T208" s="155" t="s">
        <v>409</v>
      </c>
      <c r="U208" s="163"/>
      <c r="V208" s="147"/>
    </row>
    <row r="209" spans="1:22">
      <c r="A209" s="159">
        <v>23</v>
      </c>
      <c r="B209" s="160">
        <v>8</v>
      </c>
      <c r="C209" s="160">
        <v>104</v>
      </c>
      <c r="D209" s="159">
        <v>16029</v>
      </c>
      <c r="E209" s="159">
        <v>80</v>
      </c>
      <c r="F209" s="160">
        <v>5</v>
      </c>
      <c r="G209" s="161">
        <f t="shared" si="32"/>
        <v>5902</v>
      </c>
      <c r="H209" s="159">
        <f t="shared" si="33"/>
        <v>12</v>
      </c>
      <c r="I209" s="159">
        <f t="shared" si="34"/>
        <v>16029</v>
      </c>
      <c r="J209" s="147">
        <v>10</v>
      </c>
      <c r="K209" s="147">
        <v>1</v>
      </c>
      <c r="L209" s="147" t="s">
        <v>655</v>
      </c>
      <c r="M209" s="147">
        <v>22</v>
      </c>
      <c r="N209" s="147">
        <v>3</v>
      </c>
      <c r="O209" s="147" t="s">
        <v>657</v>
      </c>
      <c r="P209" s="147">
        <v>104</v>
      </c>
      <c r="Q209" s="156">
        <v>15664</v>
      </c>
      <c r="R209" s="157">
        <v>0</v>
      </c>
      <c r="S209" s="158" t="s">
        <v>398</v>
      </c>
      <c r="T209" s="155" t="s">
        <v>409</v>
      </c>
      <c r="U209" s="163"/>
      <c r="V209" s="147"/>
    </row>
    <row r="210" spans="1:22">
      <c r="A210" s="159">
        <v>23</v>
      </c>
      <c r="B210" s="160">
        <v>9</v>
      </c>
      <c r="C210" s="160">
        <v>104</v>
      </c>
      <c r="D210" s="159">
        <v>18033</v>
      </c>
      <c r="E210" s="159">
        <v>90</v>
      </c>
      <c r="F210" s="160">
        <v>5</v>
      </c>
      <c r="G210" s="161">
        <f t="shared" si="32"/>
        <v>5902</v>
      </c>
      <c r="H210" s="159">
        <f t="shared" si="33"/>
        <v>15</v>
      </c>
      <c r="I210" s="159">
        <f t="shared" si="34"/>
        <v>18033</v>
      </c>
      <c r="J210" s="147">
        <v>10</v>
      </c>
      <c r="K210" s="147">
        <v>1</v>
      </c>
      <c r="L210" s="147" t="s">
        <v>655</v>
      </c>
      <c r="M210" s="147">
        <v>22</v>
      </c>
      <c r="N210" s="147">
        <v>3</v>
      </c>
      <c r="O210" s="147" t="s">
        <v>657</v>
      </c>
      <c r="P210" s="147">
        <v>104</v>
      </c>
      <c r="Q210" s="156">
        <v>17728</v>
      </c>
      <c r="R210" s="157">
        <v>0</v>
      </c>
      <c r="S210" s="158" t="s">
        <v>398</v>
      </c>
      <c r="T210" s="155" t="s">
        <v>409</v>
      </c>
      <c r="U210" s="163"/>
      <c r="V210" s="147"/>
    </row>
    <row r="211" spans="1:22">
      <c r="A211" s="159">
        <v>23</v>
      </c>
      <c r="B211" s="160">
        <v>10</v>
      </c>
      <c r="C211" s="160">
        <v>104</v>
      </c>
      <c r="D211" s="159">
        <v>20036</v>
      </c>
      <c r="E211" s="159">
        <v>90</v>
      </c>
      <c r="F211" s="160">
        <v>6</v>
      </c>
      <c r="G211" s="161">
        <f t="shared" si="32"/>
        <v>5902</v>
      </c>
      <c r="H211" s="159">
        <f t="shared" si="33"/>
        <v>18</v>
      </c>
      <c r="I211" s="159">
        <f t="shared" si="34"/>
        <v>20036</v>
      </c>
      <c r="J211" s="147">
        <v>10</v>
      </c>
      <c r="K211" s="147">
        <v>1</v>
      </c>
      <c r="L211" s="147" t="s">
        <v>655</v>
      </c>
      <c r="M211" s="147">
        <v>22</v>
      </c>
      <c r="N211" s="147">
        <v>3</v>
      </c>
      <c r="O211" s="147" t="s">
        <v>657</v>
      </c>
      <c r="P211" s="147">
        <v>104</v>
      </c>
      <c r="Q211" s="156">
        <v>20036</v>
      </c>
      <c r="R211" s="157">
        <v>0</v>
      </c>
      <c r="S211" s="158" t="s">
        <v>398</v>
      </c>
      <c r="T211" s="155" t="s">
        <v>409</v>
      </c>
      <c r="U211" s="163"/>
      <c r="V211" s="147"/>
    </row>
    <row r="212" spans="1:22">
      <c r="A212" s="166">
        <v>24</v>
      </c>
      <c r="B212" s="167">
        <v>1</v>
      </c>
      <c r="C212" s="167">
        <v>101</v>
      </c>
      <c r="D212" s="166">
        <v>53</v>
      </c>
      <c r="E212" s="166">
        <v>10</v>
      </c>
      <c r="F212" s="167">
        <v>1</v>
      </c>
      <c r="G212" s="168">
        <f t="shared" si="32"/>
        <v>5902</v>
      </c>
      <c r="H212" s="166">
        <f t="shared" si="33"/>
        <v>1</v>
      </c>
      <c r="I212" s="166">
        <f t="shared" si="34"/>
        <v>1325</v>
      </c>
      <c r="J212" s="147">
        <v>11</v>
      </c>
      <c r="K212" s="147">
        <v>3</v>
      </c>
      <c r="L212" s="147" t="s">
        <v>657</v>
      </c>
      <c r="M212" s="147">
        <v>9</v>
      </c>
      <c r="N212" s="147">
        <v>2</v>
      </c>
      <c r="O212" s="147" t="s">
        <v>656</v>
      </c>
      <c r="P212" s="147">
        <v>101</v>
      </c>
      <c r="Q212" s="156">
        <v>209</v>
      </c>
      <c r="R212" s="157">
        <v>0</v>
      </c>
      <c r="S212" s="158" t="s">
        <v>399</v>
      </c>
      <c r="T212" s="155" t="s">
        <v>397</v>
      </c>
      <c r="U212" s="163"/>
      <c r="V212" s="147"/>
    </row>
    <row r="213" spans="1:22">
      <c r="A213" s="166">
        <v>24</v>
      </c>
      <c r="B213" s="167">
        <v>2</v>
      </c>
      <c r="C213" s="167">
        <v>101</v>
      </c>
      <c r="D213" s="166">
        <v>105</v>
      </c>
      <c r="E213" s="166">
        <v>20</v>
      </c>
      <c r="F213" s="167">
        <v>2</v>
      </c>
      <c r="G213" s="168">
        <f t="shared" si="32"/>
        <v>5902</v>
      </c>
      <c r="H213" s="166">
        <f t="shared" si="33"/>
        <v>2</v>
      </c>
      <c r="I213" s="166">
        <f t="shared" si="34"/>
        <v>2625</v>
      </c>
      <c r="J213" s="147">
        <v>11</v>
      </c>
      <c r="K213" s="147">
        <v>3</v>
      </c>
      <c r="L213" s="147" t="s">
        <v>657</v>
      </c>
      <c r="M213" s="147">
        <v>9</v>
      </c>
      <c r="N213" s="147">
        <v>2</v>
      </c>
      <c r="O213" s="147" t="s">
        <v>656</v>
      </c>
      <c r="P213" s="147">
        <v>101</v>
      </c>
      <c r="Q213" s="156">
        <v>219</v>
      </c>
      <c r="R213" s="157">
        <v>0</v>
      </c>
      <c r="S213" s="158" t="s">
        <v>399</v>
      </c>
      <c r="T213" s="155" t="s">
        <v>397</v>
      </c>
      <c r="U213" s="163"/>
      <c r="V213" s="147"/>
    </row>
    <row r="214" spans="1:22">
      <c r="A214" s="166">
        <v>24</v>
      </c>
      <c r="B214" s="167">
        <v>3</v>
      </c>
      <c r="C214" s="167">
        <v>101</v>
      </c>
      <c r="D214" s="166">
        <v>157</v>
      </c>
      <c r="E214" s="166">
        <v>30</v>
      </c>
      <c r="F214" s="167">
        <v>2</v>
      </c>
      <c r="G214" s="168">
        <f t="shared" si="32"/>
        <v>5902</v>
      </c>
      <c r="H214" s="166">
        <f t="shared" si="33"/>
        <v>3</v>
      </c>
      <c r="I214" s="166">
        <f t="shared" si="34"/>
        <v>3925</v>
      </c>
      <c r="J214" s="147">
        <v>11</v>
      </c>
      <c r="K214" s="147">
        <v>3</v>
      </c>
      <c r="L214" s="147" t="s">
        <v>657</v>
      </c>
      <c r="M214" s="147">
        <v>9</v>
      </c>
      <c r="N214" s="147">
        <v>2</v>
      </c>
      <c r="O214" s="147" t="s">
        <v>656</v>
      </c>
      <c r="P214" s="147">
        <v>101</v>
      </c>
      <c r="Q214" s="156">
        <v>234</v>
      </c>
      <c r="R214" s="157">
        <v>0</v>
      </c>
      <c r="S214" s="158" t="s">
        <v>399</v>
      </c>
      <c r="T214" s="155" t="s">
        <v>397</v>
      </c>
      <c r="U214" s="163"/>
      <c r="V214" s="147"/>
    </row>
    <row r="215" spans="1:22">
      <c r="A215" s="166">
        <v>24</v>
      </c>
      <c r="B215" s="167">
        <v>4</v>
      </c>
      <c r="C215" s="167">
        <v>101</v>
      </c>
      <c r="D215" s="166">
        <v>210</v>
      </c>
      <c r="E215" s="166">
        <v>40</v>
      </c>
      <c r="F215" s="167">
        <v>3</v>
      </c>
      <c r="G215" s="168">
        <f t="shared" si="32"/>
        <v>5902</v>
      </c>
      <c r="H215" s="166">
        <f t="shared" si="33"/>
        <v>4</v>
      </c>
      <c r="I215" s="166">
        <f t="shared" si="34"/>
        <v>5250</v>
      </c>
      <c r="J215" s="147">
        <v>11</v>
      </c>
      <c r="K215" s="147">
        <v>3</v>
      </c>
      <c r="L215" s="147" t="s">
        <v>657</v>
      </c>
      <c r="M215" s="147">
        <v>9</v>
      </c>
      <c r="N215" s="147">
        <v>2</v>
      </c>
      <c r="O215" s="147" t="s">
        <v>656</v>
      </c>
      <c r="P215" s="147">
        <v>101</v>
      </c>
      <c r="Q215" s="156">
        <v>257</v>
      </c>
      <c r="R215" s="157">
        <v>0</v>
      </c>
      <c r="S215" s="158" t="s">
        <v>399</v>
      </c>
      <c r="T215" s="155" t="s">
        <v>397</v>
      </c>
      <c r="U215" s="163"/>
      <c r="V215" s="147"/>
    </row>
    <row r="216" spans="1:22">
      <c r="A216" s="166">
        <v>24</v>
      </c>
      <c r="B216" s="167">
        <v>5</v>
      </c>
      <c r="C216" s="167">
        <v>101</v>
      </c>
      <c r="D216" s="166">
        <v>262</v>
      </c>
      <c r="E216" s="166">
        <v>50</v>
      </c>
      <c r="F216" s="167">
        <v>3</v>
      </c>
      <c r="G216" s="168">
        <f t="shared" si="32"/>
        <v>5902</v>
      </c>
      <c r="H216" s="166">
        <f t="shared" si="33"/>
        <v>6</v>
      </c>
      <c r="I216" s="166">
        <f t="shared" si="34"/>
        <v>6550</v>
      </c>
      <c r="J216" s="147">
        <v>11</v>
      </c>
      <c r="K216" s="147">
        <v>3</v>
      </c>
      <c r="L216" s="147" t="s">
        <v>657</v>
      </c>
      <c r="M216" s="147">
        <v>9</v>
      </c>
      <c r="N216" s="147">
        <v>2</v>
      </c>
      <c r="O216" s="147" t="s">
        <v>656</v>
      </c>
      <c r="P216" s="147">
        <v>101</v>
      </c>
      <c r="Q216" s="156">
        <v>285</v>
      </c>
      <c r="R216" s="157">
        <v>0</v>
      </c>
      <c r="S216" s="158" t="s">
        <v>399</v>
      </c>
      <c r="T216" s="155" t="s">
        <v>397</v>
      </c>
      <c r="U216" s="163"/>
      <c r="V216" s="147"/>
    </row>
    <row r="217" spans="1:22">
      <c r="A217" s="166">
        <v>24</v>
      </c>
      <c r="B217" s="167">
        <v>6</v>
      </c>
      <c r="C217" s="167">
        <v>101</v>
      </c>
      <c r="D217" s="166">
        <v>314</v>
      </c>
      <c r="E217" s="166">
        <v>60</v>
      </c>
      <c r="F217" s="167">
        <v>4</v>
      </c>
      <c r="G217" s="168">
        <f t="shared" si="32"/>
        <v>5902</v>
      </c>
      <c r="H217" s="166">
        <f t="shared" si="33"/>
        <v>8</v>
      </c>
      <c r="I217" s="166">
        <f t="shared" si="34"/>
        <v>7850</v>
      </c>
      <c r="J217" s="147">
        <v>11</v>
      </c>
      <c r="K217" s="147">
        <v>3</v>
      </c>
      <c r="L217" s="147" t="s">
        <v>657</v>
      </c>
      <c r="M217" s="147">
        <v>9</v>
      </c>
      <c r="N217" s="147">
        <v>2</v>
      </c>
      <c r="O217" s="147" t="s">
        <v>656</v>
      </c>
      <c r="P217" s="147">
        <v>101</v>
      </c>
      <c r="Q217" s="156">
        <v>320</v>
      </c>
      <c r="R217" s="157">
        <v>0</v>
      </c>
      <c r="S217" s="158" t="s">
        <v>399</v>
      </c>
      <c r="T217" s="155" t="s">
        <v>397</v>
      </c>
      <c r="U217" s="163"/>
      <c r="V217" s="147"/>
    </row>
    <row r="218" spans="1:22">
      <c r="A218" s="166">
        <v>24</v>
      </c>
      <c r="B218" s="167">
        <v>7</v>
      </c>
      <c r="C218" s="167">
        <v>101</v>
      </c>
      <c r="D218" s="166">
        <v>367</v>
      </c>
      <c r="E218" s="166">
        <v>70</v>
      </c>
      <c r="F218" s="167">
        <v>4</v>
      </c>
      <c r="G218" s="168">
        <f t="shared" si="32"/>
        <v>5902</v>
      </c>
      <c r="H218" s="166">
        <f t="shared" si="33"/>
        <v>10</v>
      </c>
      <c r="I218" s="166">
        <f t="shared" si="34"/>
        <v>9175</v>
      </c>
      <c r="J218" s="147">
        <v>11</v>
      </c>
      <c r="K218" s="147">
        <v>3</v>
      </c>
      <c r="L218" s="147" t="s">
        <v>657</v>
      </c>
      <c r="M218" s="147">
        <v>9</v>
      </c>
      <c r="N218" s="147">
        <v>2</v>
      </c>
      <c r="O218" s="147" t="s">
        <v>656</v>
      </c>
      <c r="P218" s="147">
        <v>101</v>
      </c>
      <c r="Q218" s="156">
        <v>361</v>
      </c>
      <c r="R218" s="157">
        <v>0</v>
      </c>
      <c r="S218" s="158" t="s">
        <v>399</v>
      </c>
      <c r="T218" s="155" t="s">
        <v>397</v>
      </c>
      <c r="U218" s="163"/>
      <c r="V218" s="147"/>
    </row>
    <row r="219" spans="1:22">
      <c r="A219" s="166">
        <v>24</v>
      </c>
      <c r="B219" s="167">
        <v>8</v>
      </c>
      <c r="C219" s="167">
        <v>101</v>
      </c>
      <c r="D219" s="166">
        <v>419</v>
      </c>
      <c r="E219" s="166">
        <v>80</v>
      </c>
      <c r="F219" s="167">
        <v>5</v>
      </c>
      <c r="G219" s="168">
        <f t="shared" si="32"/>
        <v>5902</v>
      </c>
      <c r="H219" s="166">
        <f t="shared" si="33"/>
        <v>12</v>
      </c>
      <c r="I219" s="166">
        <f t="shared" si="34"/>
        <v>10475</v>
      </c>
      <c r="J219" s="147">
        <v>11</v>
      </c>
      <c r="K219" s="147">
        <v>3</v>
      </c>
      <c r="L219" s="147" t="s">
        <v>657</v>
      </c>
      <c r="M219" s="147">
        <v>9</v>
      </c>
      <c r="N219" s="147">
        <v>2</v>
      </c>
      <c r="O219" s="147" t="s">
        <v>656</v>
      </c>
      <c r="P219" s="147">
        <v>101</v>
      </c>
      <c r="Q219" s="156">
        <v>409</v>
      </c>
      <c r="R219" s="157">
        <v>0</v>
      </c>
      <c r="S219" s="158" t="s">
        <v>399</v>
      </c>
      <c r="T219" s="155" t="s">
        <v>397</v>
      </c>
      <c r="U219" s="163"/>
      <c r="V219" s="147"/>
    </row>
    <row r="220" spans="1:22">
      <c r="A220" s="166">
        <v>24</v>
      </c>
      <c r="B220" s="167">
        <v>9</v>
      </c>
      <c r="C220" s="167">
        <v>101</v>
      </c>
      <c r="D220" s="166">
        <v>471</v>
      </c>
      <c r="E220" s="166">
        <v>90</v>
      </c>
      <c r="F220" s="167">
        <v>5</v>
      </c>
      <c r="G220" s="168">
        <f t="shared" si="32"/>
        <v>5902</v>
      </c>
      <c r="H220" s="166">
        <f t="shared" si="33"/>
        <v>15</v>
      </c>
      <c r="I220" s="166">
        <f t="shared" si="34"/>
        <v>11775</v>
      </c>
      <c r="J220" s="147">
        <v>11</v>
      </c>
      <c r="K220" s="147">
        <v>3</v>
      </c>
      <c r="L220" s="147" t="s">
        <v>657</v>
      </c>
      <c r="M220" s="147">
        <v>9</v>
      </c>
      <c r="N220" s="147">
        <v>2</v>
      </c>
      <c r="O220" s="147" t="s">
        <v>656</v>
      </c>
      <c r="P220" s="147">
        <v>101</v>
      </c>
      <c r="Q220" s="156">
        <v>463</v>
      </c>
      <c r="R220" s="157">
        <v>0</v>
      </c>
      <c r="S220" s="158" t="s">
        <v>399</v>
      </c>
      <c r="T220" s="155" t="s">
        <v>397</v>
      </c>
      <c r="U220" s="163"/>
      <c r="V220" s="147"/>
    </row>
    <row r="221" spans="1:22">
      <c r="A221" s="166">
        <v>24</v>
      </c>
      <c r="B221" s="167">
        <v>10</v>
      </c>
      <c r="C221" s="167">
        <v>101</v>
      </c>
      <c r="D221" s="166">
        <v>523</v>
      </c>
      <c r="E221" s="166">
        <v>90</v>
      </c>
      <c r="F221" s="167">
        <v>6</v>
      </c>
      <c r="G221" s="168">
        <f t="shared" si="32"/>
        <v>5902</v>
      </c>
      <c r="H221" s="166">
        <f t="shared" si="33"/>
        <v>18</v>
      </c>
      <c r="I221" s="166">
        <f t="shared" si="34"/>
        <v>13075</v>
      </c>
      <c r="J221" s="147">
        <v>11</v>
      </c>
      <c r="K221" s="147">
        <v>3</v>
      </c>
      <c r="L221" s="147" t="s">
        <v>657</v>
      </c>
      <c r="M221" s="147">
        <v>9</v>
      </c>
      <c r="N221" s="147">
        <v>2</v>
      </c>
      <c r="O221" s="147" t="s">
        <v>656</v>
      </c>
      <c r="P221" s="147">
        <v>101</v>
      </c>
      <c r="Q221" s="156">
        <v>523</v>
      </c>
      <c r="R221" s="157">
        <v>0</v>
      </c>
      <c r="S221" s="158" t="s">
        <v>399</v>
      </c>
      <c r="T221" s="155" t="s">
        <v>397</v>
      </c>
      <c r="U221" s="163"/>
      <c r="V221" s="147"/>
    </row>
    <row r="222" spans="1:22">
      <c r="A222" s="159">
        <v>25</v>
      </c>
      <c r="B222" s="160">
        <v>1</v>
      </c>
      <c r="C222" s="160">
        <v>104</v>
      </c>
      <c r="D222" s="159">
        <v>994</v>
      </c>
      <c r="E222" s="159">
        <v>10</v>
      </c>
      <c r="F222" s="160">
        <v>1</v>
      </c>
      <c r="G222" s="161">
        <f t="shared" si="32"/>
        <v>5902</v>
      </c>
      <c r="H222" s="159">
        <f t="shared" si="33"/>
        <v>1</v>
      </c>
      <c r="I222" s="159">
        <f t="shared" si="34"/>
        <v>994</v>
      </c>
      <c r="J222" s="147">
        <v>11</v>
      </c>
      <c r="K222" s="147">
        <v>3</v>
      </c>
      <c r="L222" s="147" t="s">
        <v>657</v>
      </c>
      <c r="M222" s="147">
        <v>12</v>
      </c>
      <c r="N222" s="147">
        <v>3</v>
      </c>
      <c r="O222" s="147" t="s">
        <v>657</v>
      </c>
      <c r="P222" s="147">
        <v>104</v>
      </c>
      <c r="Q222" s="156">
        <v>3974</v>
      </c>
      <c r="R222" s="157">
        <v>0</v>
      </c>
      <c r="S222" s="158" t="s">
        <v>399</v>
      </c>
      <c r="T222" s="155" t="s">
        <v>400</v>
      </c>
      <c r="U222" s="163"/>
      <c r="V222" s="147"/>
    </row>
    <row r="223" spans="1:22">
      <c r="A223" s="159">
        <v>25</v>
      </c>
      <c r="B223" s="160">
        <v>2</v>
      </c>
      <c r="C223" s="160">
        <v>104</v>
      </c>
      <c r="D223" s="159">
        <v>1988</v>
      </c>
      <c r="E223" s="159">
        <v>20</v>
      </c>
      <c r="F223" s="160">
        <v>2</v>
      </c>
      <c r="G223" s="161">
        <f t="shared" si="32"/>
        <v>5902</v>
      </c>
      <c r="H223" s="159">
        <f t="shared" si="33"/>
        <v>2</v>
      </c>
      <c r="I223" s="159">
        <f t="shared" si="34"/>
        <v>1988</v>
      </c>
      <c r="J223" s="147">
        <v>11</v>
      </c>
      <c r="K223" s="147">
        <v>3</v>
      </c>
      <c r="L223" s="147" t="s">
        <v>657</v>
      </c>
      <c r="M223" s="147">
        <v>12</v>
      </c>
      <c r="N223" s="147">
        <v>3</v>
      </c>
      <c r="O223" s="147" t="s">
        <v>657</v>
      </c>
      <c r="P223" s="147">
        <v>104</v>
      </c>
      <c r="Q223" s="156">
        <v>4155</v>
      </c>
      <c r="R223" s="157">
        <v>0</v>
      </c>
      <c r="S223" s="158" t="s">
        <v>399</v>
      </c>
      <c r="T223" s="155" t="s">
        <v>400</v>
      </c>
      <c r="U223" s="163"/>
      <c r="V223" s="147"/>
    </row>
    <row r="224" spans="1:22">
      <c r="A224" s="159">
        <v>25</v>
      </c>
      <c r="B224" s="160">
        <v>3</v>
      </c>
      <c r="C224" s="160">
        <v>104</v>
      </c>
      <c r="D224" s="159">
        <v>2981</v>
      </c>
      <c r="E224" s="159">
        <v>30</v>
      </c>
      <c r="F224" s="160">
        <v>2</v>
      </c>
      <c r="G224" s="161">
        <f t="shared" si="32"/>
        <v>5902</v>
      </c>
      <c r="H224" s="159">
        <f t="shared" si="33"/>
        <v>3</v>
      </c>
      <c r="I224" s="159">
        <f t="shared" si="34"/>
        <v>2981</v>
      </c>
      <c r="J224" s="147">
        <v>11</v>
      </c>
      <c r="K224" s="147">
        <v>3</v>
      </c>
      <c r="L224" s="147" t="s">
        <v>657</v>
      </c>
      <c r="M224" s="147">
        <v>12</v>
      </c>
      <c r="N224" s="147">
        <v>3</v>
      </c>
      <c r="O224" s="147" t="s">
        <v>657</v>
      </c>
      <c r="P224" s="147">
        <v>104</v>
      </c>
      <c r="Q224" s="156">
        <v>4456</v>
      </c>
      <c r="R224" s="157">
        <v>0</v>
      </c>
      <c r="S224" s="158" t="s">
        <v>399</v>
      </c>
      <c r="T224" s="155" t="s">
        <v>400</v>
      </c>
      <c r="U224" s="163"/>
      <c r="V224" s="147"/>
    </row>
    <row r="225" spans="1:22">
      <c r="A225" s="159">
        <v>25</v>
      </c>
      <c r="B225" s="160">
        <v>4</v>
      </c>
      <c r="C225" s="160">
        <v>104</v>
      </c>
      <c r="D225" s="159">
        <v>3975</v>
      </c>
      <c r="E225" s="159">
        <v>40</v>
      </c>
      <c r="F225" s="160">
        <v>3</v>
      </c>
      <c r="G225" s="161">
        <f t="shared" si="32"/>
        <v>5902</v>
      </c>
      <c r="H225" s="159">
        <f t="shared" si="33"/>
        <v>4</v>
      </c>
      <c r="I225" s="159">
        <f t="shared" si="34"/>
        <v>3975</v>
      </c>
      <c r="J225" s="147">
        <v>11</v>
      </c>
      <c r="K225" s="147">
        <v>3</v>
      </c>
      <c r="L225" s="147" t="s">
        <v>657</v>
      </c>
      <c r="M225" s="147">
        <v>12</v>
      </c>
      <c r="N225" s="147">
        <v>3</v>
      </c>
      <c r="O225" s="147" t="s">
        <v>657</v>
      </c>
      <c r="P225" s="147">
        <v>104</v>
      </c>
      <c r="Q225" s="156">
        <v>4877</v>
      </c>
      <c r="R225" s="157">
        <v>0</v>
      </c>
      <c r="S225" s="158" t="s">
        <v>399</v>
      </c>
      <c r="T225" s="155" t="s">
        <v>400</v>
      </c>
      <c r="U225" s="163"/>
      <c r="V225" s="147"/>
    </row>
    <row r="226" spans="1:22">
      <c r="A226" s="159">
        <v>25</v>
      </c>
      <c r="B226" s="160">
        <v>5</v>
      </c>
      <c r="C226" s="160">
        <v>104</v>
      </c>
      <c r="D226" s="159">
        <v>4968</v>
      </c>
      <c r="E226" s="159">
        <v>50</v>
      </c>
      <c r="F226" s="160">
        <v>3</v>
      </c>
      <c r="G226" s="161">
        <f t="shared" si="32"/>
        <v>5902</v>
      </c>
      <c r="H226" s="159">
        <f t="shared" si="33"/>
        <v>6</v>
      </c>
      <c r="I226" s="159">
        <f t="shared" si="34"/>
        <v>4968</v>
      </c>
      <c r="J226" s="147">
        <v>11</v>
      </c>
      <c r="K226" s="147">
        <v>3</v>
      </c>
      <c r="L226" s="147" t="s">
        <v>657</v>
      </c>
      <c r="M226" s="147">
        <v>12</v>
      </c>
      <c r="N226" s="147">
        <v>3</v>
      </c>
      <c r="O226" s="147" t="s">
        <v>657</v>
      </c>
      <c r="P226" s="147">
        <v>104</v>
      </c>
      <c r="Q226" s="156">
        <v>5419</v>
      </c>
      <c r="R226" s="157">
        <v>0</v>
      </c>
      <c r="S226" s="158" t="s">
        <v>399</v>
      </c>
      <c r="T226" s="155" t="s">
        <v>400</v>
      </c>
      <c r="U226" s="163"/>
      <c r="V226" s="147"/>
    </row>
    <row r="227" spans="1:22">
      <c r="A227" s="159">
        <v>25</v>
      </c>
      <c r="B227" s="160">
        <v>6</v>
      </c>
      <c r="C227" s="160">
        <v>104</v>
      </c>
      <c r="D227" s="159">
        <v>5962</v>
      </c>
      <c r="E227" s="159">
        <v>60</v>
      </c>
      <c r="F227" s="160">
        <v>4</v>
      </c>
      <c r="G227" s="161">
        <f t="shared" si="32"/>
        <v>5902</v>
      </c>
      <c r="H227" s="159">
        <f t="shared" si="33"/>
        <v>8</v>
      </c>
      <c r="I227" s="159">
        <f t="shared" si="34"/>
        <v>5962</v>
      </c>
      <c r="J227" s="147">
        <v>11</v>
      </c>
      <c r="K227" s="147">
        <v>3</v>
      </c>
      <c r="L227" s="147" t="s">
        <v>657</v>
      </c>
      <c r="M227" s="147">
        <v>12</v>
      </c>
      <c r="N227" s="147">
        <v>3</v>
      </c>
      <c r="O227" s="147" t="s">
        <v>657</v>
      </c>
      <c r="P227" s="147">
        <v>104</v>
      </c>
      <c r="Q227" s="156">
        <v>6082</v>
      </c>
      <c r="R227" s="157">
        <v>0</v>
      </c>
      <c r="S227" s="158" t="s">
        <v>399</v>
      </c>
      <c r="T227" s="155" t="s">
        <v>400</v>
      </c>
      <c r="U227" s="163"/>
      <c r="V227" s="147"/>
    </row>
    <row r="228" spans="1:22">
      <c r="A228" s="159">
        <v>25</v>
      </c>
      <c r="B228" s="160">
        <v>7</v>
      </c>
      <c r="C228" s="160">
        <v>104</v>
      </c>
      <c r="D228" s="159">
        <v>6956</v>
      </c>
      <c r="E228" s="159">
        <v>70</v>
      </c>
      <c r="F228" s="160">
        <v>4</v>
      </c>
      <c r="G228" s="161">
        <f t="shared" si="32"/>
        <v>5902</v>
      </c>
      <c r="H228" s="159">
        <f t="shared" si="33"/>
        <v>10</v>
      </c>
      <c r="I228" s="159">
        <f t="shared" si="34"/>
        <v>6956</v>
      </c>
      <c r="J228" s="147">
        <v>11</v>
      </c>
      <c r="K228" s="147">
        <v>3</v>
      </c>
      <c r="L228" s="147" t="s">
        <v>657</v>
      </c>
      <c r="M228" s="147">
        <v>12</v>
      </c>
      <c r="N228" s="147">
        <v>3</v>
      </c>
      <c r="O228" s="147" t="s">
        <v>657</v>
      </c>
      <c r="P228" s="147">
        <v>104</v>
      </c>
      <c r="Q228" s="156">
        <v>6864</v>
      </c>
      <c r="R228" s="157">
        <v>0</v>
      </c>
      <c r="S228" s="158" t="s">
        <v>399</v>
      </c>
      <c r="T228" s="155" t="s">
        <v>400</v>
      </c>
      <c r="U228" s="163"/>
      <c r="V228" s="147"/>
    </row>
    <row r="229" spans="1:22">
      <c r="A229" s="159">
        <v>25</v>
      </c>
      <c r="B229" s="160">
        <v>8</v>
      </c>
      <c r="C229" s="160">
        <v>104</v>
      </c>
      <c r="D229" s="159">
        <v>7949</v>
      </c>
      <c r="E229" s="159">
        <v>80</v>
      </c>
      <c r="F229" s="160">
        <v>5</v>
      </c>
      <c r="G229" s="161">
        <f t="shared" si="32"/>
        <v>5902</v>
      </c>
      <c r="H229" s="159">
        <f t="shared" si="33"/>
        <v>12</v>
      </c>
      <c r="I229" s="159">
        <f t="shared" si="34"/>
        <v>7949</v>
      </c>
      <c r="J229" s="147">
        <v>11</v>
      </c>
      <c r="K229" s="147">
        <v>3</v>
      </c>
      <c r="L229" s="147" t="s">
        <v>657</v>
      </c>
      <c r="M229" s="147">
        <v>12</v>
      </c>
      <c r="N229" s="147">
        <v>3</v>
      </c>
      <c r="O229" s="147" t="s">
        <v>657</v>
      </c>
      <c r="P229" s="147">
        <v>104</v>
      </c>
      <c r="Q229" s="156">
        <v>7768</v>
      </c>
      <c r="R229" s="157">
        <v>0</v>
      </c>
      <c r="S229" s="158" t="s">
        <v>399</v>
      </c>
      <c r="T229" s="155" t="s">
        <v>400</v>
      </c>
      <c r="U229" s="163"/>
      <c r="V229" s="147"/>
    </row>
    <row r="230" spans="1:22">
      <c r="A230" s="159">
        <v>25</v>
      </c>
      <c r="B230" s="160">
        <v>9</v>
      </c>
      <c r="C230" s="160">
        <v>104</v>
      </c>
      <c r="D230" s="159">
        <v>8943</v>
      </c>
      <c r="E230" s="159">
        <v>90</v>
      </c>
      <c r="F230" s="160">
        <v>5</v>
      </c>
      <c r="G230" s="161">
        <f t="shared" si="32"/>
        <v>5902</v>
      </c>
      <c r="H230" s="159">
        <f t="shared" si="33"/>
        <v>15</v>
      </c>
      <c r="I230" s="159">
        <f t="shared" si="34"/>
        <v>8943</v>
      </c>
      <c r="J230" s="147">
        <v>11</v>
      </c>
      <c r="K230" s="147">
        <v>3</v>
      </c>
      <c r="L230" s="147" t="s">
        <v>657</v>
      </c>
      <c r="M230" s="147">
        <v>12</v>
      </c>
      <c r="N230" s="147">
        <v>3</v>
      </c>
      <c r="O230" s="147" t="s">
        <v>657</v>
      </c>
      <c r="P230" s="147">
        <v>104</v>
      </c>
      <c r="Q230" s="156">
        <v>8791</v>
      </c>
      <c r="R230" s="157">
        <v>0</v>
      </c>
      <c r="S230" s="158" t="s">
        <v>399</v>
      </c>
      <c r="T230" s="155" t="s">
        <v>400</v>
      </c>
      <c r="U230" s="163"/>
      <c r="V230" s="147"/>
    </row>
    <row r="231" spans="1:22">
      <c r="A231" s="159">
        <v>25</v>
      </c>
      <c r="B231" s="160">
        <v>10</v>
      </c>
      <c r="C231" s="160">
        <v>104</v>
      </c>
      <c r="D231" s="159">
        <v>9936</v>
      </c>
      <c r="E231" s="159">
        <v>90</v>
      </c>
      <c r="F231" s="160">
        <v>6</v>
      </c>
      <c r="G231" s="161">
        <f t="shared" si="32"/>
        <v>5902</v>
      </c>
      <c r="H231" s="159">
        <f t="shared" si="33"/>
        <v>18</v>
      </c>
      <c r="I231" s="159">
        <f t="shared" si="34"/>
        <v>9936</v>
      </c>
      <c r="J231" s="147">
        <v>11</v>
      </c>
      <c r="K231" s="147">
        <v>3</v>
      </c>
      <c r="L231" s="147" t="s">
        <v>657</v>
      </c>
      <c r="M231" s="147">
        <v>12</v>
      </c>
      <c r="N231" s="147">
        <v>3</v>
      </c>
      <c r="O231" s="147" t="s">
        <v>657</v>
      </c>
      <c r="P231" s="147">
        <v>104</v>
      </c>
      <c r="Q231" s="156">
        <v>9936</v>
      </c>
      <c r="R231" s="157">
        <v>0</v>
      </c>
      <c r="S231" s="158" t="s">
        <v>399</v>
      </c>
      <c r="T231" s="155" t="s">
        <v>400</v>
      </c>
      <c r="U231" s="163"/>
      <c r="V231" s="147"/>
    </row>
    <row r="232" spans="1:22">
      <c r="A232" s="166">
        <v>26</v>
      </c>
      <c r="B232" s="167">
        <v>1</v>
      </c>
      <c r="C232" s="167">
        <v>101</v>
      </c>
      <c r="D232" s="166">
        <v>53</v>
      </c>
      <c r="E232" s="166">
        <v>10</v>
      </c>
      <c r="F232" s="167">
        <v>1</v>
      </c>
      <c r="G232" s="168">
        <f t="shared" si="32"/>
        <v>5902</v>
      </c>
      <c r="H232" s="166">
        <f t="shared" si="33"/>
        <v>1</v>
      </c>
      <c r="I232" s="166">
        <f t="shared" si="34"/>
        <v>1325</v>
      </c>
      <c r="J232" s="147">
        <v>11</v>
      </c>
      <c r="K232" s="147">
        <v>3</v>
      </c>
      <c r="L232" s="147" t="s">
        <v>657</v>
      </c>
      <c r="M232" s="147">
        <v>20</v>
      </c>
      <c r="N232" s="147">
        <v>2</v>
      </c>
      <c r="O232" s="147" t="s">
        <v>656</v>
      </c>
      <c r="P232" s="147">
        <v>101</v>
      </c>
      <c r="Q232" s="156">
        <v>209</v>
      </c>
      <c r="R232" s="157">
        <v>0</v>
      </c>
      <c r="S232" s="158" t="s">
        <v>399</v>
      </c>
      <c r="T232" s="155" t="s">
        <v>408</v>
      </c>
      <c r="U232" s="163"/>
      <c r="V232" s="147"/>
    </row>
    <row r="233" spans="1:22">
      <c r="A233" s="166">
        <v>26</v>
      </c>
      <c r="B233" s="167">
        <v>2</v>
      </c>
      <c r="C233" s="167">
        <v>101</v>
      </c>
      <c r="D233" s="166">
        <v>105</v>
      </c>
      <c r="E233" s="166">
        <v>20</v>
      </c>
      <c r="F233" s="167">
        <v>2</v>
      </c>
      <c r="G233" s="168">
        <f t="shared" si="32"/>
        <v>5902</v>
      </c>
      <c r="H233" s="166">
        <f t="shared" si="33"/>
        <v>2</v>
      </c>
      <c r="I233" s="166">
        <f t="shared" si="34"/>
        <v>2625</v>
      </c>
      <c r="J233" s="147">
        <v>11</v>
      </c>
      <c r="K233" s="147">
        <v>3</v>
      </c>
      <c r="L233" s="147" t="s">
        <v>657</v>
      </c>
      <c r="M233" s="147">
        <v>20</v>
      </c>
      <c r="N233" s="147">
        <v>2</v>
      </c>
      <c r="O233" s="147" t="s">
        <v>656</v>
      </c>
      <c r="P233" s="147">
        <v>101</v>
      </c>
      <c r="Q233" s="156">
        <v>219</v>
      </c>
      <c r="R233" s="157">
        <v>0</v>
      </c>
      <c r="S233" s="158" t="s">
        <v>399</v>
      </c>
      <c r="T233" s="155" t="s">
        <v>408</v>
      </c>
      <c r="U233" s="163"/>
      <c r="V233" s="147"/>
    </row>
    <row r="234" spans="1:22">
      <c r="A234" s="166">
        <v>26</v>
      </c>
      <c r="B234" s="167">
        <v>3</v>
      </c>
      <c r="C234" s="167">
        <v>101</v>
      </c>
      <c r="D234" s="166">
        <v>157</v>
      </c>
      <c r="E234" s="166">
        <v>30</v>
      </c>
      <c r="F234" s="167">
        <v>2</v>
      </c>
      <c r="G234" s="168">
        <f t="shared" si="32"/>
        <v>5902</v>
      </c>
      <c r="H234" s="166">
        <f t="shared" si="33"/>
        <v>3</v>
      </c>
      <c r="I234" s="166">
        <f t="shared" si="34"/>
        <v>3925</v>
      </c>
      <c r="J234" s="147">
        <v>11</v>
      </c>
      <c r="K234" s="147">
        <v>3</v>
      </c>
      <c r="L234" s="147" t="s">
        <v>657</v>
      </c>
      <c r="M234" s="147">
        <v>20</v>
      </c>
      <c r="N234" s="147">
        <v>2</v>
      </c>
      <c r="O234" s="147" t="s">
        <v>656</v>
      </c>
      <c r="P234" s="147">
        <v>101</v>
      </c>
      <c r="Q234" s="156">
        <v>234</v>
      </c>
      <c r="R234" s="157">
        <v>0</v>
      </c>
      <c r="S234" s="158" t="s">
        <v>399</v>
      </c>
      <c r="T234" s="155" t="s">
        <v>408</v>
      </c>
      <c r="U234" s="163"/>
      <c r="V234" s="147"/>
    </row>
    <row r="235" spans="1:22">
      <c r="A235" s="166">
        <v>26</v>
      </c>
      <c r="B235" s="167">
        <v>4</v>
      </c>
      <c r="C235" s="167">
        <v>101</v>
      </c>
      <c r="D235" s="166">
        <v>210</v>
      </c>
      <c r="E235" s="166">
        <v>40</v>
      </c>
      <c r="F235" s="167">
        <v>3</v>
      </c>
      <c r="G235" s="168">
        <f t="shared" si="32"/>
        <v>5902</v>
      </c>
      <c r="H235" s="166">
        <f t="shared" si="33"/>
        <v>4</v>
      </c>
      <c r="I235" s="166">
        <f t="shared" si="34"/>
        <v>5250</v>
      </c>
      <c r="J235" s="147">
        <v>11</v>
      </c>
      <c r="K235" s="147">
        <v>3</v>
      </c>
      <c r="L235" s="147" t="s">
        <v>657</v>
      </c>
      <c r="M235" s="147">
        <v>20</v>
      </c>
      <c r="N235" s="147">
        <v>2</v>
      </c>
      <c r="O235" s="147" t="s">
        <v>656</v>
      </c>
      <c r="P235" s="147">
        <v>101</v>
      </c>
      <c r="Q235" s="156">
        <v>257</v>
      </c>
      <c r="R235" s="157">
        <v>0</v>
      </c>
      <c r="S235" s="158" t="s">
        <v>399</v>
      </c>
      <c r="T235" s="155" t="s">
        <v>408</v>
      </c>
      <c r="U235" s="163"/>
      <c r="V235" s="147"/>
    </row>
    <row r="236" spans="1:22">
      <c r="A236" s="166">
        <v>26</v>
      </c>
      <c r="B236" s="167">
        <v>5</v>
      </c>
      <c r="C236" s="167">
        <v>101</v>
      </c>
      <c r="D236" s="166">
        <v>262</v>
      </c>
      <c r="E236" s="166">
        <v>50</v>
      </c>
      <c r="F236" s="167">
        <v>3</v>
      </c>
      <c r="G236" s="168">
        <f t="shared" si="32"/>
        <v>5902</v>
      </c>
      <c r="H236" s="166">
        <f t="shared" si="33"/>
        <v>6</v>
      </c>
      <c r="I236" s="166">
        <f t="shared" si="34"/>
        <v>6550</v>
      </c>
      <c r="J236" s="147">
        <v>11</v>
      </c>
      <c r="K236" s="147">
        <v>3</v>
      </c>
      <c r="L236" s="147" t="s">
        <v>657</v>
      </c>
      <c r="M236" s="147">
        <v>20</v>
      </c>
      <c r="N236" s="147">
        <v>2</v>
      </c>
      <c r="O236" s="147" t="s">
        <v>656</v>
      </c>
      <c r="P236" s="147">
        <v>101</v>
      </c>
      <c r="Q236" s="156">
        <v>285</v>
      </c>
      <c r="R236" s="157">
        <v>0</v>
      </c>
      <c r="S236" s="158" t="s">
        <v>399</v>
      </c>
      <c r="T236" s="155" t="s">
        <v>408</v>
      </c>
      <c r="U236" s="163"/>
      <c r="V236" s="147"/>
    </row>
    <row r="237" spans="1:22">
      <c r="A237" s="166">
        <v>26</v>
      </c>
      <c r="B237" s="167">
        <v>6</v>
      </c>
      <c r="C237" s="167">
        <v>101</v>
      </c>
      <c r="D237" s="166">
        <v>314</v>
      </c>
      <c r="E237" s="166">
        <v>60</v>
      </c>
      <c r="F237" s="167">
        <v>4</v>
      </c>
      <c r="G237" s="168">
        <f t="shared" si="32"/>
        <v>5902</v>
      </c>
      <c r="H237" s="166">
        <f t="shared" si="33"/>
        <v>8</v>
      </c>
      <c r="I237" s="166">
        <f t="shared" si="34"/>
        <v>7850</v>
      </c>
      <c r="J237" s="147">
        <v>11</v>
      </c>
      <c r="K237" s="147">
        <v>3</v>
      </c>
      <c r="L237" s="147" t="s">
        <v>657</v>
      </c>
      <c r="M237" s="147">
        <v>20</v>
      </c>
      <c r="N237" s="147">
        <v>2</v>
      </c>
      <c r="O237" s="147" t="s">
        <v>656</v>
      </c>
      <c r="P237" s="147">
        <v>101</v>
      </c>
      <c r="Q237" s="156">
        <v>320</v>
      </c>
      <c r="R237" s="157">
        <v>0</v>
      </c>
      <c r="S237" s="158" t="s">
        <v>399</v>
      </c>
      <c r="T237" s="155" t="s">
        <v>408</v>
      </c>
      <c r="U237" s="163"/>
      <c r="V237" s="147"/>
    </row>
    <row r="238" spans="1:22">
      <c r="A238" s="166">
        <v>26</v>
      </c>
      <c r="B238" s="167">
        <v>7</v>
      </c>
      <c r="C238" s="167">
        <v>101</v>
      </c>
      <c r="D238" s="166">
        <v>367</v>
      </c>
      <c r="E238" s="166">
        <v>70</v>
      </c>
      <c r="F238" s="167">
        <v>4</v>
      </c>
      <c r="G238" s="168">
        <f t="shared" si="32"/>
        <v>5902</v>
      </c>
      <c r="H238" s="166">
        <f t="shared" si="33"/>
        <v>10</v>
      </c>
      <c r="I238" s="166">
        <f t="shared" si="34"/>
        <v>9175</v>
      </c>
      <c r="J238" s="147">
        <v>11</v>
      </c>
      <c r="K238" s="147">
        <v>3</v>
      </c>
      <c r="L238" s="147" t="s">
        <v>657</v>
      </c>
      <c r="M238" s="147">
        <v>20</v>
      </c>
      <c r="N238" s="147">
        <v>2</v>
      </c>
      <c r="O238" s="147" t="s">
        <v>656</v>
      </c>
      <c r="P238" s="147">
        <v>101</v>
      </c>
      <c r="Q238" s="156">
        <v>361</v>
      </c>
      <c r="R238" s="157">
        <v>0</v>
      </c>
      <c r="S238" s="158" t="s">
        <v>399</v>
      </c>
      <c r="T238" s="155" t="s">
        <v>408</v>
      </c>
      <c r="U238" s="163"/>
      <c r="V238" s="147"/>
    </row>
    <row r="239" spans="1:22">
      <c r="A239" s="166">
        <v>26</v>
      </c>
      <c r="B239" s="167">
        <v>8</v>
      </c>
      <c r="C239" s="167">
        <v>101</v>
      </c>
      <c r="D239" s="166">
        <v>419</v>
      </c>
      <c r="E239" s="166">
        <v>80</v>
      </c>
      <c r="F239" s="167">
        <v>5</v>
      </c>
      <c r="G239" s="168">
        <f t="shared" si="32"/>
        <v>5902</v>
      </c>
      <c r="H239" s="166">
        <f t="shared" si="33"/>
        <v>12</v>
      </c>
      <c r="I239" s="166">
        <f t="shared" si="34"/>
        <v>10475</v>
      </c>
      <c r="J239" s="147">
        <v>11</v>
      </c>
      <c r="K239" s="147">
        <v>3</v>
      </c>
      <c r="L239" s="147" t="s">
        <v>657</v>
      </c>
      <c r="M239" s="147">
        <v>20</v>
      </c>
      <c r="N239" s="147">
        <v>2</v>
      </c>
      <c r="O239" s="147" t="s">
        <v>656</v>
      </c>
      <c r="P239" s="147">
        <v>101</v>
      </c>
      <c r="Q239" s="156">
        <v>409</v>
      </c>
      <c r="R239" s="157">
        <v>0</v>
      </c>
      <c r="S239" s="158" t="s">
        <v>399</v>
      </c>
      <c r="T239" s="155" t="s">
        <v>408</v>
      </c>
      <c r="U239" s="163"/>
      <c r="V239" s="147"/>
    </row>
    <row r="240" spans="1:22">
      <c r="A240" s="166">
        <v>26</v>
      </c>
      <c r="B240" s="167">
        <v>9</v>
      </c>
      <c r="C240" s="167">
        <v>101</v>
      </c>
      <c r="D240" s="166">
        <v>471</v>
      </c>
      <c r="E240" s="166">
        <v>90</v>
      </c>
      <c r="F240" s="167">
        <v>5</v>
      </c>
      <c r="G240" s="168">
        <f t="shared" si="32"/>
        <v>5902</v>
      </c>
      <c r="H240" s="166">
        <f t="shared" si="33"/>
        <v>15</v>
      </c>
      <c r="I240" s="166">
        <f t="shared" si="34"/>
        <v>11775</v>
      </c>
      <c r="J240" s="147">
        <v>11</v>
      </c>
      <c r="K240" s="147">
        <v>3</v>
      </c>
      <c r="L240" s="147" t="s">
        <v>657</v>
      </c>
      <c r="M240" s="147">
        <v>20</v>
      </c>
      <c r="N240" s="147">
        <v>2</v>
      </c>
      <c r="O240" s="147" t="s">
        <v>656</v>
      </c>
      <c r="P240" s="147">
        <v>101</v>
      </c>
      <c r="Q240" s="156">
        <v>463</v>
      </c>
      <c r="R240" s="157">
        <v>0</v>
      </c>
      <c r="S240" s="158" t="s">
        <v>399</v>
      </c>
      <c r="T240" s="155" t="s">
        <v>408</v>
      </c>
      <c r="U240" s="163"/>
      <c r="V240" s="147"/>
    </row>
    <row r="241" spans="1:22">
      <c r="A241" s="166">
        <v>26</v>
      </c>
      <c r="B241" s="167">
        <v>10</v>
      </c>
      <c r="C241" s="167">
        <v>101</v>
      </c>
      <c r="D241" s="166">
        <v>523</v>
      </c>
      <c r="E241" s="166">
        <v>90</v>
      </c>
      <c r="F241" s="167">
        <v>6</v>
      </c>
      <c r="G241" s="168">
        <f t="shared" si="32"/>
        <v>5902</v>
      </c>
      <c r="H241" s="166">
        <f t="shared" si="33"/>
        <v>18</v>
      </c>
      <c r="I241" s="166">
        <f t="shared" si="34"/>
        <v>13075</v>
      </c>
      <c r="J241" s="147">
        <v>11</v>
      </c>
      <c r="K241" s="147">
        <v>3</v>
      </c>
      <c r="L241" s="147" t="s">
        <v>657</v>
      </c>
      <c r="M241" s="147">
        <v>20</v>
      </c>
      <c r="N241" s="147">
        <v>2</v>
      </c>
      <c r="O241" s="147" t="s">
        <v>656</v>
      </c>
      <c r="P241" s="147">
        <v>101</v>
      </c>
      <c r="Q241" s="156">
        <v>523</v>
      </c>
      <c r="R241" s="157">
        <v>0</v>
      </c>
      <c r="S241" s="158" t="s">
        <v>399</v>
      </c>
      <c r="T241" s="155" t="s">
        <v>408</v>
      </c>
      <c r="U241" s="163"/>
      <c r="V241" s="147"/>
    </row>
    <row r="242" spans="1:22">
      <c r="A242" s="159">
        <v>27</v>
      </c>
      <c r="B242" s="160">
        <v>1</v>
      </c>
      <c r="C242" s="160">
        <v>102</v>
      </c>
      <c r="D242" s="159">
        <v>92</v>
      </c>
      <c r="E242" s="159">
        <v>10</v>
      </c>
      <c r="F242" s="160">
        <v>1</v>
      </c>
      <c r="G242" s="161">
        <f t="shared" si="32"/>
        <v>5902</v>
      </c>
      <c r="H242" s="159">
        <f t="shared" si="33"/>
        <v>1</v>
      </c>
      <c r="I242" s="159">
        <f t="shared" si="34"/>
        <v>2300</v>
      </c>
      <c r="J242" s="147">
        <v>12</v>
      </c>
      <c r="K242" s="147">
        <v>3</v>
      </c>
      <c r="L242" s="147" t="s">
        <v>657</v>
      </c>
      <c r="M242" s="147">
        <v>4</v>
      </c>
      <c r="N242" s="147">
        <v>1</v>
      </c>
      <c r="O242" s="147" t="s">
        <v>655</v>
      </c>
      <c r="P242" s="147">
        <v>102</v>
      </c>
      <c r="Q242" s="156">
        <v>367</v>
      </c>
      <c r="R242" s="157">
        <v>0</v>
      </c>
      <c r="S242" s="158" t="s">
        <v>400</v>
      </c>
      <c r="T242" s="155" t="s">
        <v>394</v>
      </c>
      <c r="U242" s="163"/>
      <c r="V242" s="147"/>
    </row>
    <row r="243" spans="1:22">
      <c r="A243" s="159">
        <v>27</v>
      </c>
      <c r="B243" s="160">
        <v>2</v>
      </c>
      <c r="C243" s="160">
        <v>102</v>
      </c>
      <c r="D243" s="159">
        <v>184</v>
      </c>
      <c r="E243" s="159">
        <v>20</v>
      </c>
      <c r="F243" s="160">
        <v>2</v>
      </c>
      <c r="G243" s="161">
        <f t="shared" si="32"/>
        <v>5902</v>
      </c>
      <c r="H243" s="159">
        <f t="shared" si="33"/>
        <v>2</v>
      </c>
      <c r="I243" s="159">
        <f t="shared" si="34"/>
        <v>4600</v>
      </c>
      <c r="J243" s="147">
        <v>12</v>
      </c>
      <c r="K243" s="147">
        <v>3</v>
      </c>
      <c r="L243" s="147" t="s">
        <v>657</v>
      </c>
      <c r="M243" s="147">
        <v>4</v>
      </c>
      <c r="N243" s="147">
        <v>1</v>
      </c>
      <c r="O243" s="147" t="s">
        <v>655</v>
      </c>
      <c r="P243" s="147">
        <v>102</v>
      </c>
      <c r="Q243" s="156">
        <v>384</v>
      </c>
      <c r="R243" s="157">
        <v>0</v>
      </c>
      <c r="S243" s="158" t="s">
        <v>400</v>
      </c>
      <c r="T243" s="155" t="s">
        <v>394</v>
      </c>
      <c r="U243" s="163"/>
      <c r="V243" s="147"/>
    </row>
    <row r="244" spans="1:22">
      <c r="A244" s="159">
        <v>27</v>
      </c>
      <c r="B244" s="160">
        <v>3</v>
      </c>
      <c r="C244" s="160">
        <v>102</v>
      </c>
      <c r="D244" s="159">
        <v>276</v>
      </c>
      <c r="E244" s="159">
        <v>30</v>
      </c>
      <c r="F244" s="160">
        <v>2</v>
      </c>
      <c r="G244" s="161">
        <f t="shared" si="32"/>
        <v>5902</v>
      </c>
      <c r="H244" s="159">
        <f t="shared" si="33"/>
        <v>3</v>
      </c>
      <c r="I244" s="159">
        <f t="shared" si="34"/>
        <v>6900</v>
      </c>
      <c r="J244" s="147">
        <v>12</v>
      </c>
      <c r="K244" s="147">
        <v>3</v>
      </c>
      <c r="L244" s="147" t="s">
        <v>657</v>
      </c>
      <c r="M244" s="147">
        <v>4</v>
      </c>
      <c r="N244" s="147">
        <v>1</v>
      </c>
      <c r="O244" s="147" t="s">
        <v>655</v>
      </c>
      <c r="P244" s="147">
        <v>102</v>
      </c>
      <c r="Q244" s="156">
        <v>412</v>
      </c>
      <c r="R244" s="157">
        <v>0</v>
      </c>
      <c r="S244" s="158" t="s">
        <v>400</v>
      </c>
      <c r="T244" s="155" t="s">
        <v>394</v>
      </c>
      <c r="U244" s="163"/>
      <c r="V244" s="147"/>
    </row>
    <row r="245" spans="1:22">
      <c r="A245" s="159">
        <v>27</v>
      </c>
      <c r="B245" s="160">
        <v>4</v>
      </c>
      <c r="C245" s="160">
        <v>102</v>
      </c>
      <c r="D245" s="159">
        <v>368</v>
      </c>
      <c r="E245" s="159">
        <v>40</v>
      </c>
      <c r="F245" s="160">
        <v>3</v>
      </c>
      <c r="G245" s="161">
        <f t="shared" si="32"/>
        <v>5902</v>
      </c>
      <c r="H245" s="159">
        <f t="shared" si="33"/>
        <v>4</v>
      </c>
      <c r="I245" s="159">
        <f t="shared" si="34"/>
        <v>9200</v>
      </c>
      <c r="J245" s="147">
        <v>12</v>
      </c>
      <c r="K245" s="147">
        <v>3</v>
      </c>
      <c r="L245" s="147" t="s">
        <v>657</v>
      </c>
      <c r="M245" s="147">
        <v>4</v>
      </c>
      <c r="N245" s="147">
        <v>1</v>
      </c>
      <c r="O245" s="147" t="s">
        <v>655</v>
      </c>
      <c r="P245" s="147">
        <v>102</v>
      </c>
      <c r="Q245" s="156">
        <v>451</v>
      </c>
      <c r="R245" s="157">
        <v>0</v>
      </c>
      <c r="S245" s="158" t="s">
        <v>400</v>
      </c>
      <c r="T245" s="155" t="s">
        <v>394</v>
      </c>
      <c r="U245" s="163"/>
      <c r="V245" s="147"/>
    </row>
    <row r="246" spans="1:22">
      <c r="A246" s="159">
        <v>27</v>
      </c>
      <c r="B246" s="160">
        <v>5</v>
      </c>
      <c r="C246" s="160">
        <v>102</v>
      </c>
      <c r="D246" s="159">
        <v>460</v>
      </c>
      <c r="E246" s="159">
        <v>50</v>
      </c>
      <c r="F246" s="160">
        <v>3</v>
      </c>
      <c r="G246" s="161">
        <f t="shared" si="32"/>
        <v>5902</v>
      </c>
      <c r="H246" s="159">
        <f t="shared" si="33"/>
        <v>6</v>
      </c>
      <c r="I246" s="159">
        <f t="shared" si="34"/>
        <v>11500</v>
      </c>
      <c r="J246" s="147">
        <v>12</v>
      </c>
      <c r="K246" s="147">
        <v>3</v>
      </c>
      <c r="L246" s="147" t="s">
        <v>657</v>
      </c>
      <c r="M246" s="147">
        <v>4</v>
      </c>
      <c r="N246" s="147">
        <v>1</v>
      </c>
      <c r="O246" s="147" t="s">
        <v>655</v>
      </c>
      <c r="P246" s="147">
        <v>102</v>
      </c>
      <c r="Q246" s="156">
        <v>501</v>
      </c>
      <c r="R246" s="157">
        <v>0</v>
      </c>
      <c r="S246" s="158" t="s">
        <v>400</v>
      </c>
      <c r="T246" s="155" t="s">
        <v>394</v>
      </c>
      <c r="U246" s="163"/>
      <c r="V246" s="147"/>
    </row>
    <row r="247" spans="1:22">
      <c r="A247" s="159">
        <v>27</v>
      </c>
      <c r="B247" s="160">
        <v>6</v>
      </c>
      <c r="C247" s="160">
        <v>102</v>
      </c>
      <c r="D247" s="159">
        <v>552</v>
      </c>
      <c r="E247" s="159">
        <v>60</v>
      </c>
      <c r="F247" s="160">
        <v>4</v>
      </c>
      <c r="G247" s="161">
        <f t="shared" si="32"/>
        <v>5902</v>
      </c>
      <c r="H247" s="159">
        <f t="shared" si="33"/>
        <v>8</v>
      </c>
      <c r="I247" s="159">
        <f t="shared" si="34"/>
        <v>13800</v>
      </c>
      <c r="J247" s="147">
        <v>12</v>
      </c>
      <c r="K247" s="147">
        <v>3</v>
      </c>
      <c r="L247" s="147" t="s">
        <v>657</v>
      </c>
      <c r="M247" s="147">
        <v>4</v>
      </c>
      <c r="N247" s="147">
        <v>1</v>
      </c>
      <c r="O247" s="147" t="s">
        <v>655</v>
      </c>
      <c r="P247" s="147">
        <v>102</v>
      </c>
      <c r="Q247" s="156">
        <v>562</v>
      </c>
      <c r="R247" s="157">
        <v>0</v>
      </c>
      <c r="S247" s="158" t="s">
        <v>400</v>
      </c>
      <c r="T247" s="155" t="s">
        <v>394</v>
      </c>
      <c r="U247" s="163"/>
      <c r="V247" s="147"/>
    </row>
    <row r="248" spans="1:22">
      <c r="A248" s="159">
        <v>27</v>
      </c>
      <c r="B248" s="160">
        <v>7</v>
      </c>
      <c r="C248" s="160">
        <v>102</v>
      </c>
      <c r="D248" s="159">
        <v>644</v>
      </c>
      <c r="E248" s="159">
        <v>70</v>
      </c>
      <c r="F248" s="160">
        <v>4</v>
      </c>
      <c r="G248" s="161">
        <f t="shared" si="32"/>
        <v>5902</v>
      </c>
      <c r="H248" s="159">
        <f t="shared" si="33"/>
        <v>10</v>
      </c>
      <c r="I248" s="159">
        <f t="shared" si="34"/>
        <v>16100</v>
      </c>
      <c r="J248" s="147">
        <v>12</v>
      </c>
      <c r="K248" s="147">
        <v>3</v>
      </c>
      <c r="L248" s="147" t="s">
        <v>657</v>
      </c>
      <c r="M248" s="147">
        <v>4</v>
      </c>
      <c r="N248" s="147">
        <v>1</v>
      </c>
      <c r="O248" s="147" t="s">
        <v>655</v>
      </c>
      <c r="P248" s="147">
        <v>102</v>
      </c>
      <c r="Q248" s="156">
        <v>635</v>
      </c>
      <c r="R248" s="157">
        <v>0</v>
      </c>
      <c r="S248" s="158" t="s">
        <v>400</v>
      </c>
      <c r="T248" s="155" t="s">
        <v>394</v>
      </c>
      <c r="U248" s="163"/>
      <c r="V248" s="147"/>
    </row>
    <row r="249" spans="1:22">
      <c r="A249" s="159">
        <v>27</v>
      </c>
      <c r="B249" s="160">
        <v>8</v>
      </c>
      <c r="C249" s="160">
        <v>102</v>
      </c>
      <c r="D249" s="159">
        <v>736</v>
      </c>
      <c r="E249" s="159">
        <v>80</v>
      </c>
      <c r="F249" s="160">
        <v>5</v>
      </c>
      <c r="G249" s="161">
        <f t="shared" si="32"/>
        <v>5902</v>
      </c>
      <c r="H249" s="159">
        <f t="shared" si="33"/>
        <v>12</v>
      </c>
      <c r="I249" s="159">
        <f t="shared" si="34"/>
        <v>18400</v>
      </c>
      <c r="J249" s="147">
        <v>12</v>
      </c>
      <c r="K249" s="147">
        <v>3</v>
      </c>
      <c r="L249" s="147" t="s">
        <v>657</v>
      </c>
      <c r="M249" s="147">
        <v>4</v>
      </c>
      <c r="N249" s="147">
        <v>1</v>
      </c>
      <c r="O249" s="147" t="s">
        <v>655</v>
      </c>
      <c r="P249" s="147">
        <v>102</v>
      </c>
      <c r="Q249" s="156">
        <v>718</v>
      </c>
      <c r="R249" s="157">
        <v>0</v>
      </c>
      <c r="S249" s="158" t="s">
        <v>400</v>
      </c>
      <c r="T249" s="155" t="s">
        <v>394</v>
      </c>
      <c r="U249" s="163"/>
      <c r="V249" s="147"/>
    </row>
    <row r="250" spans="1:22">
      <c r="A250" s="159">
        <v>27</v>
      </c>
      <c r="B250" s="160">
        <v>9</v>
      </c>
      <c r="C250" s="160">
        <v>102</v>
      </c>
      <c r="D250" s="159">
        <v>828</v>
      </c>
      <c r="E250" s="159">
        <v>90</v>
      </c>
      <c r="F250" s="160">
        <v>5</v>
      </c>
      <c r="G250" s="161">
        <f t="shared" si="32"/>
        <v>5902</v>
      </c>
      <c r="H250" s="159">
        <f t="shared" si="33"/>
        <v>15</v>
      </c>
      <c r="I250" s="159">
        <f t="shared" si="34"/>
        <v>20700</v>
      </c>
      <c r="J250" s="147">
        <v>12</v>
      </c>
      <c r="K250" s="147">
        <v>3</v>
      </c>
      <c r="L250" s="147" t="s">
        <v>657</v>
      </c>
      <c r="M250" s="147">
        <v>4</v>
      </c>
      <c r="N250" s="147">
        <v>1</v>
      </c>
      <c r="O250" s="147" t="s">
        <v>655</v>
      </c>
      <c r="P250" s="147">
        <v>102</v>
      </c>
      <c r="Q250" s="156">
        <v>813</v>
      </c>
      <c r="R250" s="157">
        <v>0</v>
      </c>
      <c r="S250" s="158" t="s">
        <v>400</v>
      </c>
      <c r="T250" s="155" t="s">
        <v>394</v>
      </c>
      <c r="U250" s="163"/>
      <c r="V250" s="147"/>
    </row>
    <row r="251" spans="1:22">
      <c r="A251" s="159">
        <v>27</v>
      </c>
      <c r="B251" s="160">
        <v>10</v>
      </c>
      <c r="C251" s="160">
        <v>102</v>
      </c>
      <c r="D251" s="159">
        <v>919</v>
      </c>
      <c r="E251" s="159">
        <v>90</v>
      </c>
      <c r="F251" s="160">
        <v>6</v>
      </c>
      <c r="G251" s="161">
        <f t="shared" si="32"/>
        <v>5902</v>
      </c>
      <c r="H251" s="159">
        <f t="shared" si="33"/>
        <v>18</v>
      </c>
      <c r="I251" s="159">
        <f t="shared" si="34"/>
        <v>22975</v>
      </c>
      <c r="J251" s="147">
        <v>12</v>
      </c>
      <c r="K251" s="147">
        <v>3</v>
      </c>
      <c r="L251" s="147" t="s">
        <v>657</v>
      </c>
      <c r="M251" s="147">
        <v>4</v>
      </c>
      <c r="N251" s="147">
        <v>1</v>
      </c>
      <c r="O251" s="147" t="s">
        <v>655</v>
      </c>
      <c r="P251" s="147">
        <v>102</v>
      </c>
      <c r="Q251" s="156">
        <v>919</v>
      </c>
      <c r="R251" s="157">
        <v>0</v>
      </c>
      <c r="S251" s="158" t="s">
        <v>400</v>
      </c>
      <c r="T251" s="155" t="s">
        <v>394</v>
      </c>
      <c r="U251" s="163"/>
      <c r="V251" s="147"/>
    </row>
    <row r="252" spans="1:22">
      <c r="A252" s="166">
        <v>28</v>
      </c>
      <c r="B252" s="167">
        <v>1</v>
      </c>
      <c r="C252" s="167">
        <v>101</v>
      </c>
      <c r="D252" s="166">
        <v>83</v>
      </c>
      <c r="E252" s="166">
        <v>10</v>
      </c>
      <c r="F252" s="167">
        <v>1</v>
      </c>
      <c r="G252" s="168">
        <f t="shared" si="32"/>
        <v>5902</v>
      </c>
      <c r="H252" s="166">
        <f t="shared" si="33"/>
        <v>1</v>
      </c>
      <c r="I252" s="166">
        <f t="shared" si="34"/>
        <v>2075</v>
      </c>
      <c r="J252" s="147">
        <v>12</v>
      </c>
      <c r="K252" s="147">
        <v>3</v>
      </c>
      <c r="L252" s="147" t="s">
        <v>657</v>
      </c>
      <c r="M252" s="147">
        <v>9</v>
      </c>
      <c r="N252" s="147">
        <v>2</v>
      </c>
      <c r="O252" s="147" t="s">
        <v>656</v>
      </c>
      <c r="P252" s="147">
        <v>101</v>
      </c>
      <c r="Q252" s="156">
        <v>331</v>
      </c>
      <c r="R252" s="157">
        <v>0</v>
      </c>
      <c r="S252" s="158" t="s">
        <v>400</v>
      </c>
      <c r="T252" s="155" t="s">
        <v>397</v>
      </c>
      <c r="U252" s="163"/>
      <c r="V252" s="147"/>
    </row>
    <row r="253" spans="1:22">
      <c r="A253" s="166">
        <v>28</v>
      </c>
      <c r="B253" s="167">
        <v>2</v>
      </c>
      <c r="C253" s="167">
        <v>101</v>
      </c>
      <c r="D253" s="166">
        <v>166</v>
      </c>
      <c r="E253" s="166">
        <v>20</v>
      </c>
      <c r="F253" s="167">
        <v>2</v>
      </c>
      <c r="G253" s="168">
        <f t="shared" si="32"/>
        <v>5902</v>
      </c>
      <c r="H253" s="166">
        <f t="shared" si="33"/>
        <v>2</v>
      </c>
      <c r="I253" s="166">
        <f t="shared" si="34"/>
        <v>4150</v>
      </c>
      <c r="J253" s="147">
        <v>12</v>
      </c>
      <c r="K253" s="147">
        <v>3</v>
      </c>
      <c r="L253" s="147" t="s">
        <v>657</v>
      </c>
      <c r="M253" s="147">
        <v>9</v>
      </c>
      <c r="N253" s="147">
        <v>2</v>
      </c>
      <c r="O253" s="147" t="s">
        <v>656</v>
      </c>
      <c r="P253" s="147">
        <v>101</v>
      </c>
      <c r="Q253" s="156">
        <v>347</v>
      </c>
      <c r="R253" s="157">
        <v>0</v>
      </c>
      <c r="S253" s="158" t="s">
        <v>400</v>
      </c>
      <c r="T253" s="155" t="s">
        <v>397</v>
      </c>
      <c r="U253" s="163"/>
      <c r="V253" s="147"/>
    </row>
    <row r="254" spans="1:22">
      <c r="A254" s="166">
        <v>28</v>
      </c>
      <c r="B254" s="167">
        <v>3</v>
      </c>
      <c r="C254" s="167">
        <v>101</v>
      </c>
      <c r="D254" s="166">
        <v>249</v>
      </c>
      <c r="E254" s="166">
        <v>30</v>
      </c>
      <c r="F254" s="167">
        <v>2</v>
      </c>
      <c r="G254" s="168">
        <f t="shared" si="32"/>
        <v>5902</v>
      </c>
      <c r="H254" s="166">
        <f t="shared" si="33"/>
        <v>3</v>
      </c>
      <c r="I254" s="166">
        <f t="shared" si="34"/>
        <v>6225</v>
      </c>
      <c r="J254" s="147">
        <v>12</v>
      </c>
      <c r="K254" s="147">
        <v>3</v>
      </c>
      <c r="L254" s="147" t="s">
        <v>657</v>
      </c>
      <c r="M254" s="147">
        <v>9</v>
      </c>
      <c r="N254" s="147">
        <v>2</v>
      </c>
      <c r="O254" s="147" t="s">
        <v>656</v>
      </c>
      <c r="P254" s="147">
        <v>101</v>
      </c>
      <c r="Q254" s="156">
        <v>372</v>
      </c>
      <c r="R254" s="157">
        <v>0</v>
      </c>
      <c r="S254" s="158" t="s">
        <v>400</v>
      </c>
      <c r="T254" s="155" t="s">
        <v>397</v>
      </c>
      <c r="U254" s="163"/>
      <c r="V254" s="147"/>
    </row>
    <row r="255" spans="1:22">
      <c r="A255" s="166">
        <v>28</v>
      </c>
      <c r="B255" s="167">
        <v>4</v>
      </c>
      <c r="C255" s="167">
        <v>101</v>
      </c>
      <c r="D255" s="166">
        <v>332</v>
      </c>
      <c r="E255" s="166">
        <v>40</v>
      </c>
      <c r="F255" s="167">
        <v>3</v>
      </c>
      <c r="G255" s="168">
        <f t="shared" si="32"/>
        <v>5902</v>
      </c>
      <c r="H255" s="166">
        <f t="shared" si="33"/>
        <v>4</v>
      </c>
      <c r="I255" s="166">
        <f t="shared" si="34"/>
        <v>8300</v>
      </c>
      <c r="J255" s="147">
        <v>12</v>
      </c>
      <c r="K255" s="147">
        <v>3</v>
      </c>
      <c r="L255" s="147" t="s">
        <v>657</v>
      </c>
      <c r="M255" s="147">
        <v>9</v>
      </c>
      <c r="N255" s="147">
        <v>2</v>
      </c>
      <c r="O255" s="147" t="s">
        <v>656</v>
      </c>
      <c r="P255" s="147">
        <v>101</v>
      </c>
      <c r="Q255" s="156">
        <v>407</v>
      </c>
      <c r="R255" s="157">
        <v>0</v>
      </c>
      <c r="S255" s="158" t="s">
        <v>400</v>
      </c>
      <c r="T255" s="155" t="s">
        <v>397</v>
      </c>
      <c r="U255" s="163"/>
      <c r="V255" s="147"/>
    </row>
    <row r="256" spans="1:22">
      <c r="A256" s="166">
        <v>28</v>
      </c>
      <c r="B256" s="167">
        <v>5</v>
      </c>
      <c r="C256" s="167">
        <v>101</v>
      </c>
      <c r="D256" s="166">
        <v>415</v>
      </c>
      <c r="E256" s="166">
        <v>50</v>
      </c>
      <c r="F256" s="167">
        <v>3</v>
      </c>
      <c r="G256" s="168">
        <f t="shared" si="32"/>
        <v>5902</v>
      </c>
      <c r="H256" s="166">
        <f t="shared" si="33"/>
        <v>6</v>
      </c>
      <c r="I256" s="166">
        <f t="shared" si="34"/>
        <v>10375</v>
      </c>
      <c r="J256" s="147">
        <v>12</v>
      </c>
      <c r="K256" s="147">
        <v>3</v>
      </c>
      <c r="L256" s="147" t="s">
        <v>657</v>
      </c>
      <c r="M256" s="147">
        <v>9</v>
      </c>
      <c r="N256" s="147">
        <v>2</v>
      </c>
      <c r="O256" s="147" t="s">
        <v>656</v>
      </c>
      <c r="P256" s="147">
        <v>101</v>
      </c>
      <c r="Q256" s="156">
        <v>452</v>
      </c>
      <c r="R256" s="157">
        <v>0</v>
      </c>
      <c r="S256" s="158" t="s">
        <v>400</v>
      </c>
      <c r="T256" s="155" t="s">
        <v>397</v>
      </c>
      <c r="U256" s="163"/>
      <c r="V256" s="147"/>
    </row>
    <row r="257" spans="1:22">
      <c r="A257" s="166">
        <v>28</v>
      </c>
      <c r="B257" s="167">
        <v>6</v>
      </c>
      <c r="C257" s="167">
        <v>101</v>
      </c>
      <c r="D257" s="166">
        <v>498</v>
      </c>
      <c r="E257" s="166">
        <v>60</v>
      </c>
      <c r="F257" s="167">
        <v>4</v>
      </c>
      <c r="G257" s="168">
        <f t="shared" si="32"/>
        <v>5902</v>
      </c>
      <c r="H257" s="166">
        <f t="shared" si="33"/>
        <v>8</v>
      </c>
      <c r="I257" s="166">
        <f t="shared" si="34"/>
        <v>12450</v>
      </c>
      <c r="J257" s="147">
        <v>12</v>
      </c>
      <c r="K257" s="147">
        <v>3</v>
      </c>
      <c r="L257" s="147" t="s">
        <v>657</v>
      </c>
      <c r="M257" s="147">
        <v>9</v>
      </c>
      <c r="N257" s="147">
        <v>2</v>
      </c>
      <c r="O257" s="147" t="s">
        <v>656</v>
      </c>
      <c r="P257" s="147">
        <v>101</v>
      </c>
      <c r="Q257" s="156">
        <v>507</v>
      </c>
      <c r="R257" s="157">
        <v>0</v>
      </c>
      <c r="S257" s="158" t="s">
        <v>400</v>
      </c>
      <c r="T257" s="155" t="s">
        <v>397</v>
      </c>
      <c r="U257" s="163"/>
      <c r="V257" s="147"/>
    </row>
    <row r="258" spans="1:22">
      <c r="A258" s="166">
        <v>28</v>
      </c>
      <c r="B258" s="167">
        <v>7</v>
      </c>
      <c r="C258" s="167">
        <v>101</v>
      </c>
      <c r="D258" s="166">
        <v>581</v>
      </c>
      <c r="E258" s="166">
        <v>70</v>
      </c>
      <c r="F258" s="167">
        <v>4</v>
      </c>
      <c r="G258" s="168">
        <f t="shared" ref="G258:G321" si="35">VLOOKUP(B258,AA$2:AC$11,2,FALSE)</f>
        <v>5902</v>
      </c>
      <c r="H258" s="166">
        <f t="shared" ref="H258:H321" si="36">VLOOKUP(B258,AA$2:AC$11,3,FALSE)</f>
        <v>10</v>
      </c>
      <c r="I258" s="166">
        <f t="shared" si="34"/>
        <v>14525</v>
      </c>
      <c r="J258" s="147">
        <v>12</v>
      </c>
      <c r="K258" s="147">
        <v>3</v>
      </c>
      <c r="L258" s="147" t="s">
        <v>657</v>
      </c>
      <c r="M258" s="147">
        <v>9</v>
      </c>
      <c r="N258" s="147">
        <v>2</v>
      </c>
      <c r="O258" s="147" t="s">
        <v>656</v>
      </c>
      <c r="P258" s="147">
        <v>101</v>
      </c>
      <c r="Q258" s="156">
        <v>573</v>
      </c>
      <c r="R258" s="157">
        <v>0</v>
      </c>
      <c r="S258" s="158" t="s">
        <v>400</v>
      </c>
      <c r="T258" s="155" t="s">
        <v>397</v>
      </c>
      <c r="U258" s="163"/>
      <c r="V258" s="147"/>
    </row>
    <row r="259" spans="1:22">
      <c r="A259" s="166">
        <v>28</v>
      </c>
      <c r="B259" s="167">
        <v>8</v>
      </c>
      <c r="C259" s="167">
        <v>101</v>
      </c>
      <c r="D259" s="166">
        <v>664</v>
      </c>
      <c r="E259" s="166">
        <v>80</v>
      </c>
      <c r="F259" s="167">
        <v>5</v>
      </c>
      <c r="G259" s="168">
        <f t="shared" si="35"/>
        <v>5902</v>
      </c>
      <c r="H259" s="166">
        <f t="shared" si="36"/>
        <v>12</v>
      </c>
      <c r="I259" s="166">
        <f t="shared" ref="I259:I322" si="37">INT(IF(C259=104,D259,D259*25))</f>
        <v>16600</v>
      </c>
      <c r="J259" s="147">
        <v>12</v>
      </c>
      <c r="K259" s="147">
        <v>3</v>
      </c>
      <c r="L259" s="147" t="s">
        <v>657</v>
      </c>
      <c r="M259" s="147">
        <v>9</v>
      </c>
      <c r="N259" s="147">
        <v>2</v>
      </c>
      <c r="O259" s="147" t="s">
        <v>656</v>
      </c>
      <c r="P259" s="147">
        <v>101</v>
      </c>
      <c r="Q259" s="156">
        <v>648</v>
      </c>
      <c r="R259" s="157">
        <v>0</v>
      </c>
      <c r="S259" s="158" t="s">
        <v>400</v>
      </c>
      <c r="T259" s="155" t="s">
        <v>397</v>
      </c>
      <c r="U259" s="163"/>
      <c r="V259" s="147"/>
    </row>
    <row r="260" spans="1:22">
      <c r="A260" s="166">
        <v>28</v>
      </c>
      <c r="B260" s="167">
        <v>9</v>
      </c>
      <c r="C260" s="167">
        <v>101</v>
      </c>
      <c r="D260" s="166">
        <v>747</v>
      </c>
      <c r="E260" s="166">
        <v>90</v>
      </c>
      <c r="F260" s="167">
        <v>5</v>
      </c>
      <c r="G260" s="168">
        <f t="shared" si="35"/>
        <v>5902</v>
      </c>
      <c r="H260" s="166">
        <f t="shared" si="36"/>
        <v>15</v>
      </c>
      <c r="I260" s="166">
        <f t="shared" si="37"/>
        <v>18675</v>
      </c>
      <c r="J260" s="147">
        <v>12</v>
      </c>
      <c r="K260" s="147">
        <v>3</v>
      </c>
      <c r="L260" s="147" t="s">
        <v>657</v>
      </c>
      <c r="M260" s="147">
        <v>9</v>
      </c>
      <c r="N260" s="147">
        <v>2</v>
      </c>
      <c r="O260" s="147" t="s">
        <v>656</v>
      </c>
      <c r="P260" s="147">
        <v>101</v>
      </c>
      <c r="Q260" s="156">
        <v>734</v>
      </c>
      <c r="R260" s="157">
        <v>0</v>
      </c>
      <c r="S260" s="158" t="s">
        <v>400</v>
      </c>
      <c r="T260" s="155" t="s">
        <v>397</v>
      </c>
      <c r="U260" s="163"/>
      <c r="V260" s="147"/>
    </row>
    <row r="261" spans="1:22">
      <c r="A261" s="166">
        <v>28</v>
      </c>
      <c r="B261" s="167">
        <v>10</v>
      </c>
      <c r="C261" s="167">
        <v>101</v>
      </c>
      <c r="D261" s="166">
        <v>829</v>
      </c>
      <c r="E261" s="166">
        <v>90</v>
      </c>
      <c r="F261" s="167">
        <v>6</v>
      </c>
      <c r="G261" s="168">
        <f t="shared" si="35"/>
        <v>5902</v>
      </c>
      <c r="H261" s="166">
        <f t="shared" si="36"/>
        <v>18</v>
      </c>
      <c r="I261" s="166">
        <f t="shared" si="37"/>
        <v>20725</v>
      </c>
      <c r="J261" s="147">
        <v>12</v>
      </c>
      <c r="K261" s="147">
        <v>3</v>
      </c>
      <c r="L261" s="147" t="s">
        <v>657</v>
      </c>
      <c r="M261" s="147">
        <v>9</v>
      </c>
      <c r="N261" s="147">
        <v>2</v>
      </c>
      <c r="O261" s="147" t="s">
        <v>656</v>
      </c>
      <c r="P261" s="147">
        <v>101</v>
      </c>
      <c r="Q261" s="156">
        <v>829</v>
      </c>
      <c r="R261" s="157">
        <v>0</v>
      </c>
      <c r="S261" s="158" t="s">
        <v>400</v>
      </c>
      <c r="T261" s="155" t="s">
        <v>397</v>
      </c>
      <c r="U261" s="163"/>
      <c r="V261" s="147"/>
    </row>
    <row r="262" spans="1:22">
      <c r="A262" s="159">
        <v>29</v>
      </c>
      <c r="B262" s="160">
        <v>1</v>
      </c>
      <c r="C262" s="160">
        <v>104</v>
      </c>
      <c r="D262" s="159">
        <v>1574</v>
      </c>
      <c r="E262" s="159">
        <v>10</v>
      </c>
      <c r="F262" s="160">
        <v>1</v>
      </c>
      <c r="G262" s="161">
        <f t="shared" si="35"/>
        <v>5902</v>
      </c>
      <c r="H262" s="159">
        <f t="shared" si="36"/>
        <v>1</v>
      </c>
      <c r="I262" s="159">
        <f t="shared" si="37"/>
        <v>1574</v>
      </c>
      <c r="J262" s="147">
        <v>12</v>
      </c>
      <c r="K262" s="147">
        <v>3</v>
      </c>
      <c r="L262" s="147" t="s">
        <v>657</v>
      </c>
      <c r="M262" s="147">
        <v>11</v>
      </c>
      <c r="N262" s="147">
        <v>3</v>
      </c>
      <c r="O262" s="147" t="s">
        <v>657</v>
      </c>
      <c r="P262" s="147">
        <v>104</v>
      </c>
      <c r="Q262" s="156">
        <v>6292</v>
      </c>
      <c r="R262" s="157">
        <v>0</v>
      </c>
      <c r="S262" s="158" t="s">
        <v>400</v>
      </c>
      <c r="T262" s="155" t="s">
        <v>399</v>
      </c>
      <c r="U262" s="163"/>
      <c r="V262" s="147"/>
    </row>
    <row r="263" spans="1:22">
      <c r="A263" s="159">
        <v>29</v>
      </c>
      <c r="B263" s="160">
        <v>2</v>
      </c>
      <c r="C263" s="160">
        <v>104</v>
      </c>
      <c r="D263" s="159">
        <v>3147</v>
      </c>
      <c r="E263" s="159">
        <v>20</v>
      </c>
      <c r="F263" s="160">
        <v>2</v>
      </c>
      <c r="G263" s="161">
        <f t="shared" si="35"/>
        <v>5902</v>
      </c>
      <c r="H263" s="159">
        <f t="shared" si="36"/>
        <v>2</v>
      </c>
      <c r="I263" s="159">
        <f t="shared" si="37"/>
        <v>3147</v>
      </c>
      <c r="J263" s="147">
        <v>12</v>
      </c>
      <c r="K263" s="147">
        <v>3</v>
      </c>
      <c r="L263" s="147" t="s">
        <v>657</v>
      </c>
      <c r="M263" s="147">
        <v>11</v>
      </c>
      <c r="N263" s="147">
        <v>3</v>
      </c>
      <c r="O263" s="147" t="s">
        <v>657</v>
      </c>
      <c r="P263" s="147">
        <v>104</v>
      </c>
      <c r="Q263" s="156">
        <v>6578</v>
      </c>
      <c r="R263" s="157">
        <v>0</v>
      </c>
      <c r="S263" s="158" t="s">
        <v>400</v>
      </c>
      <c r="T263" s="155" t="s">
        <v>399</v>
      </c>
      <c r="U263" s="163"/>
      <c r="V263" s="147"/>
    </row>
    <row r="264" spans="1:22">
      <c r="A264" s="159">
        <v>29</v>
      </c>
      <c r="B264" s="160">
        <v>3</v>
      </c>
      <c r="C264" s="160">
        <v>104</v>
      </c>
      <c r="D264" s="159">
        <v>4720</v>
      </c>
      <c r="E264" s="159">
        <v>30</v>
      </c>
      <c r="F264" s="160">
        <v>2</v>
      </c>
      <c r="G264" s="161">
        <f t="shared" si="35"/>
        <v>5902</v>
      </c>
      <c r="H264" s="159">
        <f t="shared" si="36"/>
        <v>3</v>
      </c>
      <c r="I264" s="159">
        <f t="shared" si="37"/>
        <v>4720</v>
      </c>
      <c r="J264" s="147">
        <v>12</v>
      </c>
      <c r="K264" s="147">
        <v>3</v>
      </c>
      <c r="L264" s="147" t="s">
        <v>657</v>
      </c>
      <c r="M264" s="147">
        <v>11</v>
      </c>
      <c r="N264" s="147">
        <v>3</v>
      </c>
      <c r="O264" s="147" t="s">
        <v>657</v>
      </c>
      <c r="P264" s="147">
        <v>104</v>
      </c>
      <c r="Q264" s="156">
        <v>7055</v>
      </c>
      <c r="R264" s="157">
        <v>0</v>
      </c>
      <c r="S264" s="158" t="s">
        <v>400</v>
      </c>
      <c r="T264" s="155" t="s">
        <v>399</v>
      </c>
      <c r="U264" s="163"/>
      <c r="V264" s="147"/>
    </row>
    <row r="265" spans="1:22">
      <c r="A265" s="159">
        <v>29</v>
      </c>
      <c r="B265" s="160">
        <v>4</v>
      </c>
      <c r="C265" s="160">
        <v>104</v>
      </c>
      <c r="D265" s="159">
        <v>6293</v>
      </c>
      <c r="E265" s="159">
        <v>40</v>
      </c>
      <c r="F265" s="160">
        <v>3</v>
      </c>
      <c r="G265" s="161">
        <f t="shared" si="35"/>
        <v>5902</v>
      </c>
      <c r="H265" s="159">
        <f t="shared" si="36"/>
        <v>4</v>
      </c>
      <c r="I265" s="159">
        <f t="shared" si="37"/>
        <v>6293</v>
      </c>
      <c r="J265" s="147">
        <v>12</v>
      </c>
      <c r="K265" s="147">
        <v>3</v>
      </c>
      <c r="L265" s="147" t="s">
        <v>657</v>
      </c>
      <c r="M265" s="147">
        <v>11</v>
      </c>
      <c r="N265" s="147">
        <v>3</v>
      </c>
      <c r="O265" s="147" t="s">
        <v>657</v>
      </c>
      <c r="P265" s="147">
        <v>104</v>
      </c>
      <c r="Q265" s="156">
        <v>7722</v>
      </c>
      <c r="R265" s="157">
        <v>0</v>
      </c>
      <c r="S265" s="158" t="s">
        <v>400</v>
      </c>
      <c r="T265" s="155" t="s">
        <v>399</v>
      </c>
      <c r="U265" s="163"/>
      <c r="V265" s="147"/>
    </row>
    <row r="266" spans="1:22">
      <c r="A266" s="159">
        <v>29</v>
      </c>
      <c r="B266" s="160">
        <v>5</v>
      </c>
      <c r="C266" s="160">
        <v>104</v>
      </c>
      <c r="D266" s="159">
        <v>7866</v>
      </c>
      <c r="E266" s="159">
        <v>50</v>
      </c>
      <c r="F266" s="160">
        <v>3</v>
      </c>
      <c r="G266" s="161">
        <f t="shared" si="35"/>
        <v>5902</v>
      </c>
      <c r="H266" s="159">
        <f t="shared" si="36"/>
        <v>6</v>
      </c>
      <c r="I266" s="159">
        <f t="shared" si="37"/>
        <v>7866</v>
      </c>
      <c r="J266" s="147">
        <v>12</v>
      </c>
      <c r="K266" s="147">
        <v>3</v>
      </c>
      <c r="L266" s="147" t="s">
        <v>657</v>
      </c>
      <c r="M266" s="147">
        <v>11</v>
      </c>
      <c r="N266" s="147">
        <v>3</v>
      </c>
      <c r="O266" s="147" t="s">
        <v>657</v>
      </c>
      <c r="P266" s="147">
        <v>104</v>
      </c>
      <c r="Q266" s="156">
        <v>8581</v>
      </c>
      <c r="R266" s="157">
        <v>0</v>
      </c>
      <c r="S266" s="158" t="s">
        <v>400</v>
      </c>
      <c r="T266" s="155" t="s">
        <v>399</v>
      </c>
      <c r="U266" s="163"/>
      <c r="V266" s="147"/>
    </row>
    <row r="267" spans="1:22">
      <c r="A267" s="159">
        <v>29</v>
      </c>
      <c r="B267" s="160">
        <v>6</v>
      </c>
      <c r="C267" s="160">
        <v>104</v>
      </c>
      <c r="D267" s="159">
        <v>9440</v>
      </c>
      <c r="E267" s="159">
        <v>60</v>
      </c>
      <c r="F267" s="160">
        <v>4</v>
      </c>
      <c r="G267" s="161">
        <f t="shared" si="35"/>
        <v>5902</v>
      </c>
      <c r="H267" s="159">
        <f t="shared" si="36"/>
        <v>8</v>
      </c>
      <c r="I267" s="159">
        <f t="shared" si="37"/>
        <v>9440</v>
      </c>
      <c r="J267" s="147">
        <v>12</v>
      </c>
      <c r="K267" s="147">
        <v>3</v>
      </c>
      <c r="L267" s="147" t="s">
        <v>657</v>
      </c>
      <c r="M267" s="147">
        <v>11</v>
      </c>
      <c r="N267" s="147">
        <v>3</v>
      </c>
      <c r="O267" s="147" t="s">
        <v>657</v>
      </c>
      <c r="P267" s="147">
        <v>104</v>
      </c>
      <c r="Q267" s="156">
        <v>9629</v>
      </c>
      <c r="R267" s="157">
        <v>0</v>
      </c>
      <c r="S267" s="158" t="s">
        <v>400</v>
      </c>
      <c r="T267" s="155" t="s">
        <v>399</v>
      </c>
      <c r="U267" s="163"/>
      <c r="V267" s="147"/>
    </row>
    <row r="268" spans="1:22">
      <c r="A268" s="159">
        <v>29</v>
      </c>
      <c r="B268" s="160">
        <v>7</v>
      </c>
      <c r="C268" s="160">
        <v>104</v>
      </c>
      <c r="D268" s="159">
        <v>11013</v>
      </c>
      <c r="E268" s="159">
        <v>70</v>
      </c>
      <c r="F268" s="160">
        <v>4</v>
      </c>
      <c r="G268" s="161">
        <f t="shared" si="35"/>
        <v>5902</v>
      </c>
      <c r="H268" s="159">
        <f t="shared" si="36"/>
        <v>10</v>
      </c>
      <c r="I268" s="159">
        <f t="shared" si="37"/>
        <v>11013</v>
      </c>
      <c r="J268" s="147">
        <v>12</v>
      </c>
      <c r="K268" s="147">
        <v>3</v>
      </c>
      <c r="L268" s="147" t="s">
        <v>657</v>
      </c>
      <c r="M268" s="147">
        <v>11</v>
      </c>
      <c r="N268" s="147">
        <v>3</v>
      </c>
      <c r="O268" s="147" t="s">
        <v>657</v>
      </c>
      <c r="P268" s="147">
        <v>104</v>
      </c>
      <c r="Q268" s="156">
        <v>10869</v>
      </c>
      <c r="R268" s="157">
        <v>0</v>
      </c>
      <c r="S268" s="158" t="s">
        <v>400</v>
      </c>
      <c r="T268" s="155" t="s">
        <v>399</v>
      </c>
      <c r="U268" s="163"/>
      <c r="V268" s="147"/>
    </row>
    <row r="269" spans="1:22">
      <c r="A269" s="159">
        <v>29</v>
      </c>
      <c r="B269" s="160">
        <v>8</v>
      </c>
      <c r="C269" s="160">
        <v>104</v>
      </c>
      <c r="D269" s="159">
        <v>12586</v>
      </c>
      <c r="E269" s="159">
        <v>80</v>
      </c>
      <c r="F269" s="160">
        <v>5</v>
      </c>
      <c r="G269" s="161">
        <f t="shared" si="35"/>
        <v>5902</v>
      </c>
      <c r="H269" s="159">
        <f t="shared" si="36"/>
        <v>12</v>
      </c>
      <c r="I269" s="159">
        <f t="shared" si="37"/>
        <v>12586</v>
      </c>
      <c r="J269" s="147">
        <v>12</v>
      </c>
      <c r="K269" s="147">
        <v>3</v>
      </c>
      <c r="L269" s="147" t="s">
        <v>657</v>
      </c>
      <c r="M269" s="147">
        <v>11</v>
      </c>
      <c r="N269" s="147">
        <v>3</v>
      </c>
      <c r="O269" s="147" t="s">
        <v>657</v>
      </c>
      <c r="P269" s="147">
        <v>104</v>
      </c>
      <c r="Q269" s="156">
        <v>12299</v>
      </c>
      <c r="R269" s="157">
        <v>0</v>
      </c>
      <c r="S269" s="158" t="s">
        <v>400</v>
      </c>
      <c r="T269" s="155" t="s">
        <v>399</v>
      </c>
      <c r="U269" s="163"/>
      <c r="V269" s="147"/>
    </row>
    <row r="270" spans="1:22">
      <c r="A270" s="159">
        <v>29</v>
      </c>
      <c r="B270" s="160">
        <v>9</v>
      </c>
      <c r="C270" s="160">
        <v>104</v>
      </c>
      <c r="D270" s="159">
        <v>14159</v>
      </c>
      <c r="E270" s="159">
        <v>90</v>
      </c>
      <c r="F270" s="160">
        <v>5</v>
      </c>
      <c r="G270" s="161">
        <f t="shared" si="35"/>
        <v>5902</v>
      </c>
      <c r="H270" s="159">
        <f t="shared" si="36"/>
        <v>15</v>
      </c>
      <c r="I270" s="159">
        <f t="shared" si="37"/>
        <v>14159</v>
      </c>
      <c r="J270" s="147">
        <v>12</v>
      </c>
      <c r="K270" s="147">
        <v>3</v>
      </c>
      <c r="L270" s="147" t="s">
        <v>657</v>
      </c>
      <c r="M270" s="147">
        <v>11</v>
      </c>
      <c r="N270" s="147">
        <v>3</v>
      </c>
      <c r="O270" s="147" t="s">
        <v>657</v>
      </c>
      <c r="P270" s="147">
        <v>104</v>
      </c>
      <c r="Q270" s="156">
        <v>13920</v>
      </c>
      <c r="R270" s="157">
        <v>0</v>
      </c>
      <c r="S270" s="158" t="s">
        <v>400</v>
      </c>
      <c r="T270" s="155" t="s">
        <v>399</v>
      </c>
      <c r="U270" s="163"/>
      <c r="V270" s="147"/>
    </row>
    <row r="271" spans="1:22">
      <c r="A271" s="159">
        <v>29</v>
      </c>
      <c r="B271" s="160">
        <v>10</v>
      </c>
      <c r="C271" s="160">
        <v>104</v>
      </c>
      <c r="D271" s="159">
        <v>15732</v>
      </c>
      <c r="E271" s="159">
        <v>90</v>
      </c>
      <c r="F271" s="160">
        <v>6</v>
      </c>
      <c r="G271" s="161">
        <f t="shared" si="35"/>
        <v>5902</v>
      </c>
      <c r="H271" s="159">
        <f t="shared" si="36"/>
        <v>18</v>
      </c>
      <c r="I271" s="159">
        <f t="shared" si="37"/>
        <v>15732</v>
      </c>
      <c r="J271" s="147">
        <v>12</v>
      </c>
      <c r="K271" s="147">
        <v>3</v>
      </c>
      <c r="L271" s="147" t="s">
        <v>657</v>
      </c>
      <c r="M271" s="147">
        <v>11</v>
      </c>
      <c r="N271" s="147">
        <v>3</v>
      </c>
      <c r="O271" s="147" t="s">
        <v>657</v>
      </c>
      <c r="P271" s="147">
        <v>104</v>
      </c>
      <c r="Q271" s="156">
        <v>15732</v>
      </c>
      <c r="R271" s="157">
        <v>0</v>
      </c>
      <c r="S271" s="158" t="s">
        <v>400</v>
      </c>
      <c r="T271" s="155" t="s">
        <v>399</v>
      </c>
      <c r="U271" s="163"/>
      <c r="V271" s="147"/>
    </row>
    <row r="272" spans="1:22">
      <c r="A272" s="166">
        <v>30</v>
      </c>
      <c r="B272" s="167">
        <v>1</v>
      </c>
      <c r="C272" s="167">
        <v>102</v>
      </c>
      <c r="D272" s="166">
        <v>83</v>
      </c>
      <c r="E272" s="166">
        <v>10</v>
      </c>
      <c r="F272" s="167">
        <v>1</v>
      </c>
      <c r="G272" s="168">
        <f t="shared" si="35"/>
        <v>5902</v>
      </c>
      <c r="H272" s="166">
        <f t="shared" si="36"/>
        <v>1</v>
      </c>
      <c r="I272" s="166">
        <f t="shared" si="37"/>
        <v>2075</v>
      </c>
      <c r="J272" s="147">
        <v>13</v>
      </c>
      <c r="K272" s="147">
        <v>2</v>
      </c>
      <c r="L272" s="147" t="s">
        <v>656</v>
      </c>
      <c r="M272" s="147">
        <v>1</v>
      </c>
      <c r="N272" s="147">
        <v>1</v>
      </c>
      <c r="O272" s="147" t="s">
        <v>655</v>
      </c>
      <c r="P272" s="147">
        <v>102</v>
      </c>
      <c r="Q272" s="156">
        <v>331</v>
      </c>
      <c r="R272" s="157">
        <v>0</v>
      </c>
      <c r="S272" s="158" t="s">
        <v>401</v>
      </c>
      <c r="T272" s="155" t="s">
        <v>391</v>
      </c>
      <c r="U272" s="163"/>
      <c r="V272" s="147"/>
    </row>
    <row r="273" spans="1:22">
      <c r="A273" s="166">
        <v>30</v>
      </c>
      <c r="B273" s="167">
        <v>2</v>
      </c>
      <c r="C273" s="167">
        <v>102</v>
      </c>
      <c r="D273" s="166">
        <v>166</v>
      </c>
      <c r="E273" s="166">
        <v>20</v>
      </c>
      <c r="F273" s="167">
        <v>2</v>
      </c>
      <c r="G273" s="168">
        <f t="shared" si="35"/>
        <v>5902</v>
      </c>
      <c r="H273" s="166">
        <f t="shared" si="36"/>
        <v>2</v>
      </c>
      <c r="I273" s="166">
        <f t="shared" si="37"/>
        <v>4150</v>
      </c>
      <c r="J273" s="147">
        <v>13</v>
      </c>
      <c r="K273" s="147">
        <v>2</v>
      </c>
      <c r="L273" s="147" t="s">
        <v>656</v>
      </c>
      <c r="M273" s="147">
        <v>1</v>
      </c>
      <c r="N273" s="147">
        <v>1</v>
      </c>
      <c r="O273" s="147" t="s">
        <v>655</v>
      </c>
      <c r="P273" s="147">
        <v>102</v>
      </c>
      <c r="Q273" s="156">
        <v>346</v>
      </c>
      <c r="R273" s="157">
        <v>0</v>
      </c>
      <c r="S273" s="158" t="s">
        <v>401</v>
      </c>
      <c r="T273" s="155" t="s">
        <v>391</v>
      </c>
      <c r="U273" s="163"/>
      <c r="V273" s="147"/>
    </row>
    <row r="274" spans="1:22">
      <c r="A274" s="166">
        <v>30</v>
      </c>
      <c r="B274" s="167">
        <v>3</v>
      </c>
      <c r="C274" s="167">
        <v>102</v>
      </c>
      <c r="D274" s="166">
        <v>249</v>
      </c>
      <c r="E274" s="166">
        <v>30</v>
      </c>
      <c r="F274" s="167">
        <v>2</v>
      </c>
      <c r="G274" s="168">
        <f t="shared" si="35"/>
        <v>5902</v>
      </c>
      <c r="H274" s="166">
        <f t="shared" si="36"/>
        <v>3</v>
      </c>
      <c r="I274" s="166">
        <f t="shared" si="37"/>
        <v>6225</v>
      </c>
      <c r="J274" s="147">
        <v>13</v>
      </c>
      <c r="K274" s="147">
        <v>2</v>
      </c>
      <c r="L274" s="147" t="s">
        <v>656</v>
      </c>
      <c r="M274" s="147">
        <v>1</v>
      </c>
      <c r="N274" s="147">
        <v>1</v>
      </c>
      <c r="O274" s="147" t="s">
        <v>655</v>
      </c>
      <c r="P274" s="147">
        <v>102</v>
      </c>
      <c r="Q274" s="156">
        <v>371</v>
      </c>
      <c r="R274" s="157">
        <v>0</v>
      </c>
      <c r="S274" s="158" t="s">
        <v>401</v>
      </c>
      <c r="T274" s="155" t="s">
        <v>391</v>
      </c>
      <c r="U274" s="163"/>
      <c r="V274" s="147"/>
    </row>
    <row r="275" spans="1:22">
      <c r="A275" s="166">
        <v>30</v>
      </c>
      <c r="B275" s="167">
        <v>4</v>
      </c>
      <c r="C275" s="167">
        <v>102</v>
      </c>
      <c r="D275" s="166">
        <v>332</v>
      </c>
      <c r="E275" s="166">
        <v>40</v>
      </c>
      <c r="F275" s="167">
        <v>3</v>
      </c>
      <c r="G275" s="168">
        <f t="shared" si="35"/>
        <v>5902</v>
      </c>
      <c r="H275" s="166">
        <f t="shared" si="36"/>
        <v>4</v>
      </c>
      <c r="I275" s="166">
        <f t="shared" si="37"/>
        <v>8300</v>
      </c>
      <c r="J275" s="147">
        <v>13</v>
      </c>
      <c r="K275" s="147">
        <v>2</v>
      </c>
      <c r="L275" s="147" t="s">
        <v>656</v>
      </c>
      <c r="M275" s="147">
        <v>1</v>
      </c>
      <c r="N275" s="147">
        <v>1</v>
      </c>
      <c r="O275" s="147" t="s">
        <v>655</v>
      </c>
      <c r="P275" s="147">
        <v>102</v>
      </c>
      <c r="Q275" s="156">
        <v>406</v>
      </c>
      <c r="R275" s="157">
        <v>0</v>
      </c>
      <c r="S275" s="158" t="s">
        <v>401</v>
      </c>
      <c r="T275" s="155" t="s">
        <v>391</v>
      </c>
      <c r="U275" s="163"/>
      <c r="V275" s="147"/>
    </row>
    <row r="276" spans="1:22">
      <c r="A276" s="166">
        <v>30</v>
      </c>
      <c r="B276" s="167">
        <v>5</v>
      </c>
      <c r="C276" s="167">
        <v>102</v>
      </c>
      <c r="D276" s="166">
        <v>414</v>
      </c>
      <c r="E276" s="166">
        <v>50</v>
      </c>
      <c r="F276" s="167">
        <v>3</v>
      </c>
      <c r="G276" s="168">
        <f t="shared" si="35"/>
        <v>5902</v>
      </c>
      <c r="H276" s="166">
        <f t="shared" si="36"/>
        <v>6</v>
      </c>
      <c r="I276" s="166">
        <f t="shared" si="37"/>
        <v>10350</v>
      </c>
      <c r="J276" s="147">
        <v>13</v>
      </c>
      <c r="K276" s="147">
        <v>2</v>
      </c>
      <c r="L276" s="147" t="s">
        <v>656</v>
      </c>
      <c r="M276" s="147">
        <v>1</v>
      </c>
      <c r="N276" s="147">
        <v>1</v>
      </c>
      <c r="O276" s="147" t="s">
        <v>655</v>
      </c>
      <c r="P276" s="147">
        <v>102</v>
      </c>
      <c r="Q276" s="156">
        <v>451</v>
      </c>
      <c r="R276" s="157">
        <v>0</v>
      </c>
      <c r="S276" s="158" t="s">
        <v>401</v>
      </c>
      <c r="T276" s="155" t="s">
        <v>391</v>
      </c>
      <c r="U276" s="163"/>
      <c r="V276" s="147"/>
    </row>
    <row r="277" spans="1:22">
      <c r="A277" s="166">
        <v>30</v>
      </c>
      <c r="B277" s="167">
        <v>6</v>
      </c>
      <c r="C277" s="167">
        <v>102</v>
      </c>
      <c r="D277" s="166">
        <v>497</v>
      </c>
      <c r="E277" s="166">
        <v>60</v>
      </c>
      <c r="F277" s="167">
        <v>4</v>
      </c>
      <c r="G277" s="168">
        <f t="shared" si="35"/>
        <v>5902</v>
      </c>
      <c r="H277" s="166">
        <f t="shared" si="36"/>
        <v>8</v>
      </c>
      <c r="I277" s="166">
        <f t="shared" si="37"/>
        <v>12425</v>
      </c>
      <c r="J277" s="147">
        <v>13</v>
      </c>
      <c r="K277" s="147">
        <v>2</v>
      </c>
      <c r="L277" s="147" t="s">
        <v>656</v>
      </c>
      <c r="M277" s="147">
        <v>1</v>
      </c>
      <c r="N277" s="147">
        <v>1</v>
      </c>
      <c r="O277" s="147" t="s">
        <v>655</v>
      </c>
      <c r="P277" s="147">
        <v>102</v>
      </c>
      <c r="Q277" s="156">
        <v>506</v>
      </c>
      <c r="R277" s="157">
        <v>0</v>
      </c>
      <c r="S277" s="158" t="s">
        <v>401</v>
      </c>
      <c r="T277" s="155" t="s">
        <v>391</v>
      </c>
      <c r="U277" s="163"/>
      <c r="V277" s="147"/>
    </row>
    <row r="278" spans="1:22">
      <c r="A278" s="166">
        <v>30</v>
      </c>
      <c r="B278" s="167">
        <v>7</v>
      </c>
      <c r="C278" s="167">
        <v>102</v>
      </c>
      <c r="D278" s="166">
        <v>580</v>
      </c>
      <c r="E278" s="166">
        <v>70</v>
      </c>
      <c r="F278" s="167">
        <v>4</v>
      </c>
      <c r="G278" s="168">
        <f t="shared" si="35"/>
        <v>5902</v>
      </c>
      <c r="H278" s="166">
        <f t="shared" si="36"/>
        <v>10</v>
      </c>
      <c r="I278" s="166">
        <f t="shared" si="37"/>
        <v>14500</v>
      </c>
      <c r="J278" s="147">
        <v>13</v>
      </c>
      <c r="K278" s="147">
        <v>2</v>
      </c>
      <c r="L278" s="147" t="s">
        <v>656</v>
      </c>
      <c r="M278" s="147">
        <v>1</v>
      </c>
      <c r="N278" s="147">
        <v>1</v>
      </c>
      <c r="O278" s="147" t="s">
        <v>655</v>
      </c>
      <c r="P278" s="147">
        <v>102</v>
      </c>
      <c r="Q278" s="156">
        <v>572</v>
      </c>
      <c r="R278" s="157">
        <v>0</v>
      </c>
      <c r="S278" s="158" t="s">
        <v>401</v>
      </c>
      <c r="T278" s="155" t="s">
        <v>391</v>
      </c>
      <c r="U278" s="163"/>
      <c r="V278" s="147"/>
    </row>
    <row r="279" spans="1:22">
      <c r="A279" s="166">
        <v>30</v>
      </c>
      <c r="B279" s="167">
        <v>8</v>
      </c>
      <c r="C279" s="167">
        <v>102</v>
      </c>
      <c r="D279" s="166">
        <v>663</v>
      </c>
      <c r="E279" s="166">
        <v>80</v>
      </c>
      <c r="F279" s="167">
        <v>5</v>
      </c>
      <c r="G279" s="168">
        <f t="shared" si="35"/>
        <v>5902</v>
      </c>
      <c r="H279" s="166">
        <f t="shared" si="36"/>
        <v>12</v>
      </c>
      <c r="I279" s="166">
        <f t="shared" si="37"/>
        <v>16575</v>
      </c>
      <c r="J279" s="147">
        <v>13</v>
      </c>
      <c r="K279" s="147">
        <v>2</v>
      </c>
      <c r="L279" s="147" t="s">
        <v>656</v>
      </c>
      <c r="M279" s="147">
        <v>1</v>
      </c>
      <c r="N279" s="147">
        <v>1</v>
      </c>
      <c r="O279" s="147" t="s">
        <v>655</v>
      </c>
      <c r="P279" s="147">
        <v>102</v>
      </c>
      <c r="Q279" s="156">
        <v>647</v>
      </c>
      <c r="R279" s="157">
        <v>0</v>
      </c>
      <c r="S279" s="158" t="s">
        <v>401</v>
      </c>
      <c r="T279" s="155" t="s">
        <v>391</v>
      </c>
      <c r="U279" s="163"/>
      <c r="V279" s="147"/>
    </row>
    <row r="280" spans="1:22">
      <c r="A280" s="166">
        <v>30</v>
      </c>
      <c r="B280" s="167">
        <v>9</v>
      </c>
      <c r="C280" s="167">
        <v>102</v>
      </c>
      <c r="D280" s="166">
        <v>746</v>
      </c>
      <c r="E280" s="166">
        <v>90</v>
      </c>
      <c r="F280" s="167">
        <v>5</v>
      </c>
      <c r="G280" s="168">
        <f t="shared" si="35"/>
        <v>5902</v>
      </c>
      <c r="H280" s="166">
        <f t="shared" si="36"/>
        <v>15</v>
      </c>
      <c r="I280" s="166">
        <f t="shared" si="37"/>
        <v>18650</v>
      </c>
      <c r="J280" s="147">
        <v>13</v>
      </c>
      <c r="K280" s="147">
        <v>2</v>
      </c>
      <c r="L280" s="147" t="s">
        <v>656</v>
      </c>
      <c r="M280" s="147">
        <v>1</v>
      </c>
      <c r="N280" s="147">
        <v>1</v>
      </c>
      <c r="O280" s="147" t="s">
        <v>655</v>
      </c>
      <c r="P280" s="147">
        <v>102</v>
      </c>
      <c r="Q280" s="156">
        <v>732</v>
      </c>
      <c r="R280" s="157">
        <v>0</v>
      </c>
      <c r="S280" s="158" t="s">
        <v>401</v>
      </c>
      <c r="T280" s="155" t="s">
        <v>391</v>
      </c>
      <c r="U280" s="163"/>
      <c r="V280" s="147"/>
    </row>
    <row r="281" spans="1:22">
      <c r="A281" s="166">
        <v>30</v>
      </c>
      <c r="B281" s="167">
        <v>10</v>
      </c>
      <c r="C281" s="167">
        <v>102</v>
      </c>
      <c r="D281" s="166">
        <v>828</v>
      </c>
      <c r="E281" s="166">
        <v>90</v>
      </c>
      <c r="F281" s="167">
        <v>6</v>
      </c>
      <c r="G281" s="168">
        <f t="shared" si="35"/>
        <v>5902</v>
      </c>
      <c r="H281" s="166">
        <f t="shared" si="36"/>
        <v>18</v>
      </c>
      <c r="I281" s="166">
        <f t="shared" si="37"/>
        <v>20700</v>
      </c>
      <c r="J281" s="147">
        <v>13</v>
      </c>
      <c r="K281" s="147">
        <v>2</v>
      </c>
      <c r="L281" s="147" t="s">
        <v>656</v>
      </c>
      <c r="M281" s="147">
        <v>1</v>
      </c>
      <c r="N281" s="147">
        <v>1</v>
      </c>
      <c r="O281" s="147" t="s">
        <v>655</v>
      </c>
      <c r="P281" s="147">
        <v>102</v>
      </c>
      <c r="Q281" s="156">
        <v>828</v>
      </c>
      <c r="R281" s="157">
        <v>0</v>
      </c>
      <c r="S281" s="158" t="s">
        <v>401</v>
      </c>
      <c r="T281" s="155" t="s">
        <v>391</v>
      </c>
      <c r="U281" s="163"/>
      <c r="V281" s="147"/>
    </row>
    <row r="282" spans="1:22">
      <c r="A282" s="159">
        <v>31</v>
      </c>
      <c r="B282" s="160">
        <v>1</v>
      </c>
      <c r="C282" s="160">
        <v>101</v>
      </c>
      <c r="D282" s="159">
        <v>102</v>
      </c>
      <c r="E282" s="159">
        <v>10</v>
      </c>
      <c r="F282" s="160">
        <v>1</v>
      </c>
      <c r="G282" s="161">
        <f t="shared" si="35"/>
        <v>5902</v>
      </c>
      <c r="H282" s="159">
        <f t="shared" si="36"/>
        <v>1</v>
      </c>
      <c r="I282" s="159">
        <f t="shared" si="37"/>
        <v>2550</v>
      </c>
      <c r="J282" s="147">
        <v>13</v>
      </c>
      <c r="K282" s="147">
        <v>2</v>
      </c>
      <c r="L282" s="147" t="s">
        <v>656</v>
      </c>
      <c r="M282" s="147">
        <v>2</v>
      </c>
      <c r="N282" s="147">
        <v>2</v>
      </c>
      <c r="O282" s="147" t="s">
        <v>656</v>
      </c>
      <c r="P282" s="147">
        <v>101</v>
      </c>
      <c r="Q282" s="156">
        <v>406</v>
      </c>
      <c r="R282" s="157">
        <v>0</v>
      </c>
      <c r="S282" s="158" t="s">
        <v>401</v>
      </c>
      <c r="T282" s="155" t="s">
        <v>392</v>
      </c>
      <c r="U282" s="163"/>
      <c r="V282" s="147"/>
    </row>
    <row r="283" spans="1:22">
      <c r="A283" s="159">
        <v>31</v>
      </c>
      <c r="B283" s="160">
        <v>2</v>
      </c>
      <c r="C283" s="160">
        <v>101</v>
      </c>
      <c r="D283" s="159">
        <v>203</v>
      </c>
      <c r="E283" s="159">
        <v>20</v>
      </c>
      <c r="F283" s="160">
        <v>2</v>
      </c>
      <c r="G283" s="161">
        <f t="shared" si="35"/>
        <v>5902</v>
      </c>
      <c r="H283" s="159">
        <f t="shared" si="36"/>
        <v>2</v>
      </c>
      <c r="I283" s="159">
        <f t="shared" si="37"/>
        <v>5075</v>
      </c>
      <c r="J283" s="147">
        <v>13</v>
      </c>
      <c r="K283" s="147">
        <v>2</v>
      </c>
      <c r="L283" s="147" t="s">
        <v>656</v>
      </c>
      <c r="M283" s="147">
        <v>2</v>
      </c>
      <c r="N283" s="147">
        <v>2</v>
      </c>
      <c r="O283" s="147" t="s">
        <v>656</v>
      </c>
      <c r="P283" s="147">
        <v>101</v>
      </c>
      <c r="Q283" s="156">
        <v>424</v>
      </c>
      <c r="R283" s="157">
        <v>0</v>
      </c>
      <c r="S283" s="158" t="s">
        <v>401</v>
      </c>
      <c r="T283" s="155" t="s">
        <v>392</v>
      </c>
      <c r="U283" s="163"/>
      <c r="V283" s="147"/>
    </row>
    <row r="284" spans="1:22">
      <c r="A284" s="159">
        <v>31</v>
      </c>
      <c r="B284" s="160">
        <v>3</v>
      </c>
      <c r="C284" s="160">
        <v>101</v>
      </c>
      <c r="D284" s="159">
        <v>305</v>
      </c>
      <c r="E284" s="159">
        <v>30</v>
      </c>
      <c r="F284" s="160">
        <v>2</v>
      </c>
      <c r="G284" s="161">
        <f t="shared" si="35"/>
        <v>5902</v>
      </c>
      <c r="H284" s="159">
        <f t="shared" si="36"/>
        <v>3</v>
      </c>
      <c r="I284" s="159">
        <f t="shared" si="37"/>
        <v>7625</v>
      </c>
      <c r="J284" s="147">
        <v>13</v>
      </c>
      <c r="K284" s="147">
        <v>2</v>
      </c>
      <c r="L284" s="147" t="s">
        <v>656</v>
      </c>
      <c r="M284" s="147">
        <v>2</v>
      </c>
      <c r="N284" s="147">
        <v>2</v>
      </c>
      <c r="O284" s="147" t="s">
        <v>656</v>
      </c>
      <c r="P284" s="147">
        <v>101</v>
      </c>
      <c r="Q284" s="156">
        <v>455</v>
      </c>
      <c r="R284" s="157">
        <v>0</v>
      </c>
      <c r="S284" s="158" t="s">
        <v>401</v>
      </c>
      <c r="T284" s="155" t="s">
        <v>392</v>
      </c>
      <c r="U284" s="163"/>
      <c r="V284" s="147"/>
    </row>
    <row r="285" spans="1:22">
      <c r="A285" s="159">
        <v>31</v>
      </c>
      <c r="B285" s="160">
        <v>4</v>
      </c>
      <c r="C285" s="160">
        <v>101</v>
      </c>
      <c r="D285" s="159">
        <v>406</v>
      </c>
      <c r="E285" s="159">
        <v>40</v>
      </c>
      <c r="F285" s="160">
        <v>3</v>
      </c>
      <c r="G285" s="161">
        <f t="shared" si="35"/>
        <v>5902</v>
      </c>
      <c r="H285" s="159">
        <f t="shared" si="36"/>
        <v>4</v>
      </c>
      <c r="I285" s="159">
        <f t="shared" si="37"/>
        <v>10150</v>
      </c>
      <c r="J285" s="147">
        <v>13</v>
      </c>
      <c r="K285" s="147">
        <v>2</v>
      </c>
      <c r="L285" s="147" t="s">
        <v>656</v>
      </c>
      <c r="M285" s="147">
        <v>2</v>
      </c>
      <c r="N285" s="147">
        <v>2</v>
      </c>
      <c r="O285" s="147" t="s">
        <v>656</v>
      </c>
      <c r="P285" s="147">
        <v>101</v>
      </c>
      <c r="Q285" s="156">
        <v>498</v>
      </c>
      <c r="R285" s="157">
        <v>0</v>
      </c>
      <c r="S285" s="158" t="s">
        <v>401</v>
      </c>
      <c r="T285" s="155" t="s">
        <v>392</v>
      </c>
      <c r="U285" s="163"/>
      <c r="V285" s="147"/>
    </row>
    <row r="286" spans="1:22">
      <c r="A286" s="159">
        <v>31</v>
      </c>
      <c r="B286" s="160">
        <v>5</v>
      </c>
      <c r="C286" s="160">
        <v>101</v>
      </c>
      <c r="D286" s="159">
        <v>508</v>
      </c>
      <c r="E286" s="159">
        <v>50</v>
      </c>
      <c r="F286" s="160">
        <v>3</v>
      </c>
      <c r="G286" s="161">
        <f t="shared" si="35"/>
        <v>5902</v>
      </c>
      <c r="H286" s="159">
        <f t="shared" si="36"/>
        <v>6</v>
      </c>
      <c r="I286" s="159">
        <f t="shared" si="37"/>
        <v>12700</v>
      </c>
      <c r="J286" s="147">
        <v>13</v>
      </c>
      <c r="K286" s="147">
        <v>2</v>
      </c>
      <c r="L286" s="147" t="s">
        <v>656</v>
      </c>
      <c r="M286" s="147">
        <v>2</v>
      </c>
      <c r="N286" s="147">
        <v>2</v>
      </c>
      <c r="O286" s="147" t="s">
        <v>656</v>
      </c>
      <c r="P286" s="147">
        <v>101</v>
      </c>
      <c r="Q286" s="156">
        <v>553</v>
      </c>
      <c r="R286" s="157">
        <v>0</v>
      </c>
      <c r="S286" s="158" t="s">
        <v>401</v>
      </c>
      <c r="T286" s="155" t="s">
        <v>392</v>
      </c>
      <c r="U286" s="163"/>
      <c r="V286" s="147"/>
    </row>
    <row r="287" spans="1:22">
      <c r="A287" s="159">
        <v>31</v>
      </c>
      <c r="B287" s="160">
        <v>6</v>
      </c>
      <c r="C287" s="160">
        <v>101</v>
      </c>
      <c r="D287" s="159">
        <v>609</v>
      </c>
      <c r="E287" s="159">
        <v>60</v>
      </c>
      <c r="F287" s="160">
        <v>4</v>
      </c>
      <c r="G287" s="161">
        <f t="shared" si="35"/>
        <v>5902</v>
      </c>
      <c r="H287" s="159">
        <f t="shared" si="36"/>
        <v>8</v>
      </c>
      <c r="I287" s="159">
        <f t="shared" si="37"/>
        <v>15225</v>
      </c>
      <c r="J287" s="147">
        <v>13</v>
      </c>
      <c r="K287" s="147">
        <v>2</v>
      </c>
      <c r="L287" s="147" t="s">
        <v>656</v>
      </c>
      <c r="M287" s="147">
        <v>2</v>
      </c>
      <c r="N287" s="147">
        <v>2</v>
      </c>
      <c r="O287" s="147" t="s">
        <v>656</v>
      </c>
      <c r="P287" s="147">
        <v>101</v>
      </c>
      <c r="Q287" s="156">
        <v>621</v>
      </c>
      <c r="R287" s="157">
        <v>0</v>
      </c>
      <c r="S287" s="158" t="s">
        <v>401</v>
      </c>
      <c r="T287" s="155" t="s">
        <v>392</v>
      </c>
      <c r="U287" s="163"/>
      <c r="V287" s="147"/>
    </row>
    <row r="288" spans="1:22">
      <c r="A288" s="159">
        <v>31</v>
      </c>
      <c r="B288" s="160">
        <v>7</v>
      </c>
      <c r="C288" s="160">
        <v>101</v>
      </c>
      <c r="D288" s="159">
        <v>711</v>
      </c>
      <c r="E288" s="159">
        <v>70</v>
      </c>
      <c r="F288" s="160">
        <v>4</v>
      </c>
      <c r="G288" s="161">
        <f t="shared" si="35"/>
        <v>5902</v>
      </c>
      <c r="H288" s="159">
        <f t="shared" si="36"/>
        <v>10</v>
      </c>
      <c r="I288" s="159">
        <f t="shared" si="37"/>
        <v>17775</v>
      </c>
      <c r="J288" s="147">
        <v>13</v>
      </c>
      <c r="K288" s="147">
        <v>2</v>
      </c>
      <c r="L288" s="147" t="s">
        <v>656</v>
      </c>
      <c r="M288" s="147">
        <v>2</v>
      </c>
      <c r="N288" s="147">
        <v>2</v>
      </c>
      <c r="O288" s="147" t="s">
        <v>656</v>
      </c>
      <c r="P288" s="147">
        <v>101</v>
      </c>
      <c r="Q288" s="156">
        <v>701</v>
      </c>
      <c r="R288" s="157">
        <v>0</v>
      </c>
      <c r="S288" s="158" t="s">
        <v>401</v>
      </c>
      <c r="T288" s="155" t="s">
        <v>392</v>
      </c>
      <c r="U288" s="163"/>
      <c r="V288" s="147"/>
    </row>
    <row r="289" spans="1:22">
      <c r="A289" s="159">
        <v>31</v>
      </c>
      <c r="B289" s="160">
        <v>8</v>
      </c>
      <c r="C289" s="160">
        <v>101</v>
      </c>
      <c r="D289" s="159">
        <v>812</v>
      </c>
      <c r="E289" s="159">
        <v>80</v>
      </c>
      <c r="F289" s="160">
        <v>5</v>
      </c>
      <c r="G289" s="161">
        <f t="shared" si="35"/>
        <v>5902</v>
      </c>
      <c r="H289" s="159">
        <f t="shared" si="36"/>
        <v>12</v>
      </c>
      <c r="I289" s="159">
        <f t="shared" si="37"/>
        <v>20300</v>
      </c>
      <c r="J289" s="147">
        <v>13</v>
      </c>
      <c r="K289" s="147">
        <v>2</v>
      </c>
      <c r="L289" s="147" t="s">
        <v>656</v>
      </c>
      <c r="M289" s="147">
        <v>2</v>
      </c>
      <c r="N289" s="147">
        <v>2</v>
      </c>
      <c r="O289" s="147" t="s">
        <v>656</v>
      </c>
      <c r="P289" s="147">
        <v>101</v>
      </c>
      <c r="Q289" s="156">
        <v>793</v>
      </c>
      <c r="R289" s="157">
        <v>0</v>
      </c>
      <c r="S289" s="158" t="s">
        <v>401</v>
      </c>
      <c r="T289" s="155" t="s">
        <v>392</v>
      </c>
      <c r="U289" s="163"/>
      <c r="V289" s="147"/>
    </row>
    <row r="290" spans="1:22">
      <c r="A290" s="159">
        <v>31</v>
      </c>
      <c r="B290" s="160">
        <v>9</v>
      </c>
      <c r="C290" s="160">
        <v>101</v>
      </c>
      <c r="D290" s="159">
        <v>914</v>
      </c>
      <c r="E290" s="159">
        <v>90</v>
      </c>
      <c r="F290" s="160">
        <v>5</v>
      </c>
      <c r="G290" s="161">
        <f t="shared" si="35"/>
        <v>5902</v>
      </c>
      <c r="H290" s="159">
        <f t="shared" si="36"/>
        <v>15</v>
      </c>
      <c r="I290" s="159">
        <f t="shared" si="37"/>
        <v>22850</v>
      </c>
      <c r="J290" s="147">
        <v>13</v>
      </c>
      <c r="K290" s="147">
        <v>2</v>
      </c>
      <c r="L290" s="147" t="s">
        <v>656</v>
      </c>
      <c r="M290" s="147">
        <v>2</v>
      </c>
      <c r="N290" s="147">
        <v>2</v>
      </c>
      <c r="O290" s="147" t="s">
        <v>656</v>
      </c>
      <c r="P290" s="147">
        <v>101</v>
      </c>
      <c r="Q290" s="156">
        <v>898</v>
      </c>
      <c r="R290" s="157">
        <v>0</v>
      </c>
      <c r="S290" s="158" t="s">
        <v>401</v>
      </c>
      <c r="T290" s="155" t="s">
        <v>392</v>
      </c>
      <c r="U290" s="163"/>
      <c r="V290" s="147"/>
    </row>
    <row r="291" spans="1:22">
      <c r="A291" s="159">
        <v>31</v>
      </c>
      <c r="B291" s="160">
        <v>10</v>
      </c>
      <c r="C291" s="160">
        <v>101</v>
      </c>
      <c r="D291" s="159">
        <v>1015</v>
      </c>
      <c r="E291" s="159">
        <v>90</v>
      </c>
      <c r="F291" s="160">
        <v>6</v>
      </c>
      <c r="G291" s="161">
        <f t="shared" si="35"/>
        <v>5902</v>
      </c>
      <c r="H291" s="159">
        <f t="shared" si="36"/>
        <v>18</v>
      </c>
      <c r="I291" s="159">
        <f t="shared" si="37"/>
        <v>25375</v>
      </c>
      <c r="J291" s="147">
        <v>13</v>
      </c>
      <c r="K291" s="147">
        <v>2</v>
      </c>
      <c r="L291" s="147" t="s">
        <v>656</v>
      </c>
      <c r="M291" s="147">
        <v>2</v>
      </c>
      <c r="N291" s="147">
        <v>2</v>
      </c>
      <c r="O291" s="147" t="s">
        <v>656</v>
      </c>
      <c r="P291" s="147">
        <v>101</v>
      </c>
      <c r="Q291" s="156">
        <v>1015</v>
      </c>
      <c r="R291" s="157">
        <v>0</v>
      </c>
      <c r="S291" s="158" t="s">
        <v>401</v>
      </c>
      <c r="T291" s="155" t="s">
        <v>392</v>
      </c>
      <c r="U291" s="163"/>
      <c r="V291" s="147"/>
    </row>
    <row r="292" spans="1:22">
      <c r="A292" s="166">
        <v>33</v>
      </c>
      <c r="B292" s="167">
        <v>1</v>
      </c>
      <c r="C292" s="167">
        <v>104</v>
      </c>
      <c r="D292" s="166">
        <v>1416</v>
      </c>
      <c r="E292" s="166">
        <v>10</v>
      </c>
      <c r="F292" s="167">
        <v>1</v>
      </c>
      <c r="G292" s="168">
        <f t="shared" si="35"/>
        <v>5902</v>
      </c>
      <c r="H292" s="166">
        <f t="shared" si="36"/>
        <v>1</v>
      </c>
      <c r="I292" s="166">
        <f t="shared" si="37"/>
        <v>1416</v>
      </c>
      <c r="J292" s="147">
        <v>13</v>
      </c>
      <c r="K292" s="147">
        <v>2</v>
      </c>
      <c r="L292" s="147" t="s">
        <v>656</v>
      </c>
      <c r="M292" s="147">
        <v>12</v>
      </c>
      <c r="N292" s="147">
        <v>3</v>
      </c>
      <c r="O292" s="147" t="s">
        <v>657</v>
      </c>
      <c r="P292" s="147">
        <v>104</v>
      </c>
      <c r="Q292" s="156">
        <v>5663</v>
      </c>
      <c r="R292" s="157">
        <v>0</v>
      </c>
      <c r="S292" s="158" t="s">
        <v>401</v>
      </c>
      <c r="T292" s="155" t="s">
        <v>400</v>
      </c>
      <c r="U292" s="163"/>
      <c r="V292" s="147"/>
    </row>
    <row r="293" spans="1:22">
      <c r="A293" s="166">
        <v>33</v>
      </c>
      <c r="B293" s="167">
        <v>2</v>
      </c>
      <c r="C293" s="167">
        <v>104</v>
      </c>
      <c r="D293" s="166">
        <v>2832</v>
      </c>
      <c r="E293" s="166">
        <v>20</v>
      </c>
      <c r="F293" s="167">
        <v>2</v>
      </c>
      <c r="G293" s="168">
        <f t="shared" si="35"/>
        <v>5902</v>
      </c>
      <c r="H293" s="166">
        <f t="shared" si="36"/>
        <v>2</v>
      </c>
      <c r="I293" s="166">
        <f t="shared" si="37"/>
        <v>2832</v>
      </c>
      <c r="J293" s="147">
        <v>13</v>
      </c>
      <c r="K293" s="147">
        <v>2</v>
      </c>
      <c r="L293" s="147" t="s">
        <v>656</v>
      </c>
      <c r="M293" s="147">
        <v>12</v>
      </c>
      <c r="N293" s="147">
        <v>3</v>
      </c>
      <c r="O293" s="147" t="s">
        <v>657</v>
      </c>
      <c r="P293" s="147">
        <v>104</v>
      </c>
      <c r="Q293" s="156">
        <v>5920</v>
      </c>
      <c r="R293" s="157">
        <v>0</v>
      </c>
      <c r="S293" s="158" t="s">
        <v>401</v>
      </c>
      <c r="T293" s="155" t="s">
        <v>400</v>
      </c>
      <c r="U293" s="163"/>
      <c r="V293" s="147"/>
    </row>
    <row r="294" spans="1:22">
      <c r="A294" s="166">
        <v>33</v>
      </c>
      <c r="B294" s="167">
        <v>3</v>
      </c>
      <c r="C294" s="167">
        <v>104</v>
      </c>
      <c r="D294" s="166">
        <v>4248</v>
      </c>
      <c r="E294" s="166">
        <v>30</v>
      </c>
      <c r="F294" s="167">
        <v>2</v>
      </c>
      <c r="G294" s="168">
        <f t="shared" si="35"/>
        <v>5902</v>
      </c>
      <c r="H294" s="166">
        <f t="shared" si="36"/>
        <v>3</v>
      </c>
      <c r="I294" s="166">
        <f t="shared" si="37"/>
        <v>4248</v>
      </c>
      <c r="J294" s="147">
        <v>13</v>
      </c>
      <c r="K294" s="147">
        <v>2</v>
      </c>
      <c r="L294" s="147" t="s">
        <v>656</v>
      </c>
      <c r="M294" s="147">
        <v>12</v>
      </c>
      <c r="N294" s="147">
        <v>3</v>
      </c>
      <c r="O294" s="147" t="s">
        <v>657</v>
      </c>
      <c r="P294" s="147">
        <v>104</v>
      </c>
      <c r="Q294" s="156">
        <v>6349</v>
      </c>
      <c r="R294" s="157">
        <v>0</v>
      </c>
      <c r="S294" s="158" t="s">
        <v>401</v>
      </c>
      <c r="T294" s="155" t="s">
        <v>400</v>
      </c>
      <c r="U294" s="163"/>
      <c r="V294" s="147"/>
    </row>
    <row r="295" spans="1:22">
      <c r="A295" s="166">
        <v>33</v>
      </c>
      <c r="B295" s="167">
        <v>4</v>
      </c>
      <c r="C295" s="167">
        <v>104</v>
      </c>
      <c r="D295" s="166">
        <v>5664</v>
      </c>
      <c r="E295" s="166">
        <v>40</v>
      </c>
      <c r="F295" s="167">
        <v>3</v>
      </c>
      <c r="G295" s="168">
        <f t="shared" si="35"/>
        <v>5902</v>
      </c>
      <c r="H295" s="166">
        <f t="shared" si="36"/>
        <v>4</v>
      </c>
      <c r="I295" s="166">
        <f t="shared" si="37"/>
        <v>5664</v>
      </c>
      <c r="J295" s="147">
        <v>13</v>
      </c>
      <c r="K295" s="147">
        <v>2</v>
      </c>
      <c r="L295" s="147" t="s">
        <v>656</v>
      </c>
      <c r="M295" s="147">
        <v>12</v>
      </c>
      <c r="N295" s="147">
        <v>3</v>
      </c>
      <c r="O295" s="147" t="s">
        <v>657</v>
      </c>
      <c r="P295" s="147">
        <v>104</v>
      </c>
      <c r="Q295" s="156">
        <v>6950</v>
      </c>
      <c r="R295" s="157">
        <v>0</v>
      </c>
      <c r="S295" s="158" t="s">
        <v>401</v>
      </c>
      <c r="T295" s="155" t="s">
        <v>400</v>
      </c>
      <c r="U295" s="163"/>
      <c r="V295" s="147"/>
    </row>
    <row r="296" spans="1:22">
      <c r="A296" s="166">
        <v>33</v>
      </c>
      <c r="B296" s="167">
        <v>5</v>
      </c>
      <c r="C296" s="167">
        <v>104</v>
      </c>
      <c r="D296" s="166">
        <v>7079</v>
      </c>
      <c r="E296" s="166">
        <v>50</v>
      </c>
      <c r="F296" s="167">
        <v>3</v>
      </c>
      <c r="G296" s="168">
        <f t="shared" si="35"/>
        <v>5902</v>
      </c>
      <c r="H296" s="166">
        <f t="shared" si="36"/>
        <v>6</v>
      </c>
      <c r="I296" s="166">
        <f t="shared" si="37"/>
        <v>7079</v>
      </c>
      <c r="J296" s="147">
        <v>13</v>
      </c>
      <c r="K296" s="147">
        <v>2</v>
      </c>
      <c r="L296" s="147" t="s">
        <v>656</v>
      </c>
      <c r="M296" s="147">
        <v>12</v>
      </c>
      <c r="N296" s="147">
        <v>3</v>
      </c>
      <c r="O296" s="147" t="s">
        <v>657</v>
      </c>
      <c r="P296" s="147">
        <v>104</v>
      </c>
      <c r="Q296" s="156">
        <v>7722</v>
      </c>
      <c r="R296" s="157">
        <v>0</v>
      </c>
      <c r="S296" s="158" t="s">
        <v>401</v>
      </c>
      <c r="T296" s="155" t="s">
        <v>400</v>
      </c>
      <c r="U296" s="163"/>
      <c r="V296" s="147"/>
    </row>
    <row r="297" spans="1:22">
      <c r="A297" s="166">
        <v>33</v>
      </c>
      <c r="B297" s="167">
        <v>6</v>
      </c>
      <c r="C297" s="167">
        <v>104</v>
      </c>
      <c r="D297" s="166">
        <v>8495</v>
      </c>
      <c r="E297" s="166">
        <v>60</v>
      </c>
      <c r="F297" s="167">
        <v>4</v>
      </c>
      <c r="G297" s="168">
        <f t="shared" si="35"/>
        <v>5902</v>
      </c>
      <c r="H297" s="166">
        <f t="shared" si="36"/>
        <v>8</v>
      </c>
      <c r="I297" s="166">
        <f t="shared" si="37"/>
        <v>8495</v>
      </c>
      <c r="J297" s="147">
        <v>13</v>
      </c>
      <c r="K297" s="147">
        <v>2</v>
      </c>
      <c r="L297" s="147" t="s">
        <v>656</v>
      </c>
      <c r="M297" s="147">
        <v>12</v>
      </c>
      <c r="N297" s="147">
        <v>3</v>
      </c>
      <c r="O297" s="147" t="s">
        <v>657</v>
      </c>
      <c r="P297" s="147">
        <v>104</v>
      </c>
      <c r="Q297" s="156">
        <v>8666</v>
      </c>
      <c r="R297" s="157">
        <v>0</v>
      </c>
      <c r="S297" s="158" t="s">
        <v>401</v>
      </c>
      <c r="T297" s="155" t="s">
        <v>400</v>
      </c>
      <c r="U297" s="163"/>
      <c r="V297" s="147"/>
    </row>
    <row r="298" spans="1:22">
      <c r="A298" s="166">
        <v>33</v>
      </c>
      <c r="B298" s="167">
        <v>7</v>
      </c>
      <c r="C298" s="167">
        <v>104</v>
      </c>
      <c r="D298" s="166">
        <v>9911</v>
      </c>
      <c r="E298" s="166">
        <v>70</v>
      </c>
      <c r="F298" s="167">
        <v>4</v>
      </c>
      <c r="G298" s="168">
        <f t="shared" si="35"/>
        <v>5902</v>
      </c>
      <c r="H298" s="166">
        <f t="shared" si="36"/>
        <v>10</v>
      </c>
      <c r="I298" s="166">
        <f t="shared" si="37"/>
        <v>9911</v>
      </c>
      <c r="J298" s="147">
        <v>13</v>
      </c>
      <c r="K298" s="147">
        <v>2</v>
      </c>
      <c r="L298" s="147" t="s">
        <v>656</v>
      </c>
      <c r="M298" s="147">
        <v>12</v>
      </c>
      <c r="N298" s="147">
        <v>3</v>
      </c>
      <c r="O298" s="147" t="s">
        <v>657</v>
      </c>
      <c r="P298" s="147">
        <v>104</v>
      </c>
      <c r="Q298" s="156">
        <v>9781</v>
      </c>
      <c r="R298" s="157">
        <v>0</v>
      </c>
      <c r="S298" s="158" t="s">
        <v>401</v>
      </c>
      <c r="T298" s="155" t="s">
        <v>400</v>
      </c>
      <c r="U298" s="163"/>
      <c r="V298" s="147"/>
    </row>
    <row r="299" spans="1:22">
      <c r="A299" s="166">
        <v>33</v>
      </c>
      <c r="B299" s="167">
        <v>8</v>
      </c>
      <c r="C299" s="167">
        <v>104</v>
      </c>
      <c r="D299" s="166">
        <v>11327</v>
      </c>
      <c r="E299" s="166">
        <v>80</v>
      </c>
      <c r="F299" s="167">
        <v>5</v>
      </c>
      <c r="G299" s="168">
        <f t="shared" si="35"/>
        <v>5902</v>
      </c>
      <c r="H299" s="166">
        <f t="shared" si="36"/>
        <v>12</v>
      </c>
      <c r="I299" s="166">
        <f t="shared" si="37"/>
        <v>11327</v>
      </c>
      <c r="J299" s="147">
        <v>13</v>
      </c>
      <c r="K299" s="147">
        <v>2</v>
      </c>
      <c r="L299" s="147" t="s">
        <v>656</v>
      </c>
      <c r="M299" s="147">
        <v>12</v>
      </c>
      <c r="N299" s="147">
        <v>3</v>
      </c>
      <c r="O299" s="147" t="s">
        <v>657</v>
      </c>
      <c r="P299" s="147">
        <v>104</v>
      </c>
      <c r="Q299" s="156">
        <v>11068</v>
      </c>
      <c r="R299" s="157">
        <v>0</v>
      </c>
      <c r="S299" s="158" t="s">
        <v>401</v>
      </c>
      <c r="T299" s="155" t="s">
        <v>400</v>
      </c>
      <c r="U299" s="163"/>
      <c r="V299" s="147"/>
    </row>
    <row r="300" spans="1:22">
      <c r="A300" s="166">
        <v>33</v>
      </c>
      <c r="B300" s="167">
        <v>9</v>
      </c>
      <c r="C300" s="167">
        <v>104</v>
      </c>
      <c r="D300" s="166">
        <v>12743</v>
      </c>
      <c r="E300" s="166">
        <v>90</v>
      </c>
      <c r="F300" s="167">
        <v>5</v>
      </c>
      <c r="G300" s="168">
        <f t="shared" si="35"/>
        <v>5902</v>
      </c>
      <c r="H300" s="166">
        <f t="shared" si="36"/>
        <v>15</v>
      </c>
      <c r="I300" s="166">
        <f t="shared" si="37"/>
        <v>12743</v>
      </c>
      <c r="J300" s="147">
        <v>13</v>
      </c>
      <c r="K300" s="147">
        <v>2</v>
      </c>
      <c r="L300" s="147" t="s">
        <v>656</v>
      </c>
      <c r="M300" s="147">
        <v>12</v>
      </c>
      <c r="N300" s="147">
        <v>3</v>
      </c>
      <c r="O300" s="147" t="s">
        <v>657</v>
      </c>
      <c r="P300" s="147">
        <v>104</v>
      </c>
      <c r="Q300" s="156">
        <v>12527</v>
      </c>
      <c r="R300" s="157">
        <v>0</v>
      </c>
      <c r="S300" s="158" t="s">
        <v>401</v>
      </c>
      <c r="T300" s="155" t="s">
        <v>400</v>
      </c>
      <c r="U300" s="163"/>
      <c r="V300" s="147"/>
    </row>
    <row r="301" spans="1:22">
      <c r="A301" s="166">
        <v>33</v>
      </c>
      <c r="B301" s="167">
        <v>10</v>
      </c>
      <c r="C301" s="167">
        <v>104</v>
      </c>
      <c r="D301" s="166">
        <v>14158</v>
      </c>
      <c r="E301" s="166">
        <v>90</v>
      </c>
      <c r="F301" s="167">
        <v>6</v>
      </c>
      <c r="G301" s="168">
        <f t="shared" si="35"/>
        <v>5902</v>
      </c>
      <c r="H301" s="166">
        <f t="shared" si="36"/>
        <v>18</v>
      </c>
      <c r="I301" s="166">
        <f t="shared" si="37"/>
        <v>14158</v>
      </c>
      <c r="J301" s="147">
        <v>13</v>
      </c>
      <c r="K301" s="147">
        <v>2</v>
      </c>
      <c r="L301" s="147" t="s">
        <v>656</v>
      </c>
      <c r="M301" s="147">
        <v>12</v>
      </c>
      <c r="N301" s="147">
        <v>3</v>
      </c>
      <c r="O301" s="147" t="s">
        <v>657</v>
      </c>
      <c r="P301" s="147">
        <v>104</v>
      </c>
      <c r="Q301" s="156">
        <v>14158</v>
      </c>
      <c r="R301" s="157">
        <v>0</v>
      </c>
      <c r="S301" s="158" t="s">
        <v>401</v>
      </c>
      <c r="T301" s="155" t="s">
        <v>400</v>
      </c>
      <c r="U301" s="163"/>
      <c r="V301" s="147"/>
    </row>
    <row r="302" spans="1:22">
      <c r="A302" s="159">
        <v>36</v>
      </c>
      <c r="B302" s="160">
        <v>1</v>
      </c>
      <c r="C302" s="160">
        <v>102</v>
      </c>
      <c r="D302" s="159">
        <v>102</v>
      </c>
      <c r="E302" s="159">
        <v>10</v>
      </c>
      <c r="F302" s="160">
        <v>1</v>
      </c>
      <c r="G302" s="161">
        <f t="shared" si="35"/>
        <v>5902</v>
      </c>
      <c r="H302" s="159">
        <f t="shared" si="36"/>
        <v>1</v>
      </c>
      <c r="I302" s="159">
        <f t="shared" si="37"/>
        <v>2550</v>
      </c>
      <c r="J302" s="147">
        <v>15</v>
      </c>
      <c r="K302" s="147">
        <v>1</v>
      </c>
      <c r="L302" s="147" t="s">
        <v>655</v>
      </c>
      <c r="M302" s="147">
        <v>1</v>
      </c>
      <c r="N302" s="147">
        <v>1</v>
      </c>
      <c r="O302" s="147" t="s">
        <v>655</v>
      </c>
      <c r="P302" s="147">
        <v>102</v>
      </c>
      <c r="Q302" s="156">
        <v>405</v>
      </c>
      <c r="R302" s="157">
        <v>0</v>
      </c>
      <c r="S302" s="158" t="s">
        <v>403</v>
      </c>
      <c r="T302" s="155" t="s">
        <v>391</v>
      </c>
      <c r="U302" s="163"/>
      <c r="V302" s="147"/>
    </row>
    <row r="303" spans="1:22">
      <c r="A303" s="159">
        <v>36</v>
      </c>
      <c r="B303" s="160">
        <v>2</v>
      </c>
      <c r="C303" s="160">
        <v>102</v>
      </c>
      <c r="D303" s="159">
        <v>203</v>
      </c>
      <c r="E303" s="159">
        <v>20</v>
      </c>
      <c r="F303" s="160">
        <v>2</v>
      </c>
      <c r="G303" s="161">
        <f t="shared" si="35"/>
        <v>5902</v>
      </c>
      <c r="H303" s="159">
        <f t="shared" si="36"/>
        <v>2</v>
      </c>
      <c r="I303" s="159">
        <f t="shared" si="37"/>
        <v>5075</v>
      </c>
      <c r="J303" s="147">
        <v>15</v>
      </c>
      <c r="K303" s="147">
        <v>1</v>
      </c>
      <c r="L303" s="147" t="s">
        <v>655</v>
      </c>
      <c r="M303" s="147">
        <v>1</v>
      </c>
      <c r="N303" s="147">
        <v>1</v>
      </c>
      <c r="O303" s="147" t="s">
        <v>655</v>
      </c>
      <c r="P303" s="147">
        <v>102</v>
      </c>
      <c r="Q303" s="156">
        <v>423</v>
      </c>
      <c r="R303" s="157">
        <v>0</v>
      </c>
      <c r="S303" s="158" t="s">
        <v>403</v>
      </c>
      <c r="T303" s="155" t="s">
        <v>391</v>
      </c>
      <c r="U303" s="163"/>
      <c r="V303" s="147"/>
    </row>
    <row r="304" spans="1:22">
      <c r="A304" s="159">
        <v>36</v>
      </c>
      <c r="B304" s="160">
        <v>3</v>
      </c>
      <c r="C304" s="160">
        <v>102</v>
      </c>
      <c r="D304" s="159">
        <v>304</v>
      </c>
      <c r="E304" s="159">
        <v>30</v>
      </c>
      <c r="F304" s="160">
        <v>2</v>
      </c>
      <c r="G304" s="161">
        <f t="shared" si="35"/>
        <v>5902</v>
      </c>
      <c r="H304" s="159">
        <f t="shared" si="36"/>
        <v>3</v>
      </c>
      <c r="I304" s="159">
        <f t="shared" si="37"/>
        <v>7600</v>
      </c>
      <c r="J304" s="147">
        <v>15</v>
      </c>
      <c r="K304" s="147">
        <v>1</v>
      </c>
      <c r="L304" s="147" t="s">
        <v>655</v>
      </c>
      <c r="M304" s="147">
        <v>1</v>
      </c>
      <c r="N304" s="147">
        <v>1</v>
      </c>
      <c r="O304" s="147" t="s">
        <v>655</v>
      </c>
      <c r="P304" s="147">
        <v>102</v>
      </c>
      <c r="Q304" s="156">
        <v>454</v>
      </c>
      <c r="R304" s="157">
        <v>0</v>
      </c>
      <c r="S304" s="158" t="s">
        <v>403</v>
      </c>
      <c r="T304" s="155" t="s">
        <v>391</v>
      </c>
      <c r="U304" s="163"/>
      <c r="V304" s="147"/>
    </row>
    <row r="305" spans="1:22">
      <c r="A305" s="159">
        <v>36</v>
      </c>
      <c r="B305" s="160">
        <v>4</v>
      </c>
      <c r="C305" s="160">
        <v>102</v>
      </c>
      <c r="D305" s="159">
        <v>405</v>
      </c>
      <c r="E305" s="159">
        <v>40</v>
      </c>
      <c r="F305" s="160">
        <v>3</v>
      </c>
      <c r="G305" s="161">
        <f t="shared" si="35"/>
        <v>5902</v>
      </c>
      <c r="H305" s="159">
        <f t="shared" si="36"/>
        <v>4</v>
      </c>
      <c r="I305" s="159">
        <f t="shared" si="37"/>
        <v>10125</v>
      </c>
      <c r="J305" s="147">
        <v>15</v>
      </c>
      <c r="K305" s="147">
        <v>1</v>
      </c>
      <c r="L305" s="147" t="s">
        <v>655</v>
      </c>
      <c r="M305" s="147">
        <v>1</v>
      </c>
      <c r="N305" s="147">
        <v>1</v>
      </c>
      <c r="O305" s="147" t="s">
        <v>655</v>
      </c>
      <c r="P305" s="147">
        <v>102</v>
      </c>
      <c r="Q305" s="156">
        <v>497</v>
      </c>
      <c r="R305" s="157">
        <v>0</v>
      </c>
      <c r="S305" s="158" t="s">
        <v>403</v>
      </c>
      <c r="T305" s="155" t="s">
        <v>391</v>
      </c>
      <c r="U305" s="163"/>
      <c r="V305" s="147"/>
    </row>
    <row r="306" spans="1:22">
      <c r="A306" s="159">
        <v>36</v>
      </c>
      <c r="B306" s="160">
        <v>5</v>
      </c>
      <c r="C306" s="160">
        <v>102</v>
      </c>
      <c r="D306" s="159">
        <v>506</v>
      </c>
      <c r="E306" s="159">
        <v>50</v>
      </c>
      <c r="F306" s="160">
        <v>3</v>
      </c>
      <c r="G306" s="161">
        <f t="shared" si="35"/>
        <v>5902</v>
      </c>
      <c r="H306" s="159">
        <f t="shared" si="36"/>
        <v>6</v>
      </c>
      <c r="I306" s="159">
        <f t="shared" si="37"/>
        <v>12650</v>
      </c>
      <c r="J306" s="147">
        <v>15</v>
      </c>
      <c r="K306" s="147">
        <v>1</v>
      </c>
      <c r="L306" s="147" t="s">
        <v>655</v>
      </c>
      <c r="M306" s="147">
        <v>1</v>
      </c>
      <c r="N306" s="147">
        <v>1</v>
      </c>
      <c r="O306" s="147" t="s">
        <v>655</v>
      </c>
      <c r="P306" s="147">
        <v>102</v>
      </c>
      <c r="Q306" s="156">
        <v>552</v>
      </c>
      <c r="R306" s="157">
        <v>0</v>
      </c>
      <c r="S306" s="158" t="s">
        <v>403</v>
      </c>
      <c r="T306" s="155" t="s">
        <v>391</v>
      </c>
      <c r="U306" s="163"/>
      <c r="V306" s="147"/>
    </row>
    <row r="307" spans="1:22">
      <c r="A307" s="159">
        <v>36</v>
      </c>
      <c r="B307" s="160">
        <v>6</v>
      </c>
      <c r="C307" s="160">
        <v>102</v>
      </c>
      <c r="D307" s="159">
        <v>608</v>
      </c>
      <c r="E307" s="159">
        <v>60</v>
      </c>
      <c r="F307" s="160">
        <v>4</v>
      </c>
      <c r="G307" s="161">
        <f t="shared" si="35"/>
        <v>5902</v>
      </c>
      <c r="H307" s="159">
        <f t="shared" si="36"/>
        <v>8</v>
      </c>
      <c r="I307" s="159">
        <f t="shared" si="37"/>
        <v>15200</v>
      </c>
      <c r="J307" s="147">
        <v>15</v>
      </c>
      <c r="K307" s="147">
        <v>1</v>
      </c>
      <c r="L307" s="147" t="s">
        <v>655</v>
      </c>
      <c r="M307" s="147">
        <v>1</v>
      </c>
      <c r="N307" s="147">
        <v>1</v>
      </c>
      <c r="O307" s="147" t="s">
        <v>655</v>
      </c>
      <c r="P307" s="147">
        <v>102</v>
      </c>
      <c r="Q307" s="156">
        <v>619</v>
      </c>
      <c r="R307" s="157">
        <v>0</v>
      </c>
      <c r="S307" s="158" t="s">
        <v>403</v>
      </c>
      <c r="T307" s="155" t="s">
        <v>391</v>
      </c>
      <c r="U307" s="163"/>
      <c r="V307" s="147"/>
    </row>
    <row r="308" spans="1:22">
      <c r="A308" s="159">
        <v>36</v>
      </c>
      <c r="B308" s="160">
        <v>7</v>
      </c>
      <c r="C308" s="160">
        <v>102</v>
      </c>
      <c r="D308" s="159">
        <v>709</v>
      </c>
      <c r="E308" s="159">
        <v>70</v>
      </c>
      <c r="F308" s="160">
        <v>4</v>
      </c>
      <c r="G308" s="161">
        <f t="shared" si="35"/>
        <v>5902</v>
      </c>
      <c r="H308" s="159">
        <f t="shared" si="36"/>
        <v>10</v>
      </c>
      <c r="I308" s="159">
        <f t="shared" si="37"/>
        <v>17725</v>
      </c>
      <c r="J308" s="147">
        <v>15</v>
      </c>
      <c r="K308" s="147">
        <v>1</v>
      </c>
      <c r="L308" s="147" t="s">
        <v>655</v>
      </c>
      <c r="M308" s="147">
        <v>1</v>
      </c>
      <c r="N308" s="147">
        <v>1</v>
      </c>
      <c r="O308" s="147" t="s">
        <v>655</v>
      </c>
      <c r="P308" s="147">
        <v>102</v>
      </c>
      <c r="Q308" s="156">
        <v>699</v>
      </c>
      <c r="R308" s="157">
        <v>0</v>
      </c>
      <c r="S308" s="158" t="s">
        <v>403</v>
      </c>
      <c r="T308" s="155" t="s">
        <v>391</v>
      </c>
      <c r="U308" s="163"/>
      <c r="V308" s="147"/>
    </row>
    <row r="309" spans="1:22">
      <c r="A309" s="159">
        <v>36</v>
      </c>
      <c r="B309" s="160">
        <v>8</v>
      </c>
      <c r="C309" s="160">
        <v>102</v>
      </c>
      <c r="D309" s="159">
        <v>810</v>
      </c>
      <c r="E309" s="159">
        <v>80</v>
      </c>
      <c r="F309" s="160">
        <v>5</v>
      </c>
      <c r="G309" s="161">
        <f t="shared" si="35"/>
        <v>5902</v>
      </c>
      <c r="H309" s="159">
        <f t="shared" si="36"/>
        <v>12</v>
      </c>
      <c r="I309" s="159">
        <f t="shared" si="37"/>
        <v>20250</v>
      </c>
      <c r="J309" s="147">
        <v>15</v>
      </c>
      <c r="K309" s="147">
        <v>1</v>
      </c>
      <c r="L309" s="147" t="s">
        <v>655</v>
      </c>
      <c r="M309" s="147">
        <v>1</v>
      </c>
      <c r="N309" s="147">
        <v>1</v>
      </c>
      <c r="O309" s="147" t="s">
        <v>655</v>
      </c>
      <c r="P309" s="147">
        <v>102</v>
      </c>
      <c r="Q309" s="156">
        <v>791</v>
      </c>
      <c r="R309" s="157">
        <v>0</v>
      </c>
      <c r="S309" s="158" t="s">
        <v>403</v>
      </c>
      <c r="T309" s="155" t="s">
        <v>391</v>
      </c>
      <c r="U309" s="163"/>
      <c r="V309" s="147"/>
    </row>
    <row r="310" spans="1:22">
      <c r="A310" s="159">
        <v>36</v>
      </c>
      <c r="B310" s="160">
        <v>9</v>
      </c>
      <c r="C310" s="160">
        <v>102</v>
      </c>
      <c r="D310" s="159">
        <v>911</v>
      </c>
      <c r="E310" s="159">
        <v>90</v>
      </c>
      <c r="F310" s="160">
        <v>5</v>
      </c>
      <c r="G310" s="161">
        <f t="shared" si="35"/>
        <v>5902</v>
      </c>
      <c r="H310" s="159">
        <f t="shared" si="36"/>
        <v>15</v>
      </c>
      <c r="I310" s="159">
        <f t="shared" si="37"/>
        <v>22775</v>
      </c>
      <c r="J310" s="147">
        <v>15</v>
      </c>
      <c r="K310" s="147">
        <v>1</v>
      </c>
      <c r="L310" s="147" t="s">
        <v>655</v>
      </c>
      <c r="M310" s="147">
        <v>1</v>
      </c>
      <c r="N310" s="147">
        <v>1</v>
      </c>
      <c r="O310" s="147" t="s">
        <v>655</v>
      </c>
      <c r="P310" s="147">
        <v>102</v>
      </c>
      <c r="Q310" s="156">
        <v>896</v>
      </c>
      <c r="R310" s="157">
        <v>0</v>
      </c>
      <c r="S310" s="158" t="s">
        <v>403</v>
      </c>
      <c r="T310" s="155" t="s">
        <v>391</v>
      </c>
      <c r="U310" s="163"/>
      <c r="V310" s="147"/>
    </row>
    <row r="311" spans="1:22">
      <c r="A311" s="159">
        <v>36</v>
      </c>
      <c r="B311" s="160">
        <v>10</v>
      </c>
      <c r="C311" s="160">
        <v>102</v>
      </c>
      <c r="D311" s="159">
        <v>1012</v>
      </c>
      <c r="E311" s="159">
        <v>90</v>
      </c>
      <c r="F311" s="160">
        <v>6</v>
      </c>
      <c r="G311" s="161">
        <f t="shared" si="35"/>
        <v>5902</v>
      </c>
      <c r="H311" s="159">
        <f t="shared" si="36"/>
        <v>18</v>
      </c>
      <c r="I311" s="159">
        <f t="shared" si="37"/>
        <v>25300</v>
      </c>
      <c r="J311" s="147">
        <v>15</v>
      </c>
      <c r="K311" s="147">
        <v>1</v>
      </c>
      <c r="L311" s="147" t="s">
        <v>655</v>
      </c>
      <c r="M311" s="147">
        <v>1</v>
      </c>
      <c r="N311" s="147">
        <v>1</v>
      </c>
      <c r="O311" s="147" t="s">
        <v>655</v>
      </c>
      <c r="P311" s="147">
        <v>102</v>
      </c>
      <c r="Q311" s="156">
        <v>1012</v>
      </c>
      <c r="R311" s="157">
        <v>0</v>
      </c>
      <c r="S311" s="158" t="s">
        <v>403</v>
      </c>
      <c r="T311" s="155" t="s">
        <v>391</v>
      </c>
      <c r="U311" s="163"/>
      <c r="V311" s="147"/>
    </row>
    <row r="312" spans="1:22">
      <c r="A312" s="166">
        <v>37</v>
      </c>
      <c r="B312" s="167">
        <v>1</v>
      </c>
      <c r="C312" s="167">
        <v>101</v>
      </c>
      <c r="D312" s="166">
        <v>83</v>
      </c>
      <c r="E312" s="166">
        <v>10</v>
      </c>
      <c r="F312" s="167">
        <v>1</v>
      </c>
      <c r="G312" s="168">
        <f t="shared" si="35"/>
        <v>5902</v>
      </c>
      <c r="H312" s="166">
        <f t="shared" si="36"/>
        <v>1</v>
      </c>
      <c r="I312" s="166">
        <f t="shared" si="37"/>
        <v>2075</v>
      </c>
      <c r="J312" s="147">
        <v>15</v>
      </c>
      <c r="K312" s="147">
        <v>1</v>
      </c>
      <c r="L312" s="147" t="s">
        <v>655</v>
      </c>
      <c r="M312" s="147">
        <v>9</v>
      </c>
      <c r="N312" s="147">
        <v>2</v>
      </c>
      <c r="O312" s="147" t="s">
        <v>656</v>
      </c>
      <c r="P312" s="147">
        <v>101</v>
      </c>
      <c r="Q312" s="156">
        <v>331</v>
      </c>
      <c r="R312" s="157">
        <v>0</v>
      </c>
      <c r="S312" s="158" t="s">
        <v>403</v>
      </c>
      <c r="T312" s="155" t="s">
        <v>397</v>
      </c>
      <c r="U312" s="163"/>
      <c r="V312" s="147"/>
    </row>
    <row r="313" spans="1:22">
      <c r="A313" s="166">
        <v>37</v>
      </c>
      <c r="B313" s="167">
        <v>2</v>
      </c>
      <c r="C313" s="167">
        <v>101</v>
      </c>
      <c r="D313" s="166">
        <v>166</v>
      </c>
      <c r="E313" s="166">
        <v>20</v>
      </c>
      <c r="F313" s="167">
        <v>2</v>
      </c>
      <c r="G313" s="168">
        <f t="shared" si="35"/>
        <v>5902</v>
      </c>
      <c r="H313" s="166">
        <f t="shared" si="36"/>
        <v>2</v>
      </c>
      <c r="I313" s="166">
        <f t="shared" si="37"/>
        <v>4150</v>
      </c>
      <c r="J313" s="147">
        <v>15</v>
      </c>
      <c r="K313" s="147">
        <v>1</v>
      </c>
      <c r="L313" s="147" t="s">
        <v>655</v>
      </c>
      <c r="M313" s="147">
        <v>9</v>
      </c>
      <c r="N313" s="147">
        <v>2</v>
      </c>
      <c r="O313" s="147" t="s">
        <v>656</v>
      </c>
      <c r="P313" s="147">
        <v>101</v>
      </c>
      <c r="Q313" s="156">
        <v>347</v>
      </c>
      <c r="R313" s="157">
        <v>0</v>
      </c>
      <c r="S313" s="158" t="s">
        <v>403</v>
      </c>
      <c r="T313" s="155" t="s">
        <v>397</v>
      </c>
      <c r="U313" s="163"/>
      <c r="V313" s="147"/>
    </row>
    <row r="314" spans="1:22">
      <c r="A314" s="166">
        <v>37</v>
      </c>
      <c r="B314" s="167">
        <v>3</v>
      </c>
      <c r="C314" s="167">
        <v>101</v>
      </c>
      <c r="D314" s="166">
        <v>249</v>
      </c>
      <c r="E314" s="166">
        <v>30</v>
      </c>
      <c r="F314" s="167">
        <v>2</v>
      </c>
      <c r="G314" s="168">
        <f t="shared" si="35"/>
        <v>5902</v>
      </c>
      <c r="H314" s="166">
        <f t="shared" si="36"/>
        <v>3</v>
      </c>
      <c r="I314" s="166">
        <f t="shared" si="37"/>
        <v>6225</v>
      </c>
      <c r="J314" s="147">
        <v>15</v>
      </c>
      <c r="K314" s="147">
        <v>1</v>
      </c>
      <c r="L314" s="147" t="s">
        <v>655</v>
      </c>
      <c r="M314" s="147">
        <v>9</v>
      </c>
      <c r="N314" s="147">
        <v>2</v>
      </c>
      <c r="O314" s="147" t="s">
        <v>656</v>
      </c>
      <c r="P314" s="147">
        <v>101</v>
      </c>
      <c r="Q314" s="156">
        <v>372</v>
      </c>
      <c r="R314" s="157">
        <v>0</v>
      </c>
      <c r="S314" s="158" t="s">
        <v>403</v>
      </c>
      <c r="T314" s="155" t="s">
        <v>397</v>
      </c>
      <c r="U314" s="163"/>
      <c r="V314" s="147"/>
    </row>
    <row r="315" spans="1:22">
      <c r="A315" s="166">
        <v>37</v>
      </c>
      <c r="B315" s="167">
        <v>4</v>
      </c>
      <c r="C315" s="167">
        <v>101</v>
      </c>
      <c r="D315" s="166">
        <v>332</v>
      </c>
      <c r="E315" s="166">
        <v>40</v>
      </c>
      <c r="F315" s="167">
        <v>3</v>
      </c>
      <c r="G315" s="168">
        <f t="shared" si="35"/>
        <v>5902</v>
      </c>
      <c r="H315" s="166">
        <f t="shared" si="36"/>
        <v>4</v>
      </c>
      <c r="I315" s="166">
        <f t="shared" si="37"/>
        <v>8300</v>
      </c>
      <c r="J315" s="147">
        <v>15</v>
      </c>
      <c r="K315" s="147">
        <v>1</v>
      </c>
      <c r="L315" s="147" t="s">
        <v>655</v>
      </c>
      <c r="M315" s="147">
        <v>9</v>
      </c>
      <c r="N315" s="147">
        <v>2</v>
      </c>
      <c r="O315" s="147" t="s">
        <v>656</v>
      </c>
      <c r="P315" s="147">
        <v>101</v>
      </c>
      <c r="Q315" s="156">
        <v>407</v>
      </c>
      <c r="R315" s="157">
        <v>0</v>
      </c>
      <c r="S315" s="158" t="s">
        <v>403</v>
      </c>
      <c r="T315" s="155" t="s">
        <v>397</v>
      </c>
      <c r="U315" s="163"/>
      <c r="V315" s="147"/>
    </row>
    <row r="316" spans="1:22">
      <c r="A316" s="166">
        <v>37</v>
      </c>
      <c r="B316" s="167">
        <v>5</v>
      </c>
      <c r="C316" s="167">
        <v>101</v>
      </c>
      <c r="D316" s="166">
        <v>415</v>
      </c>
      <c r="E316" s="166">
        <v>50</v>
      </c>
      <c r="F316" s="167">
        <v>3</v>
      </c>
      <c r="G316" s="168">
        <f t="shared" si="35"/>
        <v>5902</v>
      </c>
      <c r="H316" s="166">
        <f t="shared" si="36"/>
        <v>6</v>
      </c>
      <c r="I316" s="166">
        <f t="shared" si="37"/>
        <v>10375</v>
      </c>
      <c r="J316" s="147">
        <v>15</v>
      </c>
      <c r="K316" s="147">
        <v>1</v>
      </c>
      <c r="L316" s="147" t="s">
        <v>655</v>
      </c>
      <c r="M316" s="147">
        <v>9</v>
      </c>
      <c r="N316" s="147">
        <v>2</v>
      </c>
      <c r="O316" s="147" t="s">
        <v>656</v>
      </c>
      <c r="P316" s="147">
        <v>101</v>
      </c>
      <c r="Q316" s="156">
        <v>452</v>
      </c>
      <c r="R316" s="157">
        <v>0</v>
      </c>
      <c r="S316" s="158" t="s">
        <v>403</v>
      </c>
      <c r="T316" s="155" t="s">
        <v>397</v>
      </c>
      <c r="U316" s="163"/>
      <c r="V316" s="147"/>
    </row>
    <row r="317" spans="1:22">
      <c r="A317" s="166">
        <v>37</v>
      </c>
      <c r="B317" s="167">
        <v>6</v>
      </c>
      <c r="C317" s="167">
        <v>101</v>
      </c>
      <c r="D317" s="166">
        <v>498</v>
      </c>
      <c r="E317" s="166">
        <v>60</v>
      </c>
      <c r="F317" s="167">
        <v>4</v>
      </c>
      <c r="G317" s="168">
        <f t="shared" si="35"/>
        <v>5902</v>
      </c>
      <c r="H317" s="166">
        <f t="shared" si="36"/>
        <v>8</v>
      </c>
      <c r="I317" s="166">
        <f t="shared" si="37"/>
        <v>12450</v>
      </c>
      <c r="J317" s="147">
        <v>15</v>
      </c>
      <c r="K317" s="147">
        <v>1</v>
      </c>
      <c r="L317" s="147" t="s">
        <v>655</v>
      </c>
      <c r="M317" s="147">
        <v>9</v>
      </c>
      <c r="N317" s="147">
        <v>2</v>
      </c>
      <c r="O317" s="147" t="s">
        <v>656</v>
      </c>
      <c r="P317" s="147">
        <v>101</v>
      </c>
      <c r="Q317" s="156">
        <v>507</v>
      </c>
      <c r="R317" s="157">
        <v>0</v>
      </c>
      <c r="S317" s="158" t="s">
        <v>403</v>
      </c>
      <c r="T317" s="155" t="s">
        <v>397</v>
      </c>
      <c r="U317" s="163"/>
      <c r="V317" s="147"/>
    </row>
    <row r="318" spans="1:22">
      <c r="A318" s="166">
        <v>37</v>
      </c>
      <c r="B318" s="167">
        <v>7</v>
      </c>
      <c r="C318" s="167">
        <v>101</v>
      </c>
      <c r="D318" s="166">
        <v>581</v>
      </c>
      <c r="E318" s="166">
        <v>70</v>
      </c>
      <c r="F318" s="167">
        <v>4</v>
      </c>
      <c r="G318" s="168">
        <f t="shared" si="35"/>
        <v>5902</v>
      </c>
      <c r="H318" s="166">
        <f t="shared" si="36"/>
        <v>10</v>
      </c>
      <c r="I318" s="166">
        <f t="shared" si="37"/>
        <v>14525</v>
      </c>
      <c r="J318" s="147">
        <v>15</v>
      </c>
      <c r="K318" s="147">
        <v>1</v>
      </c>
      <c r="L318" s="147" t="s">
        <v>655</v>
      </c>
      <c r="M318" s="147">
        <v>9</v>
      </c>
      <c r="N318" s="147">
        <v>2</v>
      </c>
      <c r="O318" s="147" t="s">
        <v>656</v>
      </c>
      <c r="P318" s="147">
        <v>101</v>
      </c>
      <c r="Q318" s="156">
        <v>573</v>
      </c>
      <c r="R318" s="157">
        <v>0</v>
      </c>
      <c r="S318" s="158" t="s">
        <v>403</v>
      </c>
      <c r="T318" s="155" t="s">
        <v>397</v>
      </c>
      <c r="U318" s="163"/>
      <c r="V318" s="147"/>
    </row>
    <row r="319" spans="1:22">
      <c r="A319" s="166">
        <v>37</v>
      </c>
      <c r="B319" s="167">
        <v>8</v>
      </c>
      <c r="C319" s="167">
        <v>101</v>
      </c>
      <c r="D319" s="166">
        <v>664</v>
      </c>
      <c r="E319" s="166">
        <v>80</v>
      </c>
      <c r="F319" s="167">
        <v>5</v>
      </c>
      <c r="G319" s="168">
        <f t="shared" si="35"/>
        <v>5902</v>
      </c>
      <c r="H319" s="166">
        <f t="shared" si="36"/>
        <v>12</v>
      </c>
      <c r="I319" s="166">
        <f t="shared" si="37"/>
        <v>16600</v>
      </c>
      <c r="J319" s="147">
        <v>15</v>
      </c>
      <c r="K319" s="147">
        <v>1</v>
      </c>
      <c r="L319" s="147" t="s">
        <v>655</v>
      </c>
      <c r="M319" s="147">
        <v>9</v>
      </c>
      <c r="N319" s="147">
        <v>2</v>
      </c>
      <c r="O319" s="147" t="s">
        <v>656</v>
      </c>
      <c r="P319" s="147">
        <v>101</v>
      </c>
      <c r="Q319" s="156">
        <v>648</v>
      </c>
      <c r="R319" s="157">
        <v>0</v>
      </c>
      <c r="S319" s="158" t="s">
        <v>403</v>
      </c>
      <c r="T319" s="155" t="s">
        <v>397</v>
      </c>
      <c r="U319" s="163"/>
      <c r="V319" s="147"/>
    </row>
    <row r="320" spans="1:22">
      <c r="A320" s="166">
        <v>37</v>
      </c>
      <c r="B320" s="167">
        <v>9</v>
      </c>
      <c r="C320" s="167">
        <v>101</v>
      </c>
      <c r="D320" s="166">
        <v>747</v>
      </c>
      <c r="E320" s="166">
        <v>90</v>
      </c>
      <c r="F320" s="167">
        <v>5</v>
      </c>
      <c r="G320" s="168">
        <f t="shared" si="35"/>
        <v>5902</v>
      </c>
      <c r="H320" s="166">
        <f t="shared" si="36"/>
        <v>15</v>
      </c>
      <c r="I320" s="166">
        <f t="shared" si="37"/>
        <v>18675</v>
      </c>
      <c r="J320" s="147">
        <v>15</v>
      </c>
      <c r="K320" s="147">
        <v>1</v>
      </c>
      <c r="L320" s="147" t="s">
        <v>655</v>
      </c>
      <c r="M320" s="147">
        <v>9</v>
      </c>
      <c r="N320" s="147">
        <v>2</v>
      </c>
      <c r="O320" s="147" t="s">
        <v>656</v>
      </c>
      <c r="P320" s="147">
        <v>101</v>
      </c>
      <c r="Q320" s="156">
        <v>734</v>
      </c>
      <c r="R320" s="157">
        <v>0</v>
      </c>
      <c r="S320" s="158" t="s">
        <v>403</v>
      </c>
      <c r="T320" s="155" t="s">
        <v>397</v>
      </c>
      <c r="U320" s="163"/>
      <c r="V320" s="147"/>
    </row>
    <row r="321" spans="1:22">
      <c r="A321" s="166">
        <v>37</v>
      </c>
      <c r="B321" s="167">
        <v>10</v>
      </c>
      <c r="C321" s="167">
        <v>101</v>
      </c>
      <c r="D321" s="166">
        <v>829</v>
      </c>
      <c r="E321" s="166">
        <v>90</v>
      </c>
      <c r="F321" s="167">
        <v>6</v>
      </c>
      <c r="G321" s="168">
        <f t="shared" si="35"/>
        <v>5902</v>
      </c>
      <c r="H321" s="166">
        <f t="shared" si="36"/>
        <v>18</v>
      </c>
      <c r="I321" s="166">
        <f t="shared" si="37"/>
        <v>20725</v>
      </c>
      <c r="J321" s="147">
        <v>15</v>
      </c>
      <c r="K321" s="147">
        <v>1</v>
      </c>
      <c r="L321" s="147" t="s">
        <v>655</v>
      </c>
      <c r="M321" s="147">
        <v>9</v>
      </c>
      <c r="N321" s="147">
        <v>2</v>
      </c>
      <c r="O321" s="147" t="s">
        <v>656</v>
      </c>
      <c r="P321" s="147">
        <v>101</v>
      </c>
      <c r="Q321" s="156">
        <v>829</v>
      </c>
      <c r="R321" s="157">
        <v>0</v>
      </c>
      <c r="S321" s="158" t="s">
        <v>403</v>
      </c>
      <c r="T321" s="155" t="s">
        <v>397</v>
      </c>
      <c r="U321" s="163"/>
      <c r="V321" s="147"/>
    </row>
    <row r="322" spans="1:22">
      <c r="A322" s="159">
        <v>38</v>
      </c>
      <c r="B322" s="160">
        <v>1</v>
      </c>
      <c r="C322" s="160">
        <v>104</v>
      </c>
      <c r="D322" s="159">
        <v>1731</v>
      </c>
      <c r="E322" s="159">
        <v>10</v>
      </c>
      <c r="F322" s="160">
        <v>1</v>
      </c>
      <c r="G322" s="161">
        <f t="shared" ref="G322:G385" si="38">VLOOKUP(B322,AA$2:AC$11,2,FALSE)</f>
        <v>5902</v>
      </c>
      <c r="H322" s="159">
        <f t="shared" ref="H322:H385" si="39">VLOOKUP(B322,AA$2:AC$11,3,FALSE)</f>
        <v>1</v>
      </c>
      <c r="I322" s="159">
        <f t="shared" si="37"/>
        <v>1731</v>
      </c>
      <c r="J322" s="147">
        <v>15</v>
      </c>
      <c r="K322" s="147">
        <v>1</v>
      </c>
      <c r="L322" s="147" t="s">
        <v>655</v>
      </c>
      <c r="M322" s="147">
        <v>17</v>
      </c>
      <c r="N322" s="147">
        <v>3</v>
      </c>
      <c r="O322" s="147" t="s">
        <v>657</v>
      </c>
      <c r="P322" s="147">
        <v>104</v>
      </c>
      <c r="Q322" s="156">
        <v>6921</v>
      </c>
      <c r="R322" s="157">
        <v>0</v>
      </c>
      <c r="S322" s="158" t="s">
        <v>403</v>
      </c>
      <c r="T322" s="155" t="s">
        <v>405</v>
      </c>
      <c r="U322" s="163"/>
      <c r="V322" s="147"/>
    </row>
    <row r="323" spans="1:22">
      <c r="A323" s="159">
        <v>38</v>
      </c>
      <c r="B323" s="160">
        <v>2</v>
      </c>
      <c r="C323" s="160">
        <v>104</v>
      </c>
      <c r="D323" s="159">
        <v>3461</v>
      </c>
      <c r="E323" s="159">
        <v>20</v>
      </c>
      <c r="F323" s="160">
        <v>2</v>
      </c>
      <c r="G323" s="161">
        <f t="shared" si="38"/>
        <v>5902</v>
      </c>
      <c r="H323" s="159">
        <f t="shared" si="39"/>
        <v>2</v>
      </c>
      <c r="I323" s="159">
        <f t="shared" ref="I323:I386" si="40">INT(IF(C323=104,D323,D323*25))</f>
        <v>3461</v>
      </c>
      <c r="J323" s="147">
        <v>15</v>
      </c>
      <c r="K323" s="147">
        <v>1</v>
      </c>
      <c r="L323" s="147" t="s">
        <v>655</v>
      </c>
      <c r="M323" s="147">
        <v>17</v>
      </c>
      <c r="N323" s="147">
        <v>3</v>
      </c>
      <c r="O323" s="147" t="s">
        <v>657</v>
      </c>
      <c r="P323" s="147">
        <v>104</v>
      </c>
      <c r="Q323" s="156">
        <v>7236</v>
      </c>
      <c r="R323" s="157">
        <v>0</v>
      </c>
      <c r="S323" s="158" t="s">
        <v>403</v>
      </c>
      <c r="T323" s="155" t="s">
        <v>405</v>
      </c>
      <c r="U323" s="163"/>
      <c r="V323" s="147"/>
    </row>
    <row r="324" spans="1:22">
      <c r="A324" s="159">
        <v>38</v>
      </c>
      <c r="B324" s="160">
        <v>3</v>
      </c>
      <c r="C324" s="160">
        <v>104</v>
      </c>
      <c r="D324" s="159">
        <v>5192</v>
      </c>
      <c r="E324" s="159">
        <v>30</v>
      </c>
      <c r="F324" s="160">
        <v>2</v>
      </c>
      <c r="G324" s="161">
        <f t="shared" si="38"/>
        <v>5902</v>
      </c>
      <c r="H324" s="159">
        <f t="shared" si="39"/>
        <v>3</v>
      </c>
      <c r="I324" s="159">
        <f t="shared" si="40"/>
        <v>5192</v>
      </c>
      <c r="J324" s="147">
        <v>15</v>
      </c>
      <c r="K324" s="147">
        <v>1</v>
      </c>
      <c r="L324" s="147" t="s">
        <v>655</v>
      </c>
      <c r="M324" s="147">
        <v>17</v>
      </c>
      <c r="N324" s="147">
        <v>3</v>
      </c>
      <c r="O324" s="147" t="s">
        <v>657</v>
      </c>
      <c r="P324" s="147">
        <v>104</v>
      </c>
      <c r="Q324" s="156">
        <v>7760</v>
      </c>
      <c r="R324" s="157">
        <v>0</v>
      </c>
      <c r="S324" s="158" t="s">
        <v>403</v>
      </c>
      <c r="T324" s="155" t="s">
        <v>405</v>
      </c>
      <c r="U324" s="163"/>
      <c r="V324" s="147"/>
    </row>
    <row r="325" spans="1:22">
      <c r="A325" s="159">
        <v>38</v>
      </c>
      <c r="B325" s="160">
        <v>4</v>
      </c>
      <c r="C325" s="160">
        <v>104</v>
      </c>
      <c r="D325" s="159">
        <v>6922</v>
      </c>
      <c r="E325" s="159">
        <v>40</v>
      </c>
      <c r="F325" s="160">
        <v>3</v>
      </c>
      <c r="G325" s="161">
        <f t="shared" si="38"/>
        <v>5902</v>
      </c>
      <c r="H325" s="159">
        <f t="shared" si="39"/>
        <v>4</v>
      </c>
      <c r="I325" s="159">
        <f t="shared" si="40"/>
        <v>6922</v>
      </c>
      <c r="J325" s="147">
        <v>15</v>
      </c>
      <c r="K325" s="147">
        <v>1</v>
      </c>
      <c r="L325" s="147" t="s">
        <v>655</v>
      </c>
      <c r="M325" s="147">
        <v>17</v>
      </c>
      <c r="N325" s="147">
        <v>3</v>
      </c>
      <c r="O325" s="147" t="s">
        <v>657</v>
      </c>
      <c r="P325" s="147">
        <v>104</v>
      </c>
      <c r="Q325" s="156">
        <v>8494</v>
      </c>
      <c r="R325" s="157">
        <v>0</v>
      </c>
      <c r="S325" s="158" t="s">
        <v>403</v>
      </c>
      <c r="T325" s="155" t="s">
        <v>405</v>
      </c>
      <c r="U325" s="163"/>
      <c r="V325" s="147"/>
    </row>
    <row r="326" spans="1:22">
      <c r="A326" s="159">
        <v>38</v>
      </c>
      <c r="B326" s="160">
        <v>5</v>
      </c>
      <c r="C326" s="160">
        <v>104</v>
      </c>
      <c r="D326" s="159">
        <v>8652</v>
      </c>
      <c r="E326" s="159">
        <v>50</v>
      </c>
      <c r="F326" s="160">
        <v>3</v>
      </c>
      <c r="G326" s="161">
        <f t="shared" si="38"/>
        <v>5902</v>
      </c>
      <c r="H326" s="159">
        <f t="shared" si="39"/>
        <v>6</v>
      </c>
      <c r="I326" s="159">
        <f t="shared" si="40"/>
        <v>8652</v>
      </c>
      <c r="J326" s="147">
        <v>15</v>
      </c>
      <c r="K326" s="147">
        <v>1</v>
      </c>
      <c r="L326" s="147" t="s">
        <v>655</v>
      </c>
      <c r="M326" s="147">
        <v>17</v>
      </c>
      <c r="N326" s="147">
        <v>3</v>
      </c>
      <c r="O326" s="147" t="s">
        <v>657</v>
      </c>
      <c r="P326" s="147">
        <v>104</v>
      </c>
      <c r="Q326" s="156">
        <v>9438</v>
      </c>
      <c r="R326" s="157">
        <v>0</v>
      </c>
      <c r="S326" s="158" t="s">
        <v>403</v>
      </c>
      <c r="T326" s="155" t="s">
        <v>405</v>
      </c>
      <c r="U326" s="163"/>
      <c r="V326" s="147"/>
    </row>
    <row r="327" spans="1:22">
      <c r="A327" s="159">
        <v>38</v>
      </c>
      <c r="B327" s="160">
        <v>6</v>
      </c>
      <c r="C327" s="160">
        <v>104</v>
      </c>
      <c r="D327" s="159">
        <v>10383</v>
      </c>
      <c r="E327" s="159">
        <v>60</v>
      </c>
      <c r="F327" s="160">
        <v>4</v>
      </c>
      <c r="G327" s="161">
        <f t="shared" si="38"/>
        <v>5902</v>
      </c>
      <c r="H327" s="159">
        <f t="shared" si="39"/>
        <v>8</v>
      </c>
      <c r="I327" s="159">
        <f t="shared" si="40"/>
        <v>10383</v>
      </c>
      <c r="J327" s="147">
        <v>15</v>
      </c>
      <c r="K327" s="147">
        <v>1</v>
      </c>
      <c r="L327" s="147" t="s">
        <v>655</v>
      </c>
      <c r="M327" s="147">
        <v>17</v>
      </c>
      <c r="N327" s="147">
        <v>3</v>
      </c>
      <c r="O327" s="147" t="s">
        <v>657</v>
      </c>
      <c r="P327" s="147">
        <v>104</v>
      </c>
      <c r="Q327" s="156">
        <v>10592</v>
      </c>
      <c r="R327" s="157">
        <v>0</v>
      </c>
      <c r="S327" s="158" t="s">
        <v>403</v>
      </c>
      <c r="T327" s="155" t="s">
        <v>405</v>
      </c>
      <c r="U327" s="163"/>
      <c r="V327" s="147"/>
    </row>
    <row r="328" spans="1:22">
      <c r="A328" s="159">
        <v>38</v>
      </c>
      <c r="B328" s="160">
        <v>7</v>
      </c>
      <c r="C328" s="160">
        <v>104</v>
      </c>
      <c r="D328" s="159">
        <v>12113</v>
      </c>
      <c r="E328" s="159">
        <v>70</v>
      </c>
      <c r="F328" s="160">
        <v>4</v>
      </c>
      <c r="G328" s="161">
        <f t="shared" si="38"/>
        <v>5902</v>
      </c>
      <c r="H328" s="159">
        <f t="shared" si="39"/>
        <v>10</v>
      </c>
      <c r="I328" s="159">
        <f t="shared" si="40"/>
        <v>12113</v>
      </c>
      <c r="J328" s="147">
        <v>15</v>
      </c>
      <c r="K328" s="147">
        <v>1</v>
      </c>
      <c r="L328" s="147" t="s">
        <v>655</v>
      </c>
      <c r="M328" s="147">
        <v>17</v>
      </c>
      <c r="N328" s="147">
        <v>3</v>
      </c>
      <c r="O328" s="147" t="s">
        <v>657</v>
      </c>
      <c r="P328" s="147">
        <v>104</v>
      </c>
      <c r="Q328" s="156">
        <v>11955</v>
      </c>
      <c r="R328" s="157">
        <v>0</v>
      </c>
      <c r="S328" s="158" t="s">
        <v>403</v>
      </c>
      <c r="T328" s="155" t="s">
        <v>405</v>
      </c>
      <c r="U328" s="163"/>
      <c r="V328" s="147"/>
    </row>
    <row r="329" spans="1:22">
      <c r="A329" s="159">
        <v>38</v>
      </c>
      <c r="B329" s="160">
        <v>8</v>
      </c>
      <c r="C329" s="160">
        <v>104</v>
      </c>
      <c r="D329" s="159">
        <v>13844</v>
      </c>
      <c r="E329" s="159">
        <v>80</v>
      </c>
      <c r="F329" s="160">
        <v>5</v>
      </c>
      <c r="G329" s="161">
        <f t="shared" si="38"/>
        <v>5902</v>
      </c>
      <c r="H329" s="159">
        <f t="shared" si="39"/>
        <v>12</v>
      </c>
      <c r="I329" s="159">
        <f t="shared" si="40"/>
        <v>13844</v>
      </c>
      <c r="J329" s="147">
        <v>15</v>
      </c>
      <c r="K329" s="147">
        <v>1</v>
      </c>
      <c r="L329" s="147" t="s">
        <v>655</v>
      </c>
      <c r="M329" s="147">
        <v>17</v>
      </c>
      <c r="N329" s="147">
        <v>3</v>
      </c>
      <c r="O329" s="147" t="s">
        <v>657</v>
      </c>
      <c r="P329" s="147">
        <v>104</v>
      </c>
      <c r="Q329" s="156">
        <v>13528</v>
      </c>
      <c r="R329" s="157">
        <v>0</v>
      </c>
      <c r="S329" s="158" t="s">
        <v>403</v>
      </c>
      <c r="T329" s="155" t="s">
        <v>405</v>
      </c>
      <c r="U329" s="163"/>
      <c r="V329" s="147"/>
    </row>
    <row r="330" spans="1:22">
      <c r="A330" s="159">
        <v>38</v>
      </c>
      <c r="B330" s="160">
        <v>9</v>
      </c>
      <c r="C330" s="160">
        <v>104</v>
      </c>
      <c r="D330" s="159">
        <v>15574</v>
      </c>
      <c r="E330" s="159">
        <v>90</v>
      </c>
      <c r="F330" s="160">
        <v>5</v>
      </c>
      <c r="G330" s="161">
        <f t="shared" si="38"/>
        <v>5902</v>
      </c>
      <c r="H330" s="159">
        <f t="shared" si="39"/>
        <v>15</v>
      </c>
      <c r="I330" s="159">
        <f t="shared" si="40"/>
        <v>15574</v>
      </c>
      <c r="J330" s="147">
        <v>15</v>
      </c>
      <c r="K330" s="147">
        <v>1</v>
      </c>
      <c r="L330" s="147" t="s">
        <v>655</v>
      </c>
      <c r="M330" s="147">
        <v>17</v>
      </c>
      <c r="N330" s="147">
        <v>3</v>
      </c>
      <c r="O330" s="147" t="s">
        <v>657</v>
      </c>
      <c r="P330" s="147">
        <v>104</v>
      </c>
      <c r="Q330" s="156">
        <v>15311</v>
      </c>
      <c r="R330" s="157">
        <v>0</v>
      </c>
      <c r="S330" s="158" t="s">
        <v>403</v>
      </c>
      <c r="T330" s="155" t="s">
        <v>405</v>
      </c>
      <c r="U330" s="163"/>
      <c r="V330" s="147"/>
    </row>
    <row r="331" spans="1:22">
      <c r="A331" s="159">
        <v>38</v>
      </c>
      <c r="B331" s="160">
        <v>10</v>
      </c>
      <c r="C331" s="160">
        <v>104</v>
      </c>
      <c r="D331" s="159">
        <v>17304</v>
      </c>
      <c r="E331" s="159">
        <v>90</v>
      </c>
      <c r="F331" s="160">
        <v>6</v>
      </c>
      <c r="G331" s="161">
        <f t="shared" si="38"/>
        <v>5902</v>
      </c>
      <c r="H331" s="159">
        <f t="shared" si="39"/>
        <v>18</v>
      </c>
      <c r="I331" s="159">
        <f t="shared" si="40"/>
        <v>17304</v>
      </c>
      <c r="J331" s="147">
        <v>15</v>
      </c>
      <c r="K331" s="147">
        <v>1</v>
      </c>
      <c r="L331" s="147" t="s">
        <v>655</v>
      </c>
      <c r="M331" s="147">
        <v>17</v>
      </c>
      <c r="N331" s="147">
        <v>3</v>
      </c>
      <c r="O331" s="147" t="s">
        <v>657</v>
      </c>
      <c r="P331" s="147">
        <v>104</v>
      </c>
      <c r="Q331" s="156">
        <v>17304</v>
      </c>
      <c r="R331" s="157">
        <v>0</v>
      </c>
      <c r="S331" s="158" t="s">
        <v>403</v>
      </c>
      <c r="T331" s="155" t="s">
        <v>405</v>
      </c>
      <c r="U331" s="163"/>
      <c r="V331" s="147"/>
    </row>
    <row r="332" spans="1:22">
      <c r="A332" s="166">
        <v>39</v>
      </c>
      <c r="B332" s="167">
        <v>1</v>
      </c>
      <c r="C332" s="167">
        <v>102</v>
      </c>
      <c r="D332" s="166">
        <v>102</v>
      </c>
      <c r="E332" s="166">
        <v>10</v>
      </c>
      <c r="F332" s="167">
        <v>1</v>
      </c>
      <c r="G332" s="168">
        <f t="shared" si="38"/>
        <v>5902</v>
      </c>
      <c r="H332" s="166">
        <f t="shared" si="39"/>
        <v>1</v>
      </c>
      <c r="I332" s="166">
        <f t="shared" si="40"/>
        <v>2550</v>
      </c>
      <c r="J332" s="147">
        <v>16</v>
      </c>
      <c r="K332" s="147">
        <v>1</v>
      </c>
      <c r="L332" s="147" t="s">
        <v>655</v>
      </c>
      <c r="M332" s="147">
        <v>1</v>
      </c>
      <c r="N332" s="147">
        <v>1</v>
      </c>
      <c r="O332" s="147" t="s">
        <v>655</v>
      </c>
      <c r="P332" s="147">
        <v>102</v>
      </c>
      <c r="Q332" s="156">
        <v>405</v>
      </c>
      <c r="R332" s="157">
        <v>0</v>
      </c>
      <c r="S332" s="158" t="s">
        <v>404</v>
      </c>
      <c r="T332" s="155" t="s">
        <v>391</v>
      </c>
      <c r="U332" s="163"/>
      <c r="V332" s="147"/>
    </row>
    <row r="333" spans="1:22">
      <c r="A333" s="166">
        <v>39</v>
      </c>
      <c r="B333" s="167">
        <v>2</v>
      </c>
      <c r="C333" s="167">
        <v>102</v>
      </c>
      <c r="D333" s="166">
        <v>203</v>
      </c>
      <c r="E333" s="166">
        <v>20</v>
      </c>
      <c r="F333" s="167">
        <v>2</v>
      </c>
      <c r="G333" s="168">
        <f t="shared" si="38"/>
        <v>5902</v>
      </c>
      <c r="H333" s="166">
        <f t="shared" si="39"/>
        <v>2</v>
      </c>
      <c r="I333" s="166">
        <f t="shared" si="40"/>
        <v>5075</v>
      </c>
      <c r="J333" s="147">
        <v>16</v>
      </c>
      <c r="K333" s="147">
        <v>1</v>
      </c>
      <c r="L333" s="147" t="s">
        <v>655</v>
      </c>
      <c r="M333" s="147">
        <v>1</v>
      </c>
      <c r="N333" s="147">
        <v>1</v>
      </c>
      <c r="O333" s="147" t="s">
        <v>655</v>
      </c>
      <c r="P333" s="147">
        <v>102</v>
      </c>
      <c r="Q333" s="156">
        <v>423</v>
      </c>
      <c r="R333" s="157">
        <v>0</v>
      </c>
      <c r="S333" s="158" t="s">
        <v>404</v>
      </c>
      <c r="T333" s="155" t="s">
        <v>391</v>
      </c>
      <c r="U333" s="163"/>
      <c r="V333" s="147"/>
    </row>
    <row r="334" spans="1:22">
      <c r="A334" s="166">
        <v>39</v>
      </c>
      <c r="B334" s="167">
        <v>3</v>
      </c>
      <c r="C334" s="167">
        <v>102</v>
      </c>
      <c r="D334" s="166">
        <v>304</v>
      </c>
      <c r="E334" s="166">
        <v>30</v>
      </c>
      <c r="F334" s="167">
        <v>2</v>
      </c>
      <c r="G334" s="168">
        <f t="shared" si="38"/>
        <v>5902</v>
      </c>
      <c r="H334" s="166">
        <f t="shared" si="39"/>
        <v>3</v>
      </c>
      <c r="I334" s="166">
        <f t="shared" si="40"/>
        <v>7600</v>
      </c>
      <c r="J334" s="147">
        <v>16</v>
      </c>
      <c r="K334" s="147">
        <v>1</v>
      </c>
      <c r="L334" s="147" t="s">
        <v>655</v>
      </c>
      <c r="M334" s="147">
        <v>1</v>
      </c>
      <c r="N334" s="147">
        <v>1</v>
      </c>
      <c r="O334" s="147" t="s">
        <v>655</v>
      </c>
      <c r="P334" s="147">
        <v>102</v>
      </c>
      <c r="Q334" s="156">
        <v>454</v>
      </c>
      <c r="R334" s="157">
        <v>0</v>
      </c>
      <c r="S334" s="158" t="s">
        <v>404</v>
      </c>
      <c r="T334" s="155" t="s">
        <v>391</v>
      </c>
      <c r="U334" s="163"/>
      <c r="V334" s="147"/>
    </row>
    <row r="335" spans="1:22">
      <c r="A335" s="166">
        <v>39</v>
      </c>
      <c r="B335" s="167">
        <v>4</v>
      </c>
      <c r="C335" s="167">
        <v>102</v>
      </c>
      <c r="D335" s="166">
        <v>405</v>
      </c>
      <c r="E335" s="166">
        <v>40</v>
      </c>
      <c r="F335" s="167">
        <v>3</v>
      </c>
      <c r="G335" s="168">
        <f t="shared" si="38"/>
        <v>5902</v>
      </c>
      <c r="H335" s="166">
        <f t="shared" si="39"/>
        <v>4</v>
      </c>
      <c r="I335" s="166">
        <f t="shared" si="40"/>
        <v>10125</v>
      </c>
      <c r="J335" s="147">
        <v>16</v>
      </c>
      <c r="K335" s="147">
        <v>1</v>
      </c>
      <c r="L335" s="147" t="s">
        <v>655</v>
      </c>
      <c r="M335" s="147">
        <v>1</v>
      </c>
      <c r="N335" s="147">
        <v>1</v>
      </c>
      <c r="O335" s="147" t="s">
        <v>655</v>
      </c>
      <c r="P335" s="147">
        <v>102</v>
      </c>
      <c r="Q335" s="156">
        <v>497</v>
      </c>
      <c r="R335" s="157">
        <v>0</v>
      </c>
      <c r="S335" s="158" t="s">
        <v>404</v>
      </c>
      <c r="T335" s="155" t="s">
        <v>391</v>
      </c>
      <c r="U335" s="163"/>
      <c r="V335" s="147"/>
    </row>
    <row r="336" spans="1:22">
      <c r="A336" s="166">
        <v>39</v>
      </c>
      <c r="B336" s="167">
        <v>5</v>
      </c>
      <c r="C336" s="167">
        <v>102</v>
      </c>
      <c r="D336" s="166">
        <v>506</v>
      </c>
      <c r="E336" s="166">
        <v>50</v>
      </c>
      <c r="F336" s="167">
        <v>3</v>
      </c>
      <c r="G336" s="168">
        <f t="shared" si="38"/>
        <v>5902</v>
      </c>
      <c r="H336" s="166">
        <f t="shared" si="39"/>
        <v>6</v>
      </c>
      <c r="I336" s="166">
        <f t="shared" si="40"/>
        <v>12650</v>
      </c>
      <c r="J336" s="147">
        <v>16</v>
      </c>
      <c r="K336" s="147">
        <v>1</v>
      </c>
      <c r="L336" s="147" t="s">
        <v>655</v>
      </c>
      <c r="M336" s="147">
        <v>1</v>
      </c>
      <c r="N336" s="147">
        <v>1</v>
      </c>
      <c r="O336" s="147" t="s">
        <v>655</v>
      </c>
      <c r="P336" s="147">
        <v>102</v>
      </c>
      <c r="Q336" s="156">
        <v>552</v>
      </c>
      <c r="R336" s="157">
        <v>0</v>
      </c>
      <c r="S336" s="158" t="s">
        <v>404</v>
      </c>
      <c r="T336" s="155" t="s">
        <v>391</v>
      </c>
      <c r="U336" s="163"/>
      <c r="V336" s="147"/>
    </row>
    <row r="337" spans="1:22">
      <c r="A337" s="166">
        <v>39</v>
      </c>
      <c r="B337" s="167">
        <v>6</v>
      </c>
      <c r="C337" s="167">
        <v>102</v>
      </c>
      <c r="D337" s="166">
        <v>608</v>
      </c>
      <c r="E337" s="166">
        <v>60</v>
      </c>
      <c r="F337" s="167">
        <v>4</v>
      </c>
      <c r="G337" s="168">
        <f t="shared" si="38"/>
        <v>5902</v>
      </c>
      <c r="H337" s="166">
        <f t="shared" si="39"/>
        <v>8</v>
      </c>
      <c r="I337" s="166">
        <f t="shared" si="40"/>
        <v>15200</v>
      </c>
      <c r="J337" s="147">
        <v>16</v>
      </c>
      <c r="K337" s="147">
        <v>1</v>
      </c>
      <c r="L337" s="147" t="s">
        <v>655</v>
      </c>
      <c r="M337" s="147">
        <v>1</v>
      </c>
      <c r="N337" s="147">
        <v>1</v>
      </c>
      <c r="O337" s="147" t="s">
        <v>655</v>
      </c>
      <c r="P337" s="147">
        <v>102</v>
      </c>
      <c r="Q337" s="156">
        <v>619</v>
      </c>
      <c r="R337" s="157">
        <v>0</v>
      </c>
      <c r="S337" s="158" t="s">
        <v>404</v>
      </c>
      <c r="T337" s="155" t="s">
        <v>391</v>
      </c>
      <c r="U337" s="163"/>
      <c r="V337" s="147"/>
    </row>
    <row r="338" spans="1:22">
      <c r="A338" s="166">
        <v>39</v>
      </c>
      <c r="B338" s="167">
        <v>7</v>
      </c>
      <c r="C338" s="167">
        <v>102</v>
      </c>
      <c r="D338" s="166">
        <v>709</v>
      </c>
      <c r="E338" s="166">
        <v>70</v>
      </c>
      <c r="F338" s="167">
        <v>4</v>
      </c>
      <c r="G338" s="168">
        <f t="shared" si="38"/>
        <v>5902</v>
      </c>
      <c r="H338" s="166">
        <f t="shared" si="39"/>
        <v>10</v>
      </c>
      <c r="I338" s="166">
        <f t="shared" si="40"/>
        <v>17725</v>
      </c>
      <c r="J338" s="147">
        <v>16</v>
      </c>
      <c r="K338" s="147">
        <v>1</v>
      </c>
      <c r="L338" s="147" t="s">
        <v>655</v>
      </c>
      <c r="M338" s="147">
        <v>1</v>
      </c>
      <c r="N338" s="147">
        <v>1</v>
      </c>
      <c r="O338" s="147" t="s">
        <v>655</v>
      </c>
      <c r="P338" s="147">
        <v>102</v>
      </c>
      <c r="Q338" s="156">
        <v>699</v>
      </c>
      <c r="R338" s="157">
        <v>0</v>
      </c>
      <c r="S338" s="158" t="s">
        <v>404</v>
      </c>
      <c r="T338" s="155" t="s">
        <v>391</v>
      </c>
      <c r="U338" s="163"/>
      <c r="V338" s="147"/>
    </row>
    <row r="339" spans="1:22">
      <c r="A339" s="166">
        <v>39</v>
      </c>
      <c r="B339" s="167">
        <v>8</v>
      </c>
      <c r="C339" s="167">
        <v>102</v>
      </c>
      <c r="D339" s="166">
        <v>810</v>
      </c>
      <c r="E339" s="166">
        <v>80</v>
      </c>
      <c r="F339" s="167">
        <v>5</v>
      </c>
      <c r="G339" s="168">
        <f t="shared" si="38"/>
        <v>5902</v>
      </c>
      <c r="H339" s="166">
        <f t="shared" si="39"/>
        <v>12</v>
      </c>
      <c r="I339" s="166">
        <f t="shared" si="40"/>
        <v>20250</v>
      </c>
      <c r="J339" s="147">
        <v>16</v>
      </c>
      <c r="K339" s="147">
        <v>1</v>
      </c>
      <c r="L339" s="147" t="s">
        <v>655</v>
      </c>
      <c r="M339" s="147">
        <v>1</v>
      </c>
      <c r="N339" s="147">
        <v>1</v>
      </c>
      <c r="O339" s="147" t="s">
        <v>655</v>
      </c>
      <c r="P339" s="147">
        <v>102</v>
      </c>
      <c r="Q339" s="156">
        <v>791</v>
      </c>
      <c r="R339" s="157">
        <v>0</v>
      </c>
      <c r="S339" s="158" t="s">
        <v>404</v>
      </c>
      <c r="T339" s="155" t="s">
        <v>391</v>
      </c>
      <c r="U339" s="163"/>
      <c r="V339" s="147"/>
    </row>
    <row r="340" spans="1:22">
      <c r="A340" s="166">
        <v>39</v>
      </c>
      <c r="B340" s="167">
        <v>9</v>
      </c>
      <c r="C340" s="167">
        <v>102</v>
      </c>
      <c r="D340" s="166">
        <v>911</v>
      </c>
      <c r="E340" s="166">
        <v>90</v>
      </c>
      <c r="F340" s="167">
        <v>5</v>
      </c>
      <c r="G340" s="168">
        <f t="shared" si="38"/>
        <v>5902</v>
      </c>
      <c r="H340" s="166">
        <f t="shared" si="39"/>
        <v>15</v>
      </c>
      <c r="I340" s="166">
        <f t="shared" si="40"/>
        <v>22775</v>
      </c>
      <c r="J340" s="147">
        <v>16</v>
      </c>
      <c r="K340" s="147">
        <v>1</v>
      </c>
      <c r="L340" s="147" t="s">
        <v>655</v>
      </c>
      <c r="M340" s="147">
        <v>1</v>
      </c>
      <c r="N340" s="147">
        <v>1</v>
      </c>
      <c r="O340" s="147" t="s">
        <v>655</v>
      </c>
      <c r="P340" s="147">
        <v>102</v>
      </c>
      <c r="Q340" s="156">
        <v>896</v>
      </c>
      <c r="R340" s="157">
        <v>0</v>
      </c>
      <c r="S340" s="158" t="s">
        <v>404</v>
      </c>
      <c r="T340" s="155" t="s">
        <v>391</v>
      </c>
      <c r="U340" s="163"/>
      <c r="V340" s="147"/>
    </row>
    <row r="341" spans="1:22">
      <c r="A341" s="166">
        <v>39</v>
      </c>
      <c r="B341" s="167">
        <v>10</v>
      </c>
      <c r="C341" s="167">
        <v>102</v>
      </c>
      <c r="D341" s="166">
        <v>1012</v>
      </c>
      <c r="E341" s="166">
        <v>90</v>
      </c>
      <c r="F341" s="167">
        <v>6</v>
      </c>
      <c r="G341" s="168">
        <f t="shared" si="38"/>
        <v>5902</v>
      </c>
      <c r="H341" s="166">
        <f t="shared" si="39"/>
        <v>18</v>
      </c>
      <c r="I341" s="166">
        <f t="shared" si="40"/>
        <v>25300</v>
      </c>
      <c r="J341" s="147">
        <v>16</v>
      </c>
      <c r="K341" s="147">
        <v>1</v>
      </c>
      <c r="L341" s="147" t="s">
        <v>655</v>
      </c>
      <c r="M341" s="147">
        <v>1</v>
      </c>
      <c r="N341" s="147">
        <v>1</v>
      </c>
      <c r="O341" s="147" t="s">
        <v>655</v>
      </c>
      <c r="P341" s="147">
        <v>102</v>
      </c>
      <c r="Q341" s="156">
        <v>1012</v>
      </c>
      <c r="R341" s="157">
        <v>0</v>
      </c>
      <c r="S341" s="158" t="s">
        <v>404</v>
      </c>
      <c r="T341" s="155" t="s">
        <v>391</v>
      </c>
      <c r="U341" s="163"/>
      <c r="V341" s="147"/>
    </row>
    <row r="342" spans="1:22">
      <c r="A342" s="159">
        <v>40</v>
      </c>
      <c r="B342" s="160">
        <v>1</v>
      </c>
      <c r="C342" s="160">
        <v>102</v>
      </c>
      <c r="D342" s="159">
        <v>102</v>
      </c>
      <c r="E342" s="159">
        <v>10</v>
      </c>
      <c r="F342" s="160">
        <v>1</v>
      </c>
      <c r="G342" s="161">
        <f t="shared" si="38"/>
        <v>5902</v>
      </c>
      <c r="H342" s="159">
        <f t="shared" si="39"/>
        <v>1</v>
      </c>
      <c r="I342" s="159">
        <f t="shared" si="40"/>
        <v>2550</v>
      </c>
      <c r="J342" s="147">
        <v>16</v>
      </c>
      <c r="K342" s="147">
        <v>1</v>
      </c>
      <c r="L342" s="147" t="s">
        <v>655</v>
      </c>
      <c r="M342" s="147">
        <v>7</v>
      </c>
      <c r="N342" s="147">
        <v>1</v>
      </c>
      <c r="O342" s="147" t="s">
        <v>655</v>
      </c>
      <c r="P342" s="147">
        <v>102</v>
      </c>
      <c r="Q342" s="156">
        <v>405</v>
      </c>
      <c r="R342" s="157">
        <v>0</v>
      </c>
      <c r="S342" s="158" t="s">
        <v>404</v>
      </c>
      <c r="T342" s="155" t="s">
        <v>396</v>
      </c>
      <c r="U342" s="163"/>
      <c r="V342" s="147"/>
    </row>
    <row r="343" spans="1:22">
      <c r="A343" s="159">
        <v>40</v>
      </c>
      <c r="B343" s="160">
        <v>2</v>
      </c>
      <c r="C343" s="160">
        <v>102</v>
      </c>
      <c r="D343" s="159">
        <v>203</v>
      </c>
      <c r="E343" s="159">
        <v>20</v>
      </c>
      <c r="F343" s="160">
        <v>2</v>
      </c>
      <c r="G343" s="161">
        <f t="shared" si="38"/>
        <v>5902</v>
      </c>
      <c r="H343" s="159">
        <f t="shared" si="39"/>
        <v>2</v>
      </c>
      <c r="I343" s="159">
        <f t="shared" si="40"/>
        <v>5075</v>
      </c>
      <c r="J343" s="147">
        <v>16</v>
      </c>
      <c r="K343" s="147">
        <v>1</v>
      </c>
      <c r="L343" s="147" t="s">
        <v>655</v>
      </c>
      <c r="M343" s="147">
        <v>7</v>
      </c>
      <c r="N343" s="147">
        <v>1</v>
      </c>
      <c r="O343" s="147" t="s">
        <v>655</v>
      </c>
      <c r="P343" s="147">
        <v>102</v>
      </c>
      <c r="Q343" s="156">
        <v>423</v>
      </c>
      <c r="R343" s="157">
        <v>0</v>
      </c>
      <c r="S343" s="158" t="s">
        <v>404</v>
      </c>
      <c r="T343" s="155" t="s">
        <v>396</v>
      </c>
      <c r="U343" s="163"/>
      <c r="V343" s="147"/>
    </row>
    <row r="344" spans="1:22">
      <c r="A344" s="159">
        <v>40</v>
      </c>
      <c r="B344" s="160">
        <v>3</v>
      </c>
      <c r="C344" s="160">
        <v>102</v>
      </c>
      <c r="D344" s="159">
        <v>304</v>
      </c>
      <c r="E344" s="159">
        <v>30</v>
      </c>
      <c r="F344" s="160">
        <v>2</v>
      </c>
      <c r="G344" s="161">
        <f t="shared" si="38"/>
        <v>5902</v>
      </c>
      <c r="H344" s="159">
        <f t="shared" si="39"/>
        <v>3</v>
      </c>
      <c r="I344" s="159">
        <f t="shared" si="40"/>
        <v>7600</v>
      </c>
      <c r="J344" s="147">
        <v>16</v>
      </c>
      <c r="K344" s="147">
        <v>1</v>
      </c>
      <c r="L344" s="147" t="s">
        <v>655</v>
      </c>
      <c r="M344" s="147">
        <v>7</v>
      </c>
      <c r="N344" s="147">
        <v>1</v>
      </c>
      <c r="O344" s="147" t="s">
        <v>655</v>
      </c>
      <c r="P344" s="147">
        <v>102</v>
      </c>
      <c r="Q344" s="156">
        <v>454</v>
      </c>
      <c r="R344" s="157">
        <v>0</v>
      </c>
      <c r="S344" s="158" t="s">
        <v>404</v>
      </c>
      <c r="T344" s="155" t="s">
        <v>396</v>
      </c>
      <c r="U344" s="163"/>
      <c r="V344" s="147"/>
    </row>
    <row r="345" spans="1:22">
      <c r="A345" s="159">
        <v>40</v>
      </c>
      <c r="B345" s="160">
        <v>4</v>
      </c>
      <c r="C345" s="160">
        <v>102</v>
      </c>
      <c r="D345" s="159">
        <v>405</v>
      </c>
      <c r="E345" s="159">
        <v>40</v>
      </c>
      <c r="F345" s="160">
        <v>3</v>
      </c>
      <c r="G345" s="161">
        <f t="shared" si="38"/>
        <v>5902</v>
      </c>
      <c r="H345" s="159">
        <f t="shared" si="39"/>
        <v>4</v>
      </c>
      <c r="I345" s="159">
        <f t="shared" si="40"/>
        <v>10125</v>
      </c>
      <c r="J345" s="147">
        <v>16</v>
      </c>
      <c r="K345" s="147">
        <v>1</v>
      </c>
      <c r="L345" s="147" t="s">
        <v>655</v>
      </c>
      <c r="M345" s="147">
        <v>7</v>
      </c>
      <c r="N345" s="147">
        <v>1</v>
      </c>
      <c r="O345" s="147" t="s">
        <v>655</v>
      </c>
      <c r="P345" s="147">
        <v>102</v>
      </c>
      <c r="Q345" s="156">
        <v>497</v>
      </c>
      <c r="R345" s="157">
        <v>0</v>
      </c>
      <c r="S345" s="158" t="s">
        <v>404</v>
      </c>
      <c r="T345" s="155" t="s">
        <v>396</v>
      </c>
      <c r="U345" s="163"/>
      <c r="V345" s="147"/>
    </row>
    <row r="346" spans="1:22">
      <c r="A346" s="159">
        <v>40</v>
      </c>
      <c r="B346" s="160">
        <v>5</v>
      </c>
      <c r="C346" s="160">
        <v>102</v>
      </c>
      <c r="D346" s="159">
        <v>506</v>
      </c>
      <c r="E346" s="159">
        <v>50</v>
      </c>
      <c r="F346" s="160">
        <v>3</v>
      </c>
      <c r="G346" s="161">
        <f t="shared" si="38"/>
        <v>5902</v>
      </c>
      <c r="H346" s="159">
        <f t="shared" si="39"/>
        <v>6</v>
      </c>
      <c r="I346" s="159">
        <f t="shared" si="40"/>
        <v>12650</v>
      </c>
      <c r="J346" s="147">
        <v>16</v>
      </c>
      <c r="K346" s="147">
        <v>1</v>
      </c>
      <c r="L346" s="147" t="s">
        <v>655</v>
      </c>
      <c r="M346" s="147">
        <v>7</v>
      </c>
      <c r="N346" s="147">
        <v>1</v>
      </c>
      <c r="O346" s="147" t="s">
        <v>655</v>
      </c>
      <c r="P346" s="147">
        <v>102</v>
      </c>
      <c r="Q346" s="156">
        <v>552</v>
      </c>
      <c r="R346" s="157">
        <v>0</v>
      </c>
      <c r="S346" s="158" t="s">
        <v>404</v>
      </c>
      <c r="T346" s="155" t="s">
        <v>396</v>
      </c>
      <c r="U346" s="163"/>
      <c r="V346" s="147"/>
    </row>
    <row r="347" spans="1:22">
      <c r="A347" s="159">
        <v>40</v>
      </c>
      <c r="B347" s="160">
        <v>6</v>
      </c>
      <c r="C347" s="160">
        <v>102</v>
      </c>
      <c r="D347" s="159">
        <v>608</v>
      </c>
      <c r="E347" s="159">
        <v>60</v>
      </c>
      <c r="F347" s="160">
        <v>4</v>
      </c>
      <c r="G347" s="161">
        <f t="shared" si="38"/>
        <v>5902</v>
      </c>
      <c r="H347" s="159">
        <f t="shared" si="39"/>
        <v>8</v>
      </c>
      <c r="I347" s="159">
        <f t="shared" si="40"/>
        <v>15200</v>
      </c>
      <c r="J347" s="147">
        <v>16</v>
      </c>
      <c r="K347" s="147">
        <v>1</v>
      </c>
      <c r="L347" s="147" t="s">
        <v>655</v>
      </c>
      <c r="M347" s="147">
        <v>7</v>
      </c>
      <c r="N347" s="147">
        <v>1</v>
      </c>
      <c r="O347" s="147" t="s">
        <v>655</v>
      </c>
      <c r="P347" s="147">
        <v>102</v>
      </c>
      <c r="Q347" s="156">
        <v>619</v>
      </c>
      <c r="R347" s="157">
        <v>0</v>
      </c>
      <c r="S347" s="158" t="s">
        <v>404</v>
      </c>
      <c r="T347" s="155" t="s">
        <v>396</v>
      </c>
      <c r="U347" s="163"/>
      <c r="V347" s="147"/>
    </row>
    <row r="348" spans="1:22">
      <c r="A348" s="159">
        <v>40</v>
      </c>
      <c r="B348" s="160">
        <v>7</v>
      </c>
      <c r="C348" s="160">
        <v>102</v>
      </c>
      <c r="D348" s="159">
        <v>709</v>
      </c>
      <c r="E348" s="159">
        <v>70</v>
      </c>
      <c r="F348" s="160">
        <v>4</v>
      </c>
      <c r="G348" s="161">
        <f t="shared" si="38"/>
        <v>5902</v>
      </c>
      <c r="H348" s="159">
        <f t="shared" si="39"/>
        <v>10</v>
      </c>
      <c r="I348" s="159">
        <f t="shared" si="40"/>
        <v>17725</v>
      </c>
      <c r="J348" s="147">
        <v>16</v>
      </c>
      <c r="K348" s="147">
        <v>1</v>
      </c>
      <c r="L348" s="147" t="s">
        <v>655</v>
      </c>
      <c r="M348" s="147">
        <v>7</v>
      </c>
      <c r="N348" s="147">
        <v>1</v>
      </c>
      <c r="O348" s="147" t="s">
        <v>655</v>
      </c>
      <c r="P348" s="147">
        <v>102</v>
      </c>
      <c r="Q348" s="156">
        <v>699</v>
      </c>
      <c r="R348" s="157">
        <v>0</v>
      </c>
      <c r="S348" s="158" t="s">
        <v>404</v>
      </c>
      <c r="T348" s="155" t="s">
        <v>396</v>
      </c>
      <c r="U348" s="163"/>
      <c r="V348" s="147"/>
    </row>
    <row r="349" spans="1:22">
      <c r="A349" s="159">
        <v>40</v>
      </c>
      <c r="B349" s="160">
        <v>8</v>
      </c>
      <c r="C349" s="160">
        <v>102</v>
      </c>
      <c r="D349" s="159">
        <v>810</v>
      </c>
      <c r="E349" s="159">
        <v>80</v>
      </c>
      <c r="F349" s="160">
        <v>5</v>
      </c>
      <c r="G349" s="161">
        <f t="shared" si="38"/>
        <v>5902</v>
      </c>
      <c r="H349" s="159">
        <f t="shared" si="39"/>
        <v>12</v>
      </c>
      <c r="I349" s="159">
        <f t="shared" si="40"/>
        <v>20250</v>
      </c>
      <c r="J349" s="147">
        <v>16</v>
      </c>
      <c r="K349" s="147">
        <v>1</v>
      </c>
      <c r="L349" s="147" t="s">
        <v>655</v>
      </c>
      <c r="M349" s="147">
        <v>7</v>
      </c>
      <c r="N349" s="147">
        <v>1</v>
      </c>
      <c r="O349" s="147" t="s">
        <v>655</v>
      </c>
      <c r="P349" s="147">
        <v>102</v>
      </c>
      <c r="Q349" s="156">
        <v>791</v>
      </c>
      <c r="R349" s="157">
        <v>0</v>
      </c>
      <c r="S349" s="158" t="s">
        <v>404</v>
      </c>
      <c r="T349" s="155" t="s">
        <v>396</v>
      </c>
      <c r="U349" s="163"/>
      <c r="V349" s="147"/>
    </row>
    <row r="350" spans="1:22">
      <c r="A350" s="159">
        <v>40</v>
      </c>
      <c r="B350" s="160">
        <v>9</v>
      </c>
      <c r="C350" s="160">
        <v>102</v>
      </c>
      <c r="D350" s="159">
        <v>911</v>
      </c>
      <c r="E350" s="159">
        <v>90</v>
      </c>
      <c r="F350" s="160">
        <v>5</v>
      </c>
      <c r="G350" s="161">
        <f t="shared" si="38"/>
        <v>5902</v>
      </c>
      <c r="H350" s="159">
        <f t="shared" si="39"/>
        <v>15</v>
      </c>
      <c r="I350" s="159">
        <f t="shared" si="40"/>
        <v>22775</v>
      </c>
      <c r="J350" s="147">
        <v>16</v>
      </c>
      <c r="K350" s="147">
        <v>1</v>
      </c>
      <c r="L350" s="147" t="s">
        <v>655</v>
      </c>
      <c r="M350" s="147">
        <v>7</v>
      </c>
      <c r="N350" s="147">
        <v>1</v>
      </c>
      <c r="O350" s="147" t="s">
        <v>655</v>
      </c>
      <c r="P350" s="147">
        <v>102</v>
      </c>
      <c r="Q350" s="156">
        <v>896</v>
      </c>
      <c r="R350" s="157">
        <v>0</v>
      </c>
      <c r="S350" s="158" t="s">
        <v>404</v>
      </c>
      <c r="T350" s="155" t="s">
        <v>396</v>
      </c>
      <c r="U350" s="163"/>
      <c r="V350" s="147"/>
    </row>
    <row r="351" spans="1:22">
      <c r="A351" s="159">
        <v>40</v>
      </c>
      <c r="B351" s="160">
        <v>10</v>
      </c>
      <c r="C351" s="160">
        <v>102</v>
      </c>
      <c r="D351" s="159">
        <v>1012</v>
      </c>
      <c r="E351" s="159">
        <v>90</v>
      </c>
      <c r="F351" s="160">
        <v>6</v>
      </c>
      <c r="G351" s="161">
        <f t="shared" si="38"/>
        <v>5902</v>
      </c>
      <c r="H351" s="159">
        <f t="shared" si="39"/>
        <v>18</v>
      </c>
      <c r="I351" s="159">
        <f t="shared" si="40"/>
        <v>25300</v>
      </c>
      <c r="J351" s="147">
        <v>16</v>
      </c>
      <c r="K351" s="147">
        <v>1</v>
      </c>
      <c r="L351" s="147" t="s">
        <v>655</v>
      </c>
      <c r="M351" s="147">
        <v>7</v>
      </c>
      <c r="N351" s="147">
        <v>1</v>
      </c>
      <c r="O351" s="147" t="s">
        <v>655</v>
      </c>
      <c r="P351" s="147">
        <v>102</v>
      </c>
      <c r="Q351" s="156">
        <v>1012</v>
      </c>
      <c r="R351" s="157">
        <v>0</v>
      </c>
      <c r="S351" s="158" t="s">
        <v>404</v>
      </c>
      <c r="T351" s="155" t="s">
        <v>396</v>
      </c>
      <c r="U351" s="163"/>
      <c r="V351" s="147"/>
    </row>
    <row r="352" spans="1:22">
      <c r="A352" s="166">
        <v>41</v>
      </c>
      <c r="B352" s="167">
        <v>1</v>
      </c>
      <c r="C352" s="167">
        <v>102</v>
      </c>
      <c r="D352" s="166">
        <v>92</v>
      </c>
      <c r="E352" s="166">
        <v>10</v>
      </c>
      <c r="F352" s="167">
        <v>1</v>
      </c>
      <c r="G352" s="168">
        <f t="shared" si="38"/>
        <v>5902</v>
      </c>
      <c r="H352" s="166">
        <f t="shared" si="39"/>
        <v>1</v>
      </c>
      <c r="I352" s="166">
        <f t="shared" si="40"/>
        <v>2300</v>
      </c>
      <c r="J352" s="147">
        <v>17</v>
      </c>
      <c r="K352" s="147">
        <v>3</v>
      </c>
      <c r="L352" s="147" t="s">
        <v>657</v>
      </c>
      <c r="M352" s="147">
        <v>1</v>
      </c>
      <c r="N352" s="147">
        <v>1</v>
      </c>
      <c r="O352" s="147" t="s">
        <v>655</v>
      </c>
      <c r="P352" s="147">
        <v>102</v>
      </c>
      <c r="Q352" s="156">
        <v>367</v>
      </c>
      <c r="R352" s="157">
        <v>0</v>
      </c>
      <c r="S352" s="158" t="s">
        <v>405</v>
      </c>
      <c r="T352" s="155" t="s">
        <v>391</v>
      </c>
      <c r="U352" s="163"/>
      <c r="V352" s="147"/>
    </row>
    <row r="353" spans="1:22">
      <c r="A353" s="166">
        <v>41</v>
      </c>
      <c r="B353" s="167">
        <v>2</v>
      </c>
      <c r="C353" s="167">
        <v>102</v>
      </c>
      <c r="D353" s="166">
        <v>184</v>
      </c>
      <c r="E353" s="166">
        <v>20</v>
      </c>
      <c r="F353" s="167">
        <v>2</v>
      </c>
      <c r="G353" s="168">
        <f t="shared" si="38"/>
        <v>5902</v>
      </c>
      <c r="H353" s="166">
        <f t="shared" si="39"/>
        <v>2</v>
      </c>
      <c r="I353" s="166">
        <f t="shared" si="40"/>
        <v>4600</v>
      </c>
      <c r="J353" s="147">
        <v>17</v>
      </c>
      <c r="K353" s="147">
        <v>3</v>
      </c>
      <c r="L353" s="147" t="s">
        <v>657</v>
      </c>
      <c r="M353" s="147">
        <v>1</v>
      </c>
      <c r="N353" s="147">
        <v>1</v>
      </c>
      <c r="O353" s="147" t="s">
        <v>655</v>
      </c>
      <c r="P353" s="147">
        <v>102</v>
      </c>
      <c r="Q353" s="156">
        <v>384</v>
      </c>
      <c r="R353" s="157">
        <v>0</v>
      </c>
      <c r="S353" s="158" t="s">
        <v>405</v>
      </c>
      <c r="T353" s="155" t="s">
        <v>391</v>
      </c>
      <c r="U353" s="163"/>
      <c r="V353" s="147"/>
    </row>
    <row r="354" spans="1:22">
      <c r="A354" s="166">
        <v>41</v>
      </c>
      <c r="B354" s="167">
        <v>3</v>
      </c>
      <c r="C354" s="167">
        <v>102</v>
      </c>
      <c r="D354" s="166">
        <v>276</v>
      </c>
      <c r="E354" s="166">
        <v>30</v>
      </c>
      <c r="F354" s="167">
        <v>2</v>
      </c>
      <c r="G354" s="168">
        <f t="shared" si="38"/>
        <v>5902</v>
      </c>
      <c r="H354" s="166">
        <f t="shared" si="39"/>
        <v>3</v>
      </c>
      <c r="I354" s="166">
        <f t="shared" si="40"/>
        <v>6900</v>
      </c>
      <c r="J354" s="147">
        <v>17</v>
      </c>
      <c r="K354" s="147">
        <v>3</v>
      </c>
      <c r="L354" s="147" t="s">
        <v>657</v>
      </c>
      <c r="M354" s="147">
        <v>1</v>
      </c>
      <c r="N354" s="147">
        <v>1</v>
      </c>
      <c r="O354" s="147" t="s">
        <v>655</v>
      </c>
      <c r="P354" s="147">
        <v>102</v>
      </c>
      <c r="Q354" s="156">
        <v>412</v>
      </c>
      <c r="R354" s="157">
        <v>0</v>
      </c>
      <c r="S354" s="158" t="s">
        <v>405</v>
      </c>
      <c r="T354" s="155" t="s">
        <v>391</v>
      </c>
      <c r="U354" s="163"/>
      <c r="V354" s="147"/>
    </row>
    <row r="355" spans="1:22">
      <c r="A355" s="166">
        <v>41</v>
      </c>
      <c r="B355" s="167">
        <v>4</v>
      </c>
      <c r="C355" s="167">
        <v>102</v>
      </c>
      <c r="D355" s="166">
        <v>368</v>
      </c>
      <c r="E355" s="166">
        <v>40</v>
      </c>
      <c r="F355" s="167">
        <v>3</v>
      </c>
      <c r="G355" s="168">
        <f t="shared" si="38"/>
        <v>5902</v>
      </c>
      <c r="H355" s="166">
        <f t="shared" si="39"/>
        <v>4</v>
      </c>
      <c r="I355" s="166">
        <f t="shared" si="40"/>
        <v>9200</v>
      </c>
      <c r="J355" s="147">
        <v>17</v>
      </c>
      <c r="K355" s="147">
        <v>3</v>
      </c>
      <c r="L355" s="147" t="s">
        <v>657</v>
      </c>
      <c r="M355" s="147">
        <v>1</v>
      </c>
      <c r="N355" s="147">
        <v>1</v>
      </c>
      <c r="O355" s="147" t="s">
        <v>655</v>
      </c>
      <c r="P355" s="147">
        <v>102</v>
      </c>
      <c r="Q355" s="156">
        <v>451</v>
      </c>
      <c r="R355" s="157">
        <v>0</v>
      </c>
      <c r="S355" s="158" t="s">
        <v>405</v>
      </c>
      <c r="T355" s="155" t="s">
        <v>391</v>
      </c>
      <c r="U355" s="163"/>
      <c r="V355" s="147"/>
    </row>
    <row r="356" spans="1:22">
      <c r="A356" s="166">
        <v>41</v>
      </c>
      <c r="B356" s="167">
        <v>5</v>
      </c>
      <c r="C356" s="167">
        <v>102</v>
      </c>
      <c r="D356" s="166">
        <v>460</v>
      </c>
      <c r="E356" s="166">
        <v>50</v>
      </c>
      <c r="F356" s="167">
        <v>3</v>
      </c>
      <c r="G356" s="168">
        <f t="shared" si="38"/>
        <v>5902</v>
      </c>
      <c r="H356" s="166">
        <f t="shared" si="39"/>
        <v>6</v>
      </c>
      <c r="I356" s="166">
        <f t="shared" si="40"/>
        <v>11500</v>
      </c>
      <c r="J356" s="147">
        <v>17</v>
      </c>
      <c r="K356" s="147">
        <v>3</v>
      </c>
      <c r="L356" s="147" t="s">
        <v>657</v>
      </c>
      <c r="M356" s="147">
        <v>1</v>
      </c>
      <c r="N356" s="147">
        <v>1</v>
      </c>
      <c r="O356" s="147" t="s">
        <v>655</v>
      </c>
      <c r="P356" s="147">
        <v>102</v>
      </c>
      <c r="Q356" s="156">
        <v>501</v>
      </c>
      <c r="R356" s="157">
        <v>0</v>
      </c>
      <c r="S356" s="158" t="s">
        <v>405</v>
      </c>
      <c r="T356" s="155" t="s">
        <v>391</v>
      </c>
      <c r="U356" s="163"/>
      <c r="V356" s="147"/>
    </row>
    <row r="357" spans="1:22">
      <c r="A357" s="166">
        <v>41</v>
      </c>
      <c r="B357" s="167">
        <v>6</v>
      </c>
      <c r="C357" s="167">
        <v>102</v>
      </c>
      <c r="D357" s="166">
        <v>552</v>
      </c>
      <c r="E357" s="166">
        <v>60</v>
      </c>
      <c r="F357" s="167">
        <v>4</v>
      </c>
      <c r="G357" s="168">
        <f t="shared" si="38"/>
        <v>5902</v>
      </c>
      <c r="H357" s="166">
        <f t="shared" si="39"/>
        <v>8</v>
      </c>
      <c r="I357" s="166">
        <f t="shared" si="40"/>
        <v>13800</v>
      </c>
      <c r="J357" s="147">
        <v>17</v>
      </c>
      <c r="K357" s="147">
        <v>3</v>
      </c>
      <c r="L357" s="147" t="s">
        <v>657</v>
      </c>
      <c r="M357" s="147">
        <v>1</v>
      </c>
      <c r="N357" s="147">
        <v>1</v>
      </c>
      <c r="O357" s="147" t="s">
        <v>655</v>
      </c>
      <c r="P357" s="147">
        <v>102</v>
      </c>
      <c r="Q357" s="156">
        <v>562</v>
      </c>
      <c r="R357" s="157">
        <v>0</v>
      </c>
      <c r="S357" s="158" t="s">
        <v>405</v>
      </c>
      <c r="T357" s="155" t="s">
        <v>391</v>
      </c>
      <c r="U357" s="163"/>
      <c r="V357" s="147"/>
    </row>
    <row r="358" spans="1:22">
      <c r="A358" s="166">
        <v>41</v>
      </c>
      <c r="B358" s="167">
        <v>7</v>
      </c>
      <c r="C358" s="167">
        <v>102</v>
      </c>
      <c r="D358" s="166">
        <v>644</v>
      </c>
      <c r="E358" s="166">
        <v>70</v>
      </c>
      <c r="F358" s="167">
        <v>4</v>
      </c>
      <c r="G358" s="168">
        <f t="shared" si="38"/>
        <v>5902</v>
      </c>
      <c r="H358" s="166">
        <f t="shared" si="39"/>
        <v>10</v>
      </c>
      <c r="I358" s="166">
        <f t="shared" si="40"/>
        <v>16100</v>
      </c>
      <c r="J358" s="147">
        <v>17</v>
      </c>
      <c r="K358" s="147">
        <v>3</v>
      </c>
      <c r="L358" s="147" t="s">
        <v>657</v>
      </c>
      <c r="M358" s="147">
        <v>1</v>
      </c>
      <c r="N358" s="147">
        <v>1</v>
      </c>
      <c r="O358" s="147" t="s">
        <v>655</v>
      </c>
      <c r="P358" s="147">
        <v>102</v>
      </c>
      <c r="Q358" s="156">
        <v>635</v>
      </c>
      <c r="R358" s="157">
        <v>0</v>
      </c>
      <c r="S358" s="158" t="s">
        <v>405</v>
      </c>
      <c r="T358" s="155" t="s">
        <v>391</v>
      </c>
      <c r="U358" s="163"/>
      <c r="V358" s="147"/>
    </row>
    <row r="359" spans="1:22">
      <c r="A359" s="166">
        <v>41</v>
      </c>
      <c r="B359" s="167">
        <v>8</v>
      </c>
      <c r="C359" s="167">
        <v>102</v>
      </c>
      <c r="D359" s="166">
        <v>736</v>
      </c>
      <c r="E359" s="166">
        <v>80</v>
      </c>
      <c r="F359" s="167">
        <v>5</v>
      </c>
      <c r="G359" s="168">
        <f t="shared" si="38"/>
        <v>5902</v>
      </c>
      <c r="H359" s="166">
        <f t="shared" si="39"/>
        <v>12</v>
      </c>
      <c r="I359" s="166">
        <f t="shared" si="40"/>
        <v>18400</v>
      </c>
      <c r="J359" s="147">
        <v>17</v>
      </c>
      <c r="K359" s="147">
        <v>3</v>
      </c>
      <c r="L359" s="147" t="s">
        <v>657</v>
      </c>
      <c r="M359" s="147">
        <v>1</v>
      </c>
      <c r="N359" s="147">
        <v>1</v>
      </c>
      <c r="O359" s="147" t="s">
        <v>655</v>
      </c>
      <c r="P359" s="147">
        <v>102</v>
      </c>
      <c r="Q359" s="156">
        <v>718</v>
      </c>
      <c r="R359" s="157">
        <v>0</v>
      </c>
      <c r="S359" s="158" t="s">
        <v>405</v>
      </c>
      <c r="T359" s="155" t="s">
        <v>391</v>
      </c>
      <c r="U359" s="163"/>
      <c r="V359" s="147"/>
    </row>
    <row r="360" spans="1:22">
      <c r="A360" s="166">
        <v>41</v>
      </c>
      <c r="B360" s="167">
        <v>9</v>
      </c>
      <c r="C360" s="167">
        <v>102</v>
      </c>
      <c r="D360" s="166">
        <v>828</v>
      </c>
      <c r="E360" s="166">
        <v>90</v>
      </c>
      <c r="F360" s="167">
        <v>5</v>
      </c>
      <c r="G360" s="168">
        <f t="shared" si="38"/>
        <v>5902</v>
      </c>
      <c r="H360" s="166">
        <f t="shared" si="39"/>
        <v>15</v>
      </c>
      <c r="I360" s="166">
        <f t="shared" si="40"/>
        <v>20700</v>
      </c>
      <c r="J360" s="147">
        <v>17</v>
      </c>
      <c r="K360" s="147">
        <v>3</v>
      </c>
      <c r="L360" s="147" t="s">
        <v>657</v>
      </c>
      <c r="M360" s="147">
        <v>1</v>
      </c>
      <c r="N360" s="147">
        <v>1</v>
      </c>
      <c r="O360" s="147" t="s">
        <v>655</v>
      </c>
      <c r="P360" s="147">
        <v>102</v>
      </c>
      <c r="Q360" s="156">
        <v>813</v>
      </c>
      <c r="R360" s="157">
        <v>0</v>
      </c>
      <c r="S360" s="158" t="s">
        <v>405</v>
      </c>
      <c r="T360" s="155" t="s">
        <v>391</v>
      </c>
      <c r="U360" s="163"/>
      <c r="V360" s="147"/>
    </row>
    <row r="361" spans="1:22">
      <c r="A361" s="166">
        <v>41</v>
      </c>
      <c r="B361" s="167">
        <v>10</v>
      </c>
      <c r="C361" s="167">
        <v>102</v>
      </c>
      <c r="D361" s="166">
        <v>919</v>
      </c>
      <c r="E361" s="166">
        <v>90</v>
      </c>
      <c r="F361" s="167">
        <v>6</v>
      </c>
      <c r="G361" s="168">
        <f t="shared" si="38"/>
        <v>5902</v>
      </c>
      <c r="H361" s="166">
        <f t="shared" si="39"/>
        <v>18</v>
      </c>
      <c r="I361" s="166">
        <f t="shared" si="40"/>
        <v>22975</v>
      </c>
      <c r="J361" s="147">
        <v>17</v>
      </c>
      <c r="K361" s="147">
        <v>3</v>
      </c>
      <c r="L361" s="147" t="s">
        <v>657</v>
      </c>
      <c r="M361" s="147">
        <v>1</v>
      </c>
      <c r="N361" s="147">
        <v>1</v>
      </c>
      <c r="O361" s="147" t="s">
        <v>655</v>
      </c>
      <c r="P361" s="147">
        <v>102</v>
      </c>
      <c r="Q361" s="156">
        <v>919</v>
      </c>
      <c r="R361" s="157">
        <v>0</v>
      </c>
      <c r="S361" s="158" t="s">
        <v>405</v>
      </c>
      <c r="T361" s="155" t="s">
        <v>391</v>
      </c>
      <c r="U361" s="163"/>
      <c r="V361" s="147"/>
    </row>
    <row r="362" spans="1:22">
      <c r="A362" s="159">
        <v>42</v>
      </c>
      <c r="B362" s="160">
        <v>1</v>
      </c>
      <c r="C362" s="160">
        <v>102</v>
      </c>
      <c r="D362" s="159">
        <v>92</v>
      </c>
      <c r="E362" s="159">
        <v>10</v>
      </c>
      <c r="F362" s="160">
        <v>1</v>
      </c>
      <c r="G362" s="161">
        <f t="shared" si="38"/>
        <v>5902</v>
      </c>
      <c r="H362" s="159">
        <f t="shared" si="39"/>
        <v>1</v>
      </c>
      <c r="I362" s="159">
        <f t="shared" si="40"/>
        <v>2300</v>
      </c>
      <c r="J362" s="147">
        <v>17</v>
      </c>
      <c r="K362" s="147">
        <v>3</v>
      </c>
      <c r="L362" s="147" t="s">
        <v>657</v>
      </c>
      <c r="M362" s="147">
        <v>15</v>
      </c>
      <c r="N362" s="147">
        <v>1</v>
      </c>
      <c r="O362" s="147" t="s">
        <v>655</v>
      </c>
      <c r="P362" s="147">
        <v>102</v>
      </c>
      <c r="Q362" s="156">
        <v>367</v>
      </c>
      <c r="R362" s="157">
        <v>0</v>
      </c>
      <c r="S362" s="158" t="s">
        <v>405</v>
      </c>
      <c r="T362" s="155" t="s">
        <v>403</v>
      </c>
      <c r="U362" s="163"/>
      <c r="V362" s="147"/>
    </row>
    <row r="363" spans="1:22">
      <c r="A363" s="159">
        <v>42</v>
      </c>
      <c r="B363" s="160">
        <v>2</v>
      </c>
      <c r="C363" s="160">
        <v>102</v>
      </c>
      <c r="D363" s="159">
        <v>184</v>
      </c>
      <c r="E363" s="159">
        <v>20</v>
      </c>
      <c r="F363" s="160">
        <v>2</v>
      </c>
      <c r="G363" s="161">
        <f t="shared" si="38"/>
        <v>5902</v>
      </c>
      <c r="H363" s="159">
        <f t="shared" si="39"/>
        <v>2</v>
      </c>
      <c r="I363" s="159">
        <f t="shared" si="40"/>
        <v>4600</v>
      </c>
      <c r="J363" s="147">
        <v>17</v>
      </c>
      <c r="K363" s="147">
        <v>3</v>
      </c>
      <c r="L363" s="147" t="s">
        <v>657</v>
      </c>
      <c r="M363" s="147">
        <v>15</v>
      </c>
      <c r="N363" s="147">
        <v>1</v>
      </c>
      <c r="O363" s="147" t="s">
        <v>655</v>
      </c>
      <c r="P363" s="147">
        <v>102</v>
      </c>
      <c r="Q363" s="156">
        <v>384</v>
      </c>
      <c r="R363" s="157">
        <v>0</v>
      </c>
      <c r="S363" s="158" t="s">
        <v>405</v>
      </c>
      <c r="T363" s="155" t="s">
        <v>403</v>
      </c>
      <c r="U363" s="163"/>
      <c r="V363" s="147"/>
    </row>
    <row r="364" spans="1:22">
      <c r="A364" s="159">
        <v>42</v>
      </c>
      <c r="B364" s="160">
        <v>3</v>
      </c>
      <c r="C364" s="160">
        <v>102</v>
      </c>
      <c r="D364" s="159">
        <v>276</v>
      </c>
      <c r="E364" s="159">
        <v>30</v>
      </c>
      <c r="F364" s="160">
        <v>2</v>
      </c>
      <c r="G364" s="161">
        <f t="shared" si="38"/>
        <v>5902</v>
      </c>
      <c r="H364" s="159">
        <f t="shared" si="39"/>
        <v>3</v>
      </c>
      <c r="I364" s="159">
        <f t="shared" si="40"/>
        <v>6900</v>
      </c>
      <c r="J364" s="147">
        <v>17</v>
      </c>
      <c r="K364" s="147">
        <v>3</v>
      </c>
      <c r="L364" s="147" t="s">
        <v>657</v>
      </c>
      <c r="M364" s="147">
        <v>15</v>
      </c>
      <c r="N364" s="147">
        <v>1</v>
      </c>
      <c r="O364" s="147" t="s">
        <v>655</v>
      </c>
      <c r="P364" s="147">
        <v>102</v>
      </c>
      <c r="Q364" s="156">
        <v>412</v>
      </c>
      <c r="R364" s="157">
        <v>0</v>
      </c>
      <c r="S364" s="158" t="s">
        <v>405</v>
      </c>
      <c r="T364" s="155" t="s">
        <v>403</v>
      </c>
      <c r="U364" s="163"/>
      <c r="V364" s="147"/>
    </row>
    <row r="365" spans="1:22">
      <c r="A365" s="159">
        <v>42</v>
      </c>
      <c r="B365" s="160">
        <v>4</v>
      </c>
      <c r="C365" s="160">
        <v>102</v>
      </c>
      <c r="D365" s="159">
        <v>368</v>
      </c>
      <c r="E365" s="159">
        <v>40</v>
      </c>
      <c r="F365" s="160">
        <v>3</v>
      </c>
      <c r="G365" s="161">
        <f t="shared" si="38"/>
        <v>5902</v>
      </c>
      <c r="H365" s="159">
        <f t="shared" si="39"/>
        <v>4</v>
      </c>
      <c r="I365" s="159">
        <f t="shared" si="40"/>
        <v>9200</v>
      </c>
      <c r="J365" s="147">
        <v>17</v>
      </c>
      <c r="K365" s="147">
        <v>3</v>
      </c>
      <c r="L365" s="147" t="s">
        <v>657</v>
      </c>
      <c r="M365" s="147">
        <v>15</v>
      </c>
      <c r="N365" s="147">
        <v>1</v>
      </c>
      <c r="O365" s="147" t="s">
        <v>655</v>
      </c>
      <c r="P365" s="147">
        <v>102</v>
      </c>
      <c r="Q365" s="156">
        <v>451</v>
      </c>
      <c r="R365" s="157">
        <v>0</v>
      </c>
      <c r="S365" s="158" t="s">
        <v>405</v>
      </c>
      <c r="T365" s="155" t="s">
        <v>403</v>
      </c>
      <c r="U365" s="163"/>
      <c r="V365" s="147"/>
    </row>
    <row r="366" spans="1:22">
      <c r="A366" s="159">
        <v>42</v>
      </c>
      <c r="B366" s="160">
        <v>5</v>
      </c>
      <c r="C366" s="160">
        <v>102</v>
      </c>
      <c r="D366" s="159">
        <v>460</v>
      </c>
      <c r="E366" s="159">
        <v>50</v>
      </c>
      <c r="F366" s="160">
        <v>3</v>
      </c>
      <c r="G366" s="161">
        <f t="shared" si="38"/>
        <v>5902</v>
      </c>
      <c r="H366" s="159">
        <f t="shared" si="39"/>
        <v>6</v>
      </c>
      <c r="I366" s="159">
        <f t="shared" si="40"/>
        <v>11500</v>
      </c>
      <c r="J366" s="147">
        <v>17</v>
      </c>
      <c r="K366" s="147">
        <v>3</v>
      </c>
      <c r="L366" s="147" t="s">
        <v>657</v>
      </c>
      <c r="M366" s="147">
        <v>15</v>
      </c>
      <c r="N366" s="147">
        <v>1</v>
      </c>
      <c r="O366" s="147" t="s">
        <v>655</v>
      </c>
      <c r="P366" s="147">
        <v>102</v>
      </c>
      <c r="Q366" s="156">
        <v>501</v>
      </c>
      <c r="R366" s="157">
        <v>0</v>
      </c>
      <c r="S366" s="158" t="s">
        <v>405</v>
      </c>
      <c r="T366" s="155" t="s">
        <v>403</v>
      </c>
      <c r="U366" s="163"/>
      <c r="V366" s="147"/>
    </row>
    <row r="367" spans="1:22">
      <c r="A367" s="159">
        <v>42</v>
      </c>
      <c r="B367" s="160">
        <v>6</v>
      </c>
      <c r="C367" s="160">
        <v>102</v>
      </c>
      <c r="D367" s="159">
        <v>552</v>
      </c>
      <c r="E367" s="159">
        <v>60</v>
      </c>
      <c r="F367" s="160">
        <v>4</v>
      </c>
      <c r="G367" s="161">
        <f t="shared" si="38"/>
        <v>5902</v>
      </c>
      <c r="H367" s="159">
        <f t="shared" si="39"/>
        <v>8</v>
      </c>
      <c r="I367" s="159">
        <f t="shared" si="40"/>
        <v>13800</v>
      </c>
      <c r="J367" s="147">
        <v>17</v>
      </c>
      <c r="K367" s="147">
        <v>3</v>
      </c>
      <c r="L367" s="147" t="s">
        <v>657</v>
      </c>
      <c r="M367" s="147">
        <v>15</v>
      </c>
      <c r="N367" s="147">
        <v>1</v>
      </c>
      <c r="O367" s="147" t="s">
        <v>655</v>
      </c>
      <c r="P367" s="147">
        <v>102</v>
      </c>
      <c r="Q367" s="156">
        <v>562</v>
      </c>
      <c r="R367" s="157">
        <v>0</v>
      </c>
      <c r="S367" s="158" t="s">
        <v>405</v>
      </c>
      <c r="T367" s="155" t="s">
        <v>403</v>
      </c>
      <c r="U367" s="163"/>
      <c r="V367" s="147"/>
    </row>
    <row r="368" spans="1:22">
      <c r="A368" s="159">
        <v>42</v>
      </c>
      <c r="B368" s="160">
        <v>7</v>
      </c>
      <c r="C368" s="160">
        <v>102</v>
      </c>
      <c r="D368" s="159">
        <v>644</v>
      </c>
      <c r="E368" s="159">
        <v>70</v>
      </c>
      <c r="F368" s="160">
        <v>4</v>
      </c>
      <c r="G368" s="161">
        <f t="shared" si="38"/>
        <v>5902</v>
      </c>
      <c r="H368" s="159">
        <f t="shared" si="39"/>
        <v>10</v>
      </c>
      <c r="I368" s="159">
        <f t="shared" si="40"/>
        <v>16100</v>
      </c>
      <c r="J368" s="147">
        <v>17</v>
      </c>
      <c r="K368" s="147">
        <v>3</v>
      </c>
      <c r="L368" s="147" t="s">
        <v>657</v>
      </c>
      <c r="M368" s="147">
        <v>15</v>
      </c>
      <c r="N368" s="147">
        <v>1</v>
      </c>
      <c r="O368" s="147" t="s">
        <v>655</v>
      </c>
      <c r="P368" s="147">
        <v>102</v>
      </c>
      <c r="Q368" s="156">
        <v>635</v>
      </c>
      <c r="R368" s="157">
        <v>0</v>
      </c>
      <c r="S368" s="158" t="s">
        <v>405</v>
      </c>
      <c r="T368" s="155" t="s">
        <v>403</v>
      </c>
      <c r="U368" s="163"/>
      <c r="V368" s="147"/>
    </row>
    <row r="369" spans="1:22">
      <c r="A369" s="159">
        <v>42</v>
      </c>
      <c r="B369" s="160">
        <v>8</v>
      </c>
      <c r="C369" s="160">
        <v>102</v>
      </c>
      <c r="D369" s="159">
        <v>736</v>
      </c>
      <c r="E369" s="159">
        <v>80</v>
      </c>
      <c r="F369" s="160">
        <v>5</v>
      </c>
      <c r="G369" s="161">
        <f t="shared" si="38"/>
        <v>5902</v>
      </c>
      <c r="H369" s="159">
        <f t="shared" si="39"/>
        <v>12</v>
      </c>
      <c r="I369" s="159">
        <f t="shared" si="40"/>
        <v>18400</v>
      </c>
      <c r="J369" s="147">
        <v>17</v>
      </c>
      <c r="K369" s="147">
        <v>3</v>
      </c>
      <c r="L369" s="147" t="s">
        <v>657</v>
      </c>
      <c r="M369" s="147">
        <v>15</v>
      </c>
      <c r="N369" s="147">
        <v>1</v>
      </c>
      <c r="O369" s="147" t="s">
        <v>655</v>
      </c>
      <c r="P369" s="147">
        <v>102</v>
      </c>
      <c r="Q369" s="156">
        <v>718</v>
      </c>
      <c r="R369" s="157">
        <v>0</v>
      </c>
      <c r="S369" s="158" t="s">
        <v>405</v>
      </c>
      <c r="T369" s="155" t="s">
        <v>403</v>
      </c>
      <c r="U369" s="163"/>
      <c r="V369" s="147"/>
    </row>
    <row r="370" spans="1:22">
      <c r="A370" s="159">
        <v>42</v>
      </c>
      <c r="B370" s="160">
        <v>9</v>
      </c>
      <c r="C370" s="160">
        <v>102</v>
      </c>
      <c r="D370" s="159">
        <v>828</v>
      </c>
      <c r="E370" s="159">
        <v>90</v>
      </c>
      <c r="F370" s="160">
        <v>5</v>
      </c>
      <c r="G370" s="161">
        <f t="shared" si="38"/>
        <v>5902</v>
      </c>
      <c r="H370" s="159">
        <f t="shared" si="39"/>
        <v>15</v>
      </c>
      <c r="I370" s="159">
        <f t="shared" si="40"/>
        <v>20700</v>
      </c>
      <c r="J370" s="147">
        <v>17</v>
      </c>
      <c r="K370" s="147">
        <v>3</v>
      </c>
      <c r="L370" s="147" t="s">
        <v>657</v>
      </c>
      <c r="M370" s="147">
        <v>15</v>
      </c>
      <c r="N370" s="147">
        <v>1</v>
      </c>
      <c r="O370" s="147" t="s">
        <v>655</v>
      </c>
      <c r="P370" s="147">
        <v>102</v>
      </c>
      <c r="Q370" s="156">
        <v>813</v>
      </c>
      <c r="R370" s="157">
        <v>0</v>
      </c>
      <c r="S370" s="158" t="s">
        <v>405</v>
      </c>
      <c r="T370" s="155" t="s">
        <v>403</v>
      </c>
      <c r="U370" s="163"/>
      <c r="V370" s="147"/>
    </row>
    <row r="371" spans="1:22">
      <c r="A371" s="159">
        <v>42</v>
      </c>
      <c r="B371" s="160">
        <v>10</v>
      </c>
      <c r="C371" s="160">
        <v>102</v>
      </c>
      <c r="D371" s="159">
        <v>919</v>
      </c>
      <c r="E371" s="159">
        <v>90</v>
      </c>
      <c r="F371" s="160">
        <v>6</v>
      </c>
      <c r="G371" s="161">
        <f t="shared" si="38"/>
        <v>5902</v>
      </c>
      <c r="H371" s="159">
        <f t="shared" si="39"/>
        <v>18</v>
      </c>
      <c r="I371" s="159">
        <f t="shared" si="40"/>
        <v>22975</v>
      </c>
      <c r="J371" s="147">
        <v>17</v>
      </c>
      <c r="K371" s="147">
        <v>3</v>
      </c>
      <c r="L371" s="147" t="s">
        <v>657</v>
      </c>
      <c r="M371" s="147">
        <v>15</v>
      </c>
      <c r="N371" s="147">
        <v>1</v>
      </c>
      <c r="O371" s="147" t="s">
        <v>655</v>
      </c>
      <c r="P371" s="147">
        <v>102</v>
      </c>
      <c r="Q371" s="156">
        <v>919</v>
      </c>
      <c r="R371" s="157">
        <v>0</v>
      </c>
      <c r="S371" s="158" t="s">
        <v>405</v>
      </c>
      <c r="T371" s="155" t="s">
        <v>403</v>
      </c>
      <c r="U371" s="163"/>
      <c r="V371" s="147"/>
    </row>
    <row r="372" spans="1:22">
      <c r="A372" s="166">
        <v>43</v>
      </c>
      <c r="B372" s="167">
        <v>1</v>
      </c>
      <c r="C372" s="167">
        <v>102</v>
      </c>
      <c r="D372" s="166">
        <v>92</v>
      </c>
      <c r="E372" s="166">
        <v>10</v>
      </c>
      <c r="F372" s="167">
        <v>1</v>
      </c>
      <c r="G372" s="168">
        <f t="shared" si="38"/>
        <v>5902</v>
      </c>
      <c r="H372" s="166">
        <f t="shared" si="39"/>
        <v>1</v>
      </c>
      <c r="I372" s="166">
        <f t="shared" si="40"/>
        <v>2300</v>
      </c>
      <c r="J372" s="147">
        <v>17</v>
      </c>
      <c r="K372" s="147">
        <v>3</v>
      </c>
      <c r="L372" s="147" t="s">
        <v>657</v>
      </c>
      <c r="M372" s="147">
        <v>16</v>
      </c>
      <c r="N372" s="147">
        <v>1</v>
      </c>
      <c r="O372" s="147" t="s">
        <v>655</v>
      </c>
      <c r="P372" s="147">
        <v>102</v>
      </c>
      <c r="Q372" s="156">
        <v>367</v>
      </c>
      <c r="R372" s="157">
        <v>0</v>
      </c>
      <c r="S372" s="158" t="s">
        <v>405</v>
      </c>
      <c r="T372" s="155" t="s">
        <v>404</v>
      </c>
      <c r="U372" s="163"/>
      <c r="V372" s="147"/>
    </row>
    <row r="373" spans="1:22">
      <c r="A373" s="166">
        <v>43</v>
      </c>
      <c r="B373" s="167">
        <v>2</v>
      </c>
      <c r="C373" s="167">
        <v>102</v>
      </c>
      <c r="D373" s="166">
        <v>184</v>
      </c>
      <c r="E373" s="166">
        <v>20</v>
      </c>
      <c r="F373" s="167">
        <v>2</v>
      </c>
      <c r="G373" s="168">
        <f t="shared" si="38"/>
        <v>5902</v>
      </c>
      <c r="H373" s="166">
        <f t="shared" si="39"/>
        <v>2</v>
      </c>
      <c r="I373" s="166">
        <f t="shared" si="40"/>
        <v>4600</v>
      </c>
      <c r="J373" s="147">
        <v>17</v>
      </c>
      <c r="K373" s="147">
        <v>3</v>
      </c>
      <c r="L373" s="147" t="s">
        <v>657</v>
      </c>
      <c r="M373" s="147">
        <v>16</v>
      </c>
      <c r="N373" s="147">
        <v>1</v>
      </c>
      <c r="O373" s="147" t="s">
        <v>655</v>
      </c>
      <c r="P373" s="147">
        <v>102</v>
      </c>
      <c r="Q373" s="156">
        <v>384</v>
      </c>
      <c r="R373" s="157">
        <v>0</v>
      </c>
      <c r="S373" s="158" t="s">
        <v>405</v>
      </c>
      <c r="T373" s="155" t="s">
        <v>404</v>
      </c>
      <c r="U373" s="163"/>
      <c r="V373" s="147"/>
    </row>
    <row r="374" spans="1:22">
      <c r="A374" s="166">
        <v>43</v>
      </c>
      <c r="B374" s="167">
        <v>3</v>
      </c>
      <c r="C374" s="167">
        <v>102</v>
      </c>
      <c r="D374" s="166">
        <v>276</v>
      </c>
      <c r="E374" s="166">
        <v>30</v>
      </c>
      <c r="F374" s="167">
        <v>2</v>
      </c>
      <c r="G374" s="168">
        <f t="shared" si="38"/>
        <v>5902</v>
      </c>
      <c r="H374" s="166">
        <f t="shared" si="39"/>
        <v>3</v>
      </c>
      <c r="I374" s="166">
        <f t="shared" si="40"/>
        <v>6900</v>
      </c>
      <c r="J374" s="147">
        <v>17</v>
      </c>
      <c r="K374" s="147">
        <v>3</v>
      </c>
      <c r="L374" s="147" t="s">
        <v>657</v>
      </c>
      <c r="M374" s="147">
        <v>16</v>
      </c>
      <c r="N374" s="147">
        <v>1</v>
      </c>
      <c r="O374" s="147" t="s">
        <v>655</v>
      </c>
      <c r="P374" s="147">
        <v>102</v>
      </c>
      <c r="Q374" s="156">
        <v>412</v>
      </c>
      <c r="R374" s="157">
        <v>0</v>
      </c>
      <c r="S374" s="158" t="s">
        <v>405</v>
      </c>
      <c r="T374" s="155" t="s">
        <v>404</v>
      </c>
      <c r="U374" s="163"/>
      <c r="V374" s="147"/>
    </row>
    <row r="375" spans="1:22">
      <c r="A375" s="166">
        <v>43</v>
      </c>
      <c r="B375" s="167">
        <v>4</v>
      </c>
      <c r="C375" s="167">
        <v>102</v>
      </c>
      <c r="D375" s="166">
        <v>368</v>
      </c>
      <c r="E375" s="166">
        <v>40</v>
      </c>
      <c r="F375" s="167">
        <v>3</v>
      </c>
      <c r="G375" s="168">
        <f t="shared" si="38"/>
        <v>5902</v>
      </c>
      <c r="H375" s="166">
        <f t="shared" si="39"/>
        <v>4</v>
      </c>
      <c r="I375" s="166">
        <f t="shared" si="40"/>
        <v>9200</v>
      </c>
      <c r="J375" s="147">
        <v>17</v>
      </c>
      <c r="K375" s="147">
        <v>3</v>
      </c>
      <c r="L375" s="147" t="s">
        <v>657</v>
      </c>
      <c r="M375" s="147">
        <v>16</v>
      </c>
      <c r="N375" s="147">
        <v>1</v>
      </c>
      <c r="O375" s="147" t="s">
        <v>655</v>
      </c>
      <c r="P375" s="147">
        <v>102</v>
      </c>
      <c r="Q375" s="156">
        <v>451</v>
      </c>
      <c r="R375" s="157">
        <v>0</v>
      </c>
      <c r="S375" s="158" t="s">
        <v>405</v>
      </c>
      <c r="T375" s="155" t="s">
        <v>404</v>
      </c>
      <c r="U375" s="163"/>
      <c r="V375" s="147"/>
    </row>
    <row r="376" spans="1:22">
      <c r="A376" s="166">
        <v>43</v>
      </c>
      <c r="B376" s="167">
        <v>5</v>
      </c>
      <c r="C376" s="167">
        <v>102</v>
      </c>
      <c r="D376" s="166">
        <v>460</v>
      </c>
      <c r="E376" s="166">
        <v>50</v>
      </c>
      <c r="F376" s="167">
        <v>3</v>
      </c>
      <c r="G376" s="168">
        <f t="shared" si="38"/>
        <v>5902</v>
      </c>
      <c r="H376" s="166">
        <f t="shared" si="39"/>
        <v>6</v>
      </c>
      <c r="I376" s="166">
        <f t="shared" si="40"/>
        <v>11500</v>
      </c>
      <c r="J376" s="147">
        <v>17</v>
      </c>
      <c r="K376" s="147">
        <v>3</v>
      </c>
      <c r="L376" s="147" t="s">
        <v>657</v>
      </c>
      <c r="M376" s="147">
        <v>16</v>
      </c>
      <c r="N376" s="147">
        <v>1</v>
      </c>
      <c r="O376" s="147" t="s">
        <v>655</v>
      </c>
      <c r="P376" s="147">
        <v>102</v>
      </c>
      <c r="Q376" s="156">
        <v>501</v>
      </c>
      <c r="R376" s="157">
        <v>0</v>
      </c>
      <c r="S376" s="158" t="s">
        <v>405</v>
      </c>
      <c r="T376" s="155" t="s">
        <v>404</v>
      </c>
      <c r="U376" s="163"/>
      <c r="V376" s="147"/>
    </row>
    <row r="377" spans="1:22">
      <c r="A377" s="166">
        <v>43</v>
      </c>
      <c r="B377" s="167">
        <v>6</v>
      </c>
      <c r="C377" s="167">
        <v>102</v>
      </c>
      <c r="D377" s="166">
        <v>552</v>
      </c>
      <c r="E377" s="166">
        <v>60</v>
      </c>
      <c r="F377" s="167">
        <v>4</v>
      </c>
      <c r="G377" s="168">
        <f t="shared" si="38"/>
        <v>5902</v>
      </c>
      <c r="H377" s="166">
        <f t="shared" si="39"/>
        <v>8</v>
      </c>
      <c r="I377" s="166">
        <f t="shared" si="40"/>
        <v>13800</v>
      </c>
      <c r="J377" s="147">
        <v>17</v>
      </c>
      <c r="K377" s="147">
        <v>3</v>
      </c>
      <c r="L377" s="147" t="s">
        <v>657</v>
      </c>
      <c r="M377" s="147">
        <v>16</v>
      </c>
      <c r="N377" s="147">
        <v>1</v>
      </c>
      <c r="O377" s="147" t="s">
        <v>655</v>
      </c>
      <c r="P377" s="147">
        <v>102</v>
      </c>
      <c r="Q377" s="156">
        <v>562</v>
      </c>
      <c r="R377" s="157">
        <v>0</v>
      </c>
      <c r="S377" s="158" t="s">
        <v>405</v>
      </c>
      <c r="T377" s="155" t="s">
        <v>404</v>
      </c>
      <c r="U377" s="163"/>
      <c r="V377" s="147"/>
    </row>
    <row r="378" spans="1:22">
      <c r="A378" s="166">
        <v>43</v>
      </c>
      <c r="B378" s="167">
        <v>7</v>
      </c>
      <c r="C378" s="167">
        <v>102</v>
      </c>
      <c r="D378" s="166">
        <v>644</v>
      </c>
      <c r="E378" s="166">
        <v>70</v>
      </c>
      <c r="F378" s="167">
        <v>4</v>
      </c>
      <c r="G378" s="168">
        <f t="shared" si="38"/>
        <v>5902</v>
      </c>
      <c r="H378" s="166">
        <f t="shared" si="39"/>
        <v>10</v>
      </c>
      <c r="I378" s="166">
        <f t="shared" si="40"/>
        <v>16100</v>
      </c>
      <c r="J378" s="147">
        <v>17</v>
      </c>
      <c r="K378" s="147">
        <v>3</v>
      </c>
      <c r="L378" s="147" t="s">
        <v>657</v>
      </c>
      <c r="M378" s="147">
        <v>16</v>
      </c>
      <c r="N378" s="147">
        <v>1</v>
      </c>
      <c r="O378" s="147" t="s">
        <v>655</v>
      </c>
      <c r="P378" s="147">
        <v>102</v>
      </c>
      <c r="Q378" s="156">
        <v>635</v>
      </c>
      <c r="R378" s="157">
        <v>0</v>
      </c>
      <c r="S378" s="158" t="s">
        <v>405</v>
      </c>
      <c r="T378" s="155" t="s">
        <v>404</v>
      </c>
      <c r="U378" s="163"/>
      <c r="V378" s="147"/>
    </row>
    <row r="379" spans="1:22">
      <c r="A379" s="166">
        <v>43</v>
      </c>
      <c r="B379" s="167">
        <v>8</v>
      </c>
      <c r="C379" s="167">
        <v>102</v>
      </c>
      <c r="D379" s="166">
        <v>736</v>
      </c>
      <c r="E379" s="166">
        <v>80</v>
      </c>
      <c r="F379" s="167">
        <v>5</v>
      </c>
      <c r="G379" s="168">
        <f t="shared" si="38"/>
        <v>5902</v>
      </c>
      <c r="H379" s="166">
        <f t="shared" si="39"/>
        <v>12</v>
      </c>
      <c r="I379" s="166">
        <f t="shared" si="40"/>
        <v>18400</v>
      </c>
      <c r="J379" s="147">
        <v>17</v>
      </c>
      <c r="K379" s="147">
        <v>3</v>
      </c>
      <c r="L379" s="147" t="s">
        <v>657</v>
      </c>
      <c r="M379" s="147">
        <v>16</v>
      </c>
      <c r="N379" s="147">
        <v>1</v>
      </c>
      <c r="O379" s="147" t="s">
        <v>655</v>
      </c>
      <c r="P379" s="147">
        <v>102</v>
      </c>
      <c r="Q379" s="156">
        <v>718</v>
      </c>
      <c r="R379" s="157">
        <v>0</v>
      </c>
      <c r="S379" s="158" t="s">
        <v>405</v>
      </c>
      <c r="T379" s="155" t="s">
        <v>404</v>
      </c>
      <c r="U379" s="163"/>
      <c r="V379" s="147"/>
    </row>
    <row r="380" spans="1:22">
      <c r="A380" s="166">
        <v>43</v>
      </c>
      <c r="B380" s="167">
        <v>9</v>
      </c>
      <c r="C380" s="167">
        <v>102</v>
      </c>
      <c r="D380" s="166">
        <v>828</v>
      </c>
      <c r="E380" s="166">
        <v>90</v>
      </c>
      <c r="F380" s="167">
        <v>5</v>
      </c>
      <c r="G380" s="168">
        <f t="shared" si="38"/>
        <v>5902</v>
      </c>
      <c r="H380" s="166">
        <f t="shared" si="39"/>
        <v>15</v>
      </c>
      <c r="I380" s="166">
        <f t="shared" si="40"/>
        <v>20700</v>
      </c>
      <c r="J380" s="147">
        <v>17</v>
      </c>
      <c r="K380" s="147">
        <v>3</v>
      </c>
      <c r="L380" s="147" t="s">
        <v>657</v>
      </c>
      <c r="M380" s="147">
        <v>16</v>
      </c>
      <c r="N380" s="147">
        <v>1</v>
      </c>
      <c r="O380" s="147" t="s">
        <v>655</v>
      </c>
      <c r="P380" s="147">
        <v>102</v>
      </c>
      <c r="Q380" s="156">
        <v>813</v>
      </c>
      <c r="R380" s="157">
        <v>0</v>
      </c>
      <c r="S380" s="158" t="s">
        <v>405</v>
      </c>
      <c r="T380" s="155" t="s">
        <v>404</v>
      </c>
      <c r="U380" s="163"/>
      <c r="V380" s="147"/>
    </row>
    <row r="381" spans="1:22">
      <c r="A381" s="166">
        <v>43</v>
      </c>
      <c r="B381" s="167">
        <v>10</v>
      </c>
      <c r="C381" s="167">
        <v>102</v>
      </c>
      <c r="D381" s="166">
        <v>919</v>
      </c>
      <c r="E381" s="166">
        <v>90</v>
      </c>
      <c r="F381" s="167">
        <v>6</v>
      </c>
      <c r="G381" s="168">
        <f t="shared" si="38"/>
        <v>5902</v>
      </c>
      <c r="H381" s="166">
        <f t="shared" si="39"/>
        <v>18</v>
      </c>
      <c r="I381" s="166">
        <f t="shared" si="40"/>
        <v>22975</v>
      </c>
      <c r="J381" s="147">
        <v>17</v>
      </c>
      <c r="K381" s="147">
        <v>3</v>
      </c>
      <c r="L381" s="147" t="s">
        <v>657</v>
      </c>
      <c r="M381" s="147">
        <v>16</v>
      </c>
      <c r="N381" s="147">
        <v>1</v>
      </c>
      <c r="O381" s="147" t="s">
        <v>655</v>
      </c>
      <c r="P381" s="147">
        <v>102</v>
      </c>
      <c r="Q381" s="156">
        <v>919</v>
      </c>
      <c r="R381" s="157">
        <v>0</v>
      </c>
      <c r="S381" s="158" t="s">
        <v>405</v>
      </c>
      <c r="T381" s="155" t="s">
        <v>404</v>
      </c>
      <c r="U381" s="163"/>
      <c r="V381" s="147"/>
    </row>
    <row r="382" spans="1:22">
      <c r="A382" s="159">
        <v>44</v>
      </c>
      <c r="B382" s="160">
        <v>1</v>
      </c>
      <c r="C382" s="160">
        <v>102</v>
      </c>
      <c r="D382" s="159">
        <v>92</v>
      </c>
      <c r="E382" s="159">
        <v>10</v>
      </c>
      <c r="F382" s="160">
        <v>1</v>
      </c>
      <c r="G382" s="161">
        <f t="shared" si="38"/>
        <v>5902</v>
      </c>
      <c r="H382" s="159">
        <f t="shared" si="39"/>
        <v>1</v>
      </c>
      <c r="I382" s="159">
        <f t="shared" si="40"/>
        <v>2300</v>
      </c>
      <c r="J382" s="147">
        <v>18</v>
      </c>
      <c r="K382" s="147">
        <v>3</v>
      </c>
      <c r="L382" s="147" t="s">
        <v>657</v>
      </c>
      <c r="M382" s="147">
        <v>1</v>
      </c>
      <c r="N382" s="147">
        <v>1</v>
      </c>
      <c r="O382" s="147" t="s">
        <v>655</v>
      </c>
      <c r="P382" s="147">
        <v>102</v>
      </c>
      <c r="Q382" s="156">
        <v>367</v>
      </c>
      <c r="R382" s="157">
        <v>0</v>
      </c>
      <c r="S382" s="158" t="s">
        <v>406</v>
      </c>
      <c r="T382" s="155" t="s">
        <v>391</v>
      </c>
      <c r="U382" s="163"/>
      <c r="V382" s="147"/>
    </row>
    <row r="383" spans="1:22">
      <c r="A383" s="159">
        <v>44</v>
      </c>
      <c r="B383" s="160">
        <v>2</v>
      </c>
      <c r="C383" s="160">
        <v>102</v>
      </c>
      <c r="D383" s="159">
        <v>184</v>
      </c>
      <c r="E383" s="159">
        <v>20</v>
      </c>
      <c r="F383" s="160">
        <v>2</v>
      </c>
      <c r="G383" s="161">
        <f t="shared" si="38"/>
        <v>5902</v>
      </c>
      <c r="H383" s="159">
        <f t="shared" si="39"/>
        <v>2</v>
      </c>
      <c r="I383" s="159">
        <f t="shared" si="40"/>
        <v>4600</v>
      </c>
      <c r="J383" s="147">
        <v>18</v>
      </c>
      <c r="K383" s="147">
        <v>3</v>
      </c>
      <c r="L383" s="147" t="s">
        <v>657</v>
      </c>
      <c r="M383" s="147">
        <v>1</v>
      </c>
      <c r="N383" s="147">
        <v>1</v>
      </c>
      <c r="O383" s="147" t="s">
        <v>655</v>
      </c>
      <c r="P383" s="147">
        <v>102</v>
      </c>
      <c r="Q383" s="156">
        <v>384</v>
      </c>
      <c r="R383" s="157">
        <v>0</v>
      </c>
      <c r="S383" s="158" t="s">
        <v>406</v>
      </c>
      <c r="T383" s="155" t="s">
        <v>391</v>
      </c>
      <c r="U383" s="163"/>
      <c r="V383" s="147"/>
    </row>
    <row r="384" spans="1:22">
      <c r="A384" s="159">
        <v>44</v>
      </c>
      <c r="B384" s="160">
        <v>3</v>
      </c>
      <c r="C384" s="160">
        <v>102</v>
      </c>
      <c r="D384" s="159">
        <v>276</v>
      </c>
      <c r="E384" s="159">
        <v>30</v>
      </c>
      <c r="F384" s="160">
        <v>2</v>
      </c>
      <c r="G384" s="161">
        <f t="shared" si="38"/>
        <v>5902</v>
      </c>
      <c r="H384" s="159">
        <f t="shared" si="39"/>
        <v>3</v>
      </c>
      <c r="I384" s="159">
        <f t="shared" si="40"/>
        <v>6900</v>
      </c>
      <c r="J384" s="147">
        <v>18</v>
      </c>
      <c r="K384" s="147">
        <v>3</v>
      </c>
      <c r="L384" s="147" t="s">
        <v>657</v>
      </c>
      <c r="M384" s="147">
        <v>1</v>
      </c>
      <c r="N384" s="147">
        <v>1</v>
      </c>
      <c r="O384" s="147" t="s">
        <v>655</v>
      </c>
      <c r="P384" s="147">
        <v>102</v>
      </c>
      <c r="Q384" s="156">
        <v>412</v>
      </c>
      <c r="R384" s="157">
        <v>0</v>
      </c>
      <c r="S384" s="158" t="s">
        <v>406</v>
      </c>
      <c r="T384" s="155" t="s">
        <v>391</v>
      </c>
      <c r="U384" s="163"/>
      <c r="V384" s="147"/>
    </row>
    <row r="385" spans="1:22">
      <c r="A385" s="159">
        <v>44</v>
      </c>
      <c r="B385" s="160">
        <v>4</v>
      </c>
      <c r="C385" s="160">
        <v>102</v>
      </c>
      <c r="D385" s="159">
        <v>368</v>
      </c>
      <c r="E385" s="159">
        <v>40</v>
      </c>
      <c r="F385" s="160">
        <v>3</v>
      </c>
      <c r="G385" s="161">
        <f t="shared" si="38"/>
        <v>5902</v>
      </c>
      <c r="H385" s="159">
        <f t="shared" si="39"/>
        <v>4</v>
      </c>
      <c r="I385" s="159">
        <f t="shared" si="40"/>
        <v>9200</v>
      </c>
      <c r="J385" s="147">
        <v>18</v>
      </c>
      <c r="K385" s="147">
        <v>3</v>
      </c>
      <c r="L385" s="147" t="s">
        <v>657</v>
      </c>
      <c r="M385" s="147">
        <v>1</v>
      </c>
      <c r="N385" s="147">
        <v>1</v>
      </c>
      <c r="O385" s="147" t="s">
        <v>655</v>
      </c>
      <c r="P385" s="147">
        <v>102</v>
      </c>
      <c r="Q385" s="156">
        <v>451</v>
      </c>
      <c r="R385" s="157">
        <v>0</v>
      </c>
      <c r="S385" s="158" t="s">
        <v>406</v>
      </c>
      <c r="T385" s="155" t="s">
        <v>391</v>
      </c>
      <c r="U385" s="163"/>
      <c r="V385" s="147"/>
    </row>
    <row r="386" spans="1:22">
      <c r="A386" s="159">
        <v>44</v>
      </c>
      <c r="B386" s="160">
        <v>5</v>
      </c>
      <c r="C386" s="160">
        <v>102</v>
      </c>
      <c r="D386" s="159">
        <v>460</v>
      </c>
      <c r="E386" s="159">
        <v>50</v>
      </c>
      <c r="F386" s="160">
        <v>3</v>
      </c>
      <c r="G386" s="161">
        <f t="shared" ref="G386:G449" si="41">VLOOKUP(B386,AA$2:AC$11,2,FALSE)</f>
        <v>5902</v>
      </c>
      <c r="H386" s="159">
        <f t="shared" ref="H386:H449" si="42">VLOOKUP(B386,AA$2:AC$11,3,FALSE)</f>
        <v>6</v>
      </c>
      <c r="I386" s="159">
        <f t="shared" si="40"/>
        <v>11500</v>
      </c>
      <c r="J386" s="147">
        <v>18</v>
      </c>
      <c r="K386" s="147">
        <v>3</v>
      </c>
      <c r="L386" s="147" t="s">
        <v>657</v>
      </c>
      <c r="M386" s="147">
        <v>1</v>
      </c>
      <c r="N386" s="147">
        <v>1</v>
      </c>
      <c r="O386" s="147" t="s">
        <v>655</v>
      </c>
      <c r="P386" s="147">
        <v>102</v>
      </c>
      <c r="Q386" s="156">
        <v>501</v>
      </c>
      <c r="R386" s="157">
        <v>0</v>
      </c>
      <c r="S386" s="158" t="s">
        <v>406</v>
      </c>
      <c r="T386" s="155" t="s">
        <v>391</v>
      </c>
      <c r="U386" s="163"/>
      <c r="V386" s="147"/>
    </row>
    <row r="387" spans="1:22">
      <c r="A387" s="159">
        <v>44</v>
      </c>
      <c r="B387" s="160">
        <v>6</v>
      </c>
      <c r="C387" s="160">
        <v>102</v>
      </c>
      <c r="D387" s="159">
        <v>552</v>
      </c>
      <c r="E387" s="159">
        <v>60</v>
      </c>
      <c r="F387" s="160">
        <v>4</v>
      </c>
      <c r="G387" s="161">
        <f t="shared" si="41"/>
        <v>5902</v>
      </c>
      <c r="H387" s="159">
        <f t="shared" si="42"/>
        <v>8</v>
      </c>
      <c r="I387" s="159">
        <f t="shared" ref="I387:I450" si="43">INT(IF(C387=104,D387,D387*25))</f>
        <v>13800</v>
      </c>
      <c r="J387" s="147">
        <v>18</v>
      </c>
      <c r="K387" s="147">
        <v>3</v>
      </c>
      <c r="L387" s="147" t="s">
        <v>657</v>
      </c>
      <c r="M387" s="147">
        <v>1</v>
      </c>
      <c r="N387" s="147">
        <v>1</v>
      </c>
      <c r="O387" s="147" t="s">
        <v>655</v>
      </c>
      <c r="P387" s="147">
        <v>102</v>
      </c>
      <c r="Q387" s="156">
        <v>562</v>
      </c>
      <c r="R387" s="157">
        <v>0</v>
      </c>
      <c r="S387" s="158" t="s">
        <v>406</v>
      </c>
      <c r="T387" s="155" t="s">
        <v>391</v>
      </c>
      <c r="U387" s="163"/>
      <c r="V387" s="147"/>
    </row>
    <row r="388" spans="1:22">
      <c r="A388" s="159">
        <v>44</v>
      </c>
      <c r="B388" s="160">
        <v>7</v>
      </c>
      <c r="C388" s="160">
        <v>102</v>
      </c>
      <c r="D388" s="159">
        <v>644</v>
      </c>
      <c r="E388" s="159">
        <v>70</v>
      </c>
      <c r="F388" s="160">
        <v>4</v>
      </c>
      <c r="G388" s="161">
        <f t="shared" si="41"/>
        <v>5902</v>
      </c>
      <c r="H388" s="159">
        <f t="shared" si="42"/>
        <v>10</v>
      </c>
      <c r="I388" s="159">
        <f t="shared" si="43"/>
        <v>16100</v>
      </c>
      <c r="J388" s="147">
        <v>18</v>
      </c>
      <c r="K388" s="147">
        <v>3</v>
      </c>
      <c r="L388" s="147" t="s">
        <v>657</v>
      </c>
      <c r="M388" s="147">
        <v>1</v>
      </c>
      <c r="N388" s="147">
        <v>1</v>
      </c>
      <c r="O388" s="147" t="s">
        <v>655</v>
      </c>
      <c r="P388" s="147">
        <v>102</v>
      </c>
      <c r="Q388" s="156">
        <v>635</v>
      </c>
      <c r="R388" s="157">
        <v>0</v>
      </c>
      <c r="S388" s="158" t="s">
        <v>406</v>
      </c>
      <c r="T388" s="155" t="s">
        <v>391</v>
      </c>
      <c r="U388" s="163"/>
      <c r="V388" s="147"/>
    </row>
    <row r="389" spans="1:22">
      <c r="A389" s="159">
        <v>44</v>
      </c>
      <c r="B389" s="160">
        <v>8</v>
      </c>
      <c r="C389" s="160">
        <v>102</v>
      </c>
      <c r="D389" s="159">
        <v>736</v>
      </c>
      <c r="E389" s="159">
        <v>80</v>
      </c>
      <c r="F389" s="160">
        <v>5</v>
      </c>
      <c r="G389" s="161">
        <f t="shared" si="41"/>
        <v>5902</v>
      </c>
      <c r="H389" s="159">
        <f t="shared" si="42"/>
        <v>12</v>
      </c>
      <c r="I389" s="159">
        <f t="shared" si="43"/>
        <v>18400</v>
      </c>
      <c r="J389" s="147">
        <v>18</v>
      </c>
      <c r="K389" s="147">
        <v>3</v>
      </c>
      <c r="L389" s="147" t="s">
        <v>657</v>
      </c>
      <c r="M389" s="147">
        <v>1</v>
      </c>
      <c r="N389" s="147">
        <v>1</v>
      </c>
      <c r="O389" s="147" t="s">
        <v>655</v>
      </c>
      <c r="P389" s="147">
        <v>102</v>
      </c>
      <c r="Q389" s="156">
        <v>718</v>
      </c>
      <c r="R389" s="157">
        <v>0</v>
      </c>
      <c r="S389" s="158" t="s">
        <v>406</v>
      </c>
      <c r="T389" s="155" t="s">
        <v>391</v>
      </c>
      <c r="U389" s="163"/>
      <c r="V389" s="147"/>
    </row>
    <row r="390" spans="1:22">
      <c r="A390" s="159">
        <v>44</v>
      </c>
      <c r="B390" s="160">
        <v>9</v>
      </c>
      <c r="C390" s="160">
        <v>102</v>
      </c>
      <c r="D390" s="159">
        <v>828</v>
      </c>
      <c r="E390" s="159">
        <v>90</v>
      </c>
      <c r="F390" s="160">
        <v>5</v>
      </c>
      <c r="G390" s="161">
        <f t="shared" si="41"/>
        <v>5902</v>
      </c>
      <c r="H390" s="159">
        <f t="shared" si="42"/>
        <v>15</v>
      </c>
      <c r="I390" s="159">
        <f t="shared" si="43"/>
        <v>20700</v>
      </c>
      <c r="J390" s="147">
        <v>18</v>
      </c>
      <c r="K390" s="147">
        <v>3</v>
      </c>
      <c r="L390" s="147" t="s">
        <v>657</v>
      </c>
      <c r="M390" s="147">
        <v>1</v>
      </c>
      <c r="N390" s="147">
        <v>1</v>
      </c>
      <c r="O390" s="147" t="s">
        <v>655</v>
      </c>
      <c r="P390" s="147">
        <v>102</v>
      </c>
      <c r="Q390" s="156">
        <v>813</v>
      </c>
      <c r="R390" s="157">
        <v>0</v>
      </c>
      <c r="S390" s="158" t="s">
        <v>406</v>
      </c>
      <c r="T390" s="155" t="s">
        <v>391</v>
      </c>
      <c r="U390" s="163"/>
      <c r="V390" s="147"/>
    </row>
    <row r="391" spans="1:22">
      <c r="A391" s="159">
        <v>44</v>
      </c>
      <c r="B391" s="160">
        <v>10</v>
      </c>
      <c r="C391" s="160">
        <v>102</v>
      </c>
      <c r="D391" s="159">
        <v>919</v>
      </c>
      <c r="E391" s="159">
        <v>90</v>
      </c>
      <c r="F391" s="160">
        <v>6</v>
      </c>
      <c r="G391" s="161">
        <f t="shared" si="41"/>
        <v>5902</v>
      </c>
      <c r="H391" s="159">
        <f t="shared" si="42"/>
        <v>18</v>
      </c>
      <c r="I391" s="159">
        <f t="shared" si="43"/>
        <v>22975</v>
      </c>
      <c r="J391" s="147">
        <v>18</v>
      </c>
      <c r="K391" s="147">
        <v>3</v>
      </c>
      <c r="L391" s="147" t="s">
        <v>657</v>
      </c>
      <c r="M391" s="147">
        <v>1</v>
      </c>
      <c r="N391" s="147">
        <v>1</v>
      </c>
      <c r="O391" s="147" t="s">
        <v>655</v>
      </c>
      <c r="P391" s="147">
        <v>102</v>
      </c>
      <c r="Q391" s="156">
        <v>919</v>
      </c>
      <c r="R391" s="157">
        <v>0</v>
      </c>
      <c r="S391" s="158" t="s">
        <v>406</v>
      </c>
      <c r="T391" s="155" t="s">
        <v>391</v>
      </c>
      <c r="U391" s="163"/>
      <c r="V391" s="147"/>
    </row>
    <row r="392" spans="1:22">
      <c r="A392" s="166">
        <v>45</v>
      </c>
      <c r="B392" s="167">
        <v>1</v>
      </c>
      <c r="C392" s="167">
        <v>101</v>
      </c>
      <c r="D392" s="166">
        <v>83</v>
      </c>
      <c r="E392" s="166">
        <v>10</v>
      </c>
      <c r="F392" s="167">
        <v>1</v>
      </c>
      <c r="G392" s="168">
        <f t="shared" si="41"/>
        <v>5902</v>
      </c>
      <c r="H392" s="166">
        <f t="shared" si="42"/>
        <v>1</v>
      </c>
      <c r="I392" s="166">
        <f t="shared" si="43"/>
        <v>2075</v>
      </c>
      <c r="J392" s="147">
        <v>18</v>
      </c>
      <c r="K392" s="147">
        <v>3</v>
      </c>
      <c r="L392" s="147" t="s">
        <v>657</v>
      </c>
      <c r="M392" s="147">
        <v>9</v>
      </c>
      <c r="N392" s="147">
        <v>2</v>
      </c>
      <c r="O392" s="147" t="s">
        <v>656</v>
      </c>
      <c r="P392" s="147">
        <v>101</v>
      </c>
      <c r="Q392" s="156">
        <v>331</v>
      </c>
      <c r="R392" s="157">
        <v>0</v>
      </c>
      <c r="S392" s="158" t="s">
        <v>406</v>
      </c>
      <c r="T392" s="155" t="s">
        <v>397</v>
      </c>
      <c r="U392" s="163"/>
      <c r="V392" s="147"/>
    </row>
    <row r="393" spans="1:22">
      <c r="A393" s="166">
        <v>45</v>
      </c>
      <c r="B393" s="167">
        <v>2</v>
      </c>
      <c r="C393" s="167">
        <v>101</v>
      </c>
      <c r="D393" s="166">
        <v>166</v>
      </c>
      <c r="E393" s="166">
        <v>20</v>
      </c>
      <c r="F393" s="167">
        <v>2</v>
      </c>
      <c r="G393" s="168">
        <f t="shared" si="41"/>
        <v>5902</v>
      </c>
      <c r="H393" s="166">
        <f t="shared" si="42"/>
        <v>2</v>
      </c>
      <c r="I393" s="166">
        <f t="shared" si="43"/>
        <v>4150</v>
      </c>
      <c r="J393" s="147">
        <v>18</v>
      </c>
      <c r="K393" s="147">
        <v>3</v>
      </c>
      <c r="L393" s="147" t="s">
        <v>657</v>
      </c>
      <c r="M393" s="147">
        <v>9</v>
      </c>
      <c r="N393" s="147">
        <v>2</v>
      </c>
      <c r="O393" s="147" t="s">
        <v>656</v>
      </c>
      <c r="P393" s="147">
        <v>101</v>
      </c>
      <c r="Q393" s="156">
        <v>347</v>
      </c>
      <c r="R393" s="157">
        <v>0</v>
      </c>
      <c r="S393" s="158" t="s">
        <v>406</v>
      </c>
      <c r="T393" s="155" t="s">
        <v>397</v>
      </c>
      <c r="U393" s="163"/>
      <c r="V393" s="147"/>
    </row>
    <row r="394" spans="1:22">
      <c r="A394" s="166">
        <v>45</v>
      </c>
      <c r="B394" s="167">
        <v>3</v>
      </c>
      <c r="C394" s="167">
        <v>101</v>
      </c>
      <c r="D394" s="166">
        <v>249</v>
      </c>
      <c r="E394" s="166">
        <v>30</v>
      </c>
      <c r="F394" s="167">
        <v>2</v>
      </c>
      <c r="G394" s="168">
        <f t="shared" si="41"/>
        <v>5902</v>
      </c>
      <c r="H394" s="166">
        <f t="shared" si="42"/>
        <v>3</v>
      </c>
      <c r="I394" s="166">
        <f t="shared" si="43"/>
        <v>6225</v>
      </c>
      <c r="J394" s="147">
        <v>18</v>
      </c>
      <c r="K394" s="147">
        <v>3</v>
      </c>
      <c r="L394" s="147" t="s">
        <v>657</v>
      </c>
      <c r="M394" s="147">
        <v>9</v>
      </c>
      <c r="N394" s="147">
        <v>2</v>
      </c>
      <c r="O394" s="147" t="s">
        <v>656</v>
      </c>
      <c r="P394" s="147">
        <v>101</v>
      </c>
      <c r="Q394" s="156">
        <v>372</v>
      </c>
      <c r="R394" s="157">
        <v>0</v>
      </c>
      <c r="S394" s="158" t="s">
        <v>406</v>
      </c>
      <c r="T394" s="155" t="s">
        <v>397</v>
      </c>
      <c r="U394" s="163"/>
      <c r="V394" s="147"/>
    </row>
    <row r="395" spans="1:22">
      <c r="A395" s="166">
        <v>45</v>
      </c>
      <c r="B395" s="167">
        <v>4</v>
      </c>
      <c r="C395" s="167">
        <v>101</v>
      </c>
      <c r="D395" s="166">
        <v>332</v>
      </c>
      <c r="E395" s="166">
        <v>40</v>
      </c>
      <c r="F395" s="167">
        <v>3</v>
      </c>
      <c r="G395" s="168">
        <f t="shared" si="41"/>
        <v>5902</v>
      </c>
      <c r="H395" s="166">
        <f t="shared" si="42"/>
        <v>4</v>
      </c>
      <c r="I395" s="166">
        <f t="shared" si="43"/>
        <v>8300</v>
      </c>
      <c r="J395" s="147">
        <v>18</v>
      </c>
      <c r="K395" s="147">
        <v>3</v>
      </c>
      <c r="L395" s="147" t="s">
        <v>657</v>
      </c>
      <c r="M395" s="147">
        <v>9</v>
      </c>
      <c r="N395" s="147">
        <v>2</v>
      </c>
      <c r="O395" s="147" t="s">
        <v>656</v>
      </c>
      <c r="P395" s="147">
        <v>101</v>
      </c>
      <c r="Q395" s="156">
        <v>407</v>
      </c>
      <c r="R395" s="157">
        <v>0</v>
      </c>
      <c r="S395" s="158" t="s">
        <v>406</v>
      </c>
      <c r="T395" s="155" t="s">
        <v>397</v>
      </c>
      <c r="U395" s="163"/>
      <c r="V395" s="147"/>
    </row>
    <row r="396" spans="1:22">
      <c r="A396" s="166">
        <v>45</v>
      </c>
      <c r="B396" s="167">
        <v>5</v>
      </c>
      <c r="C396" s="167">
        <v>101</v>
      </c>
      <c r="D396" s="166">
        <v>415</v>
      </c>
      <c r="E396" s="166">
        <v>50</v>
      </c>
      <c r="F396" s="167">
        <v>3</v>
      </c>
      <c r="G396" s="168">
        <f t="shared" si="41"/>
        <v>5902</v>
      </c>
      <c r="H396" s="166">
        <f t="shared" si="42"/>
        <v>6</v>
      </c>
      <c r="I396" s="166">
        <f t="shared" si="43"/>
        <v>10375</v>
      </c>
      <c r="J396" s="147">
        <v>18</v>
      </c>
      <c r="K396" s="147">
        <v>3</v>
      </c>
      <c r="L396" s="147" t="s">
        <v>657</v>
      </c>
      <c r="M396" s="147">
        <v>9</v>
      </c>
      <c r="N396" s="147">
        <v>2</v>
      </c>
      <c r="O396" s="147" t="s">
        <v>656</v>
      </c>
      <c r="P396" s="147">
        <v>101</v>
      </c>
      <c r="Q396" s="156">
        <v>452</v>
      </c>
      <c r="R396" s="157">
        <v>0</v>
      </c>
      <c r="S396" s="158" t="s">
        <v>406</v>
      </c>
      <c r="T396" s="155" t="s">
        <v>397</v>
      </c>
      <c r="U396" s="163"/>
      <c r="V396" s="147"/>
    </row>
    <row r="397" spans="1:22">
      <c r="A397" s="166">
        <v>45</v>
      </c>
      <c r="B397" s="167">
        <v>6</v>
      </c>
      <c r="C397" s="167">
        <v>101</v>
      </c>
      <c r="D397" s="166">
        <v>498</v>
      </c>
      <c r="E397" s="166">
        <v>60</v>
      </c>
      <c r="F397" s="167">
        <v>4</v>
      </c>
      <c r="G397" s="168">
        <f t="shared" si="41"/>
        <v>5902</v>
      </c>
      <c r="H397" s="166">
        <f t="shared" si="42"/>
        <v>8</v>
      </c>
      <c r="I397" s="166">
        <f t="shared" si="43"/>
        <v>12450</v>
      </c>
      <c r="J397" s="147">
        <v>18</v>
      </c>
      <c r="K397" s="147">
        <v>3</v>
      </c>
      <c r="L397" s="147" t="s">
        <v>657</v>
      </c>
      <c r="M397" s="147">
        <v>9</v>
      </c>
      <c r="N397" s="147">
        <v>2</v>
      </c>
      <c r="O397" s="147" t="s">
        <v>656</v>
      </c>
      <c r="P397" s="147">
        <v>101</v>
      </c>
      <c r="Q397" s="156">
        <v>507</v>
      </c>
      <c r="R397" s="157">
        <v>0</v>
      </c>
      <c r="S397" s="158" t="s">
        <v>406</v>
      </c>
      <c r="T397" s="155" t="s">
        <v>397</v>
      </c>
      <c r="U397" s="163"/>
      <c r="V397" s="147"/>
    </row>
    <row r="398" spans="1:22">
      <c r="A398" s="166">
        <v>45</v>
      </c>
      <c r="B398" s="167">
        <v>7</v>
      </c>
      <c r="C398" s="167">
        <v>101</v>
      </c>
      <c r="D398" s="166">
        <v>581</v>
      </c>
      <c r="E398" s="166">
        <v>70</v>
      </c>
      <c r="F398" s="167">
        <v>4</v>
      </c>
      <c r="G398" s="168">
        <f t="shared" si="41"/>
        <v>5902</v>
      </c>
      <c r="H398" s="166">
        <f t="shared" si="42"/>
        <v>10</v>
      </c>
      <c r="I398" s="166">
        <f t="shared" si="43"/>
        <v>14525</v>
      </c>
      <c r="J398" s="147">
        <v>18</v>
      </c>
      <c r="K398" s="147">
        <v>3</v>
      </c>
      <c r="L398" s="147" t="s">
        <v>657</v>
      </c>
      <c r="M398" s="147">
        <v>9</v>
      </c>
      <c r="N398" s="147">
        <v>2</v>
      </c>
      <c r="O398" s="147" t="s">
        <v>656</v>
      </c>
      <c r="P398" s="147">
        <v>101</v>
      </c>
      <c r="Q398" s="156">
        <v>573</v>
      </c>
      <c r="R398" s="157">
        <v>0</v>
      </c>
      <c r="S398" s="158" t="s">
        <v>406</v>
      </c>
      <c r="T398" s="155" t="s">
        <v>397</v>
      </c>
      <c r="U398" s="163"/>
      <c r="V398" s="147"/>
    </row>
    <row r="399" spans="1:22">
      <c r="A399" s="166">
        <v>45</v>
      </c>
      <c r="B399" s="167">
        <v>8</v>
      </c>
      <c r="C399" s="167">
        <v>101</v>
      </c>
      <c r="D399" s="166">
        <v>664</v>
      </c>
      <c r="E399" s="166">
        <v>80</v>
      </c>
      <c r="F399" s="167">
        <v>5</v>
      </c>
      <c r="G399" s="168">
        <f t="shared" si="41"/>
        <v>5902</v>
      </c>
      <c r="H399" s="166">
        <f t="shared" si="42"/>
        <v>12</v>
      </c>
      <c r="I399" s="166">
        <f t="shared" si="43"/>
        <v>16600</v>
      </c>
      <c r="J399" s="147">
        <v>18</v>
      </c>
      <c r="K399" s="147">
        <v>3</v>
      </c>
      <c r="L399" s="147" t="s">
        <v>657</v>
      </c>
      <c r="M399" s="147">
        <v>9</v>
      </c>
      <c r="N399" s="147">
        <v>2</v>
      </c>
      <c r="O399" s="147" t="s">
        <v>656</v>
      </c>
      <c r="P399" s="147">
        <v>101</v>
      </c>
      <c r="Q399" s="156">
        <v>648</v>
      </c>
      <c r="R399" s="157">
        <v>0</v>
      </c>
      <c r="S399" s="158" t="s">
        <v>406</v>
      </c>
      <c r="T399" s="155" t="s">
        <v>397</v>
      </c>
      <c r="U399" s="163"/>
      <c r="V399" s="147"/>
    </row>
    <row r="400" spans="1:22">
      <c r="A400" s="166">
        <v>45</v>
      </c>
      <c r="B400" s="167">
        <v>9</v>
      </c>
      <c r="C400" s="167">
        <v>101</v>
      </c>
      <c r="D400" s="166">
        <v>747</v>
      </c>
      <c r="E400" s="166">
        <v>90</v>
      </c>
      <c r="F400" s="167">
        <v>5</v>
      </c>
      <c r="G400" s="168">
        <f t="shared" si="41"/>
        <v>5902</v>
      </c>
      <c r="H400" s="166">
        <f t="shared" si="42"/>
        <v>15</v>
      </c>
      <c r="I400" s="166">
        <f t="shared" si="43"/>
        <v>18675</v>
      </c>
      <c r="J400" s="147">
        <v>18</v>
      </c>
      <c r="K400" s="147">
        <v>3</v>
      </c>
      <c r="L400" s="147" t="s">
        <v>657</v>
      </c>
      <c r="M400" s="147">
        <v>9</v>
      </c>
      <c r="N400" s="147">
        <v>2</v>
      </c>
      <c r="O400" s="147" t="s">
        <v>656</v>
      </c>
      <c r="P400" s="147">
        <v>101</v>
      </c>
      <c r="Q400" s="156">
        <v>734</v>
      </c>
      <c r="R400" s="157">
        <v>0</v>
      </c>
      <c r="S400" s="158" t="s">
        <v>406</v>
      </c>
      <c r="T400" s="155" t="s">
        <v>397</v>
      </c>
      <c r="U400" s="163"/>
      <c r="V400" s="147"/>
    </row>
    <row r="401" spans="1:22">
      <c r="A401" s="166">
        <v>45</v>
      </c>
      <c r="B401" s="167">
        <v>10</v>
      </c>
      <c r="C401" s="167">
        <v>101</v>
      </c>
      <c r="D401" s="166">
        <v>829</v>
      </c>
      <c r="E401" s="166">
        <v>90</v>
      </c>
      <c r="F401" s="167">
        <v>6</v>
      </c>
      <c r="G401" s="168">
        <f t="shared" si="41"/>
        <v>5902</v>
      </c>
      <c r="H401" s="166">
        <f t="shared" si="42"/>
        <v>18</v>
      </c>
      <c r="I401" s="166">
        <f t="shared" si="43"/>
        <v>20725</v>
      </c>
      <c r="J401" s="147">
        <v>18</v>
      </c>
      <c r="K401" s="147">
        <v>3</v>
      </c>
      <c r="L401" s="147" t="s">
        <v>657</v>
      </c>
      <c r="M401" s="147">
        <v>9</v>
      </c>
      <c r="N401" s="147">
        <v>2</v>
      </c>
      <c r="O401" s="147" t="s">
        <v>656</v>
      </c>
      <c r="P401" s="147">
        <v>101</v>
      </c>
      <c r="Q401" s="156">
        <v>829</v>
      </c>
      <c r="R401" s="157">
        <v>0</v>
      </c>
      <c r="S401" s="158" t="s">
        <v>406</v>
      </c>
      <c r="T401" s="155" t="s">
        <v>397</v>
      </c>
      <c r="U401" s="163"/>
      <c r="V401" s="147"/>
    </row>
    <row r="402" spans="1:22">
      <c r="A402" s="159">
        <v>46</v>
      </c>
      <c r="B402" s="160">
        <v>1</v>
      </c>
      <c r="C402" s="160">
        <v>102</v>
      </c>
      <c r="D402" s="159">
        <v>92</v>
      </c>
      <c r="E402" s="159">
        <v>10</v>
      </c>
      <c r="F402" s="160">
        <v>1</v>
      </c>
      <c r="G402" s="161">
        <f t="shared" si="41"/>
        <v>5902</v>
      </c>
      <c r="H402" s="159">
        <f t="shared" si="42"/>
        <v>1</v>
      </c>
      <c r="I402" s="159">
        <f t="shared" si="43"/>
        <v>2300</v>
      </c>
      <c r="J402" s="147">
        <v>18</v>
      </c>
      <c r="K402" s="147">
        <v>3</v>
      </c>
      <c r="L402" s="147" t="s">
        <v>657</v>
      </c>
      <c r="M402" s="147">
        <v>24</v>
      </c>
      <c r="N402" s="147">
        <v>1</v>
      </c>
      <c r="O402" s="147" t="s">
        <v>655</v>
      </c>
      <c r="P402" s="147">
        <v>102</v>
      </c>
      <c r="Q402" s="156">
        <v>367</v>
      </c>
      <c r="R402" s="157">
        <v>0</v>
      </c>
      <c r="S402" s="158" t="s">
        <v>406</v>
      </c>
      <c r="T402" s="155" t="s">
        <v>411</v>
      </c>
      <c r="U402" s="163"/>
      <c r="V402" s="147"/>
    </row>
    <row r="403" spans="1:22">
      <c r="A403" s="159">
        <v>46</v>
      </c>
      <c r="B403" s="160">
        <v>2</v>
      </c>
      <c r="C403" s="160">
        <v>102</v>
      </c>
      <c r="D403" s="159">
        <v>184</v>
      </c>
      <c r="E403" s="159">
        <v>20</v>
      </c>
      <c r="F403" s="160">
        <v>2</v>
      </c>
      <c r="G403" s="161">
        <f t="shared" si="41"/>
        <v>5902</v>
      </c>
      <c r="H403" s="159">
        <f t="shared" si="42"/>
        <v>2</v>
      </c>
      <c r="I403" s="159">
        <f t="shared" si="43"/>
        <v>4600</v>
      </c>
      <c r="J403" s="147">
        <v>18</v>
      </c>
      <c r="K403" s="147">
        <v>3</v>
      </c>
      <c r="L403" s="147" t="s">
        <v>657</v>
      </c>
      <c r="M403" s="147">
        <v>24</v>
      </c>
      <c r="N403" s="147">
        <v>1</v>
      </c>
      <c r="O403" s="147" t="s">
        <v>655</v>
      </c>
      <c r="P403" s="147">
        <v>102</v>
      </c>
      <c r="Q403" s="156">
        <v>384</v>
      </c>
      <c r="R403" s="157">
        <v>0</v>
      </c>
      <c r="S403" s="158" t="s">
        <v>406</v>
      </c>
      <c r="T403" s="155" t="s">
        <v>411</v>
      </c>
      <c r="U403" s="163"/>
      <c r="V403" s="147"/>
    </row>
    <row r="404" spans="1:22">
      <c r="A404" s="159">
        <v>46</v>
      </c>
      <c r="B404" s="160">
        <v>3</v>
      </c>
      <c r="C404" s="160">
        <v>102</v>
      </c>
      <c r="D404" s="159">
        <v>276</v>
      </c>
      <c r="E404" s="159">
        <v>30</v>
      </c>
      <c r="F404" s="160">
        <v>2</v>
      </c>
      <c r="G404" s="161">
        <f t="shared" si="41"/>
        <v>5902</v>
      </c>
      <c r="H404" s="159">
        <f t="shared" si="42"/>
        <v>3</v>
      </c>
      <c r="I404" s="159">
        <f t="shared" si="43"/>
        <v>6900</v>
      </c>
      <c r="J404" s="147">
        <v>18</v>
      </c>
      <c r="K404" s="147">
        <v>3</v>
      </c>
      <c r="L404" s="147" t="s">
        <v>657</v>
      </c>
      <c r="M404" s="147">
        <v>24</v>
      </c>
      <c r="N404" s="147">
        <v>1</v>
      </c>
      <c r="O404" s="147" t="s">
        <v>655</v>
      </c>
      <c r="P404" s="147">
        <v>102</v>
      </c>
      <c r="Q404" s="156">
        <v>412</v>
      </c>
      <c r="R404" s="157">
        <v>0</v>
      </c>
      <c r="S404" s="158" t="s">
        <v>406</v>
      </c>
      <c r="T404" s="155" t="s">
        <v>411</v>
      </c>
      <c r="U404" s="163"/>
      <c r="V404" s="147"/>
    </row>
    <row r="405" spans="1:22">
      <c r="A405" s="159">
        <v>46</v>
      </c>
      <c r="B405" s="160">
        <v>4</v>
      </c>
      <c r="C405" s="160">
        <v>102</v>
      </c>
      <c r="D405" s="159">
        <v>368</v>
      </c>
      <c r="E405" s="159">
        <v>40</v>
      </c>
      <c r="F405" s="160">
        <v>3</v>
      </c>
      <c r="G405" s="161">
        <f t="shared" si="41"/>
        <v>5902</v>
      </c>
      <c r="H405" s="159">
        <f t="shared" si="42"/>
        <v>4</v>
      </c>
      <c r="I405" s="159">
        <f t="shared" si="43"/>
        <v>9200</v>
      </c>
      <c r="J405" s="147">
        <v>18</v>
      </c>
      <c r="K405" s="147">
        <v>3</v>
      </c>
      <c r="L405" s="147" t="s">
        <v>657</v>
      </c>
      <c r="M405" s="147">
        <v>24</v>
      </c>
      <c r="N405" s="147">
        <v>1</v>
      </c>
      <c r="O405" s="147" t="s">
        <v>655</v>
      </c>
      <c r="P405" s="147">
        <v>102</v>
      </c>
      <c r="Q405" s="156">
        <v>451</v>
      </c>
      <c r="R405" s="157">
        <v>0</v>
      </c>
      <c r="S405" s="158" t="s">
        <v>406</v>
      </c>
      <c r="T405" s="155" t="s">
        <v>411</v>
      </c>
      <c r="U405" s="163"/>
      <c r="V405" s="147"/>
    </row>
    <row r="406" spans="1:22">
      <c r="A406" s="159">
        <v>46</v>
      </c>
      <c r="B406" s="160">
        <v>5</v>
      </c>
      <c r="C406" s="160">
        <v>102</v>
      </c>
      <c r="D406" s="159">
        <v>460</v>
      </c>
      <c r="E406" s="159">
        <v>50</v>
      </c>
      <c r="F406" s="160">
        <v>3</v>
      </c>
      <c r="G406" s="161">
        <f t="shared" si="41"/>
        <v>5902</v>
      </c>
      <c r="H406" s="159">
        <f t="shared" si="42"/>
        <v>6</v>
      </c>
      <c r="I406" s="159">
        <f t="shared" si="43"/>
        <v>11500</v>
      </c>
      <c r="J406" s="147">
        <v>18</v>
      </c>
      <c r="K406" s="147">
        <v>3</v>
      </c>
      <c r="L406" s="147" t="s">
        <v>657</v>
      </c>
      <c r="M406" s="147">
        <v>24</v>
      </c>
      <c r="N406" s="147">
        <v>1</v>
      </c>
      <c r="O406" s="147" t="s">
        <v>655</v>
      </c>
      <c r="P406" s="147">
        <v>102</v>
      </c>
      <c r="Q406" s="156">
        <v>501</v>
      </c>
      <c r="R406" s="157">
        <v>0</v>
      </c>
      <c r="S406" s="158" t="s">
        <v>406</v>
      </c>
      <c r="T406" s="155" t="s">
        <v>411</v>
      </c>
      <c r="U406" s="163"/>
      <c r="V406" s="147"/>
    </row>
    <row r="407" spans="1:22">
      <c r="A407" s="159">
        <v>46</v>
      </c>
      <c r="B407" s="160">
        <v>6</v>
      </c>
      <c r="C407" s="160">
        <v>102</v>
      </c>
      <c r="D407" s="159">
        <v>552</v>
      </c>
      <c r="E407" s="159">
        <v>60</v>
      </c>
      <c r="F407" s="160">
        <v>4</v>
      </c>
      <c r="G407" s="161">
        <f t="shared" si="41"/>
        <v>5902</v>
      </c>
      <c r="H407" s="159">
        <f t="shared" si="42"/>
        <v>8</v>
      </c>
      <c r="I407" s="159">
        <f t="shared" si="43"/>
        <v>13800</v>
      </c>
      <c r="J407" s="147">
        <v>18</v>
      </c>
      <c r="K407" s="147">
        <v>3</v>
      </c>
      <c r="L407" s="147" t="s">
        <v>657</v>
      </c>
      <c r="M407" s="147">
        <v>24</v>
      </c>
      <c r="N407" s="147">
        <v>1</v>
      </c>
      <c r="O407" s="147" t="s">
        <v>655</v>
      </c>
      <c r="P407" s="147">
        <v>102</v>
      </c>
      <c r="Q407" s="156">
        <v>562</v>
      </c>
      <c r="R407" s="157">
        <v>0</v>
      </c>
      <c r="S407" s="158" t="s">
        <v>406</v>
      </c>
      <c r="T407" s="155" t="s">
        <v>411</v>
      </c>
      <c r="U407" s="163"/>
      <c r="V407" s="147"/>
    </row>
    <row r="408" spans="1:22">
      <c r="A408" s="159">
        <v>46</v>
      </c>
      <c r="B408" s="160">
        <v>7</v>
      </c>
      <c r="C408" s="160">
        <v>102</v>
      </c>
      <c r="D408" s="159">
        <v>644</v>
      </c>
      <c r="E408" s="159">
        <v>70</v>
      </c>
      <c r="F408" s="160">
        <v>4</v>
      </c>
      <c r="G408" s="161">
        <f t="shared" si="41"/>
        <v>5902</v>
      </c>
      <c r="H408" s="159">
        <f t="shared" si="42"/>
        <v>10</v>
      </c>
      <c r="I408" s="159">
        <f t="shared" si="43"/>
        <v>16100</v>
      </c>
      <c r="J408" s="147">
        <v>18</v>
      </c>
      <c r="K408" s="147">
        <v>3</v>
      </c>
      <c r="L408" s="147" t="s">
        <v>657</v>
      </c>
      <c r="M408" s="147">
        <v>24</v>
      </c>
      <c r="N408" s="147">
        <v>1</v>
      </c>
      <c r="O408" s="147" t="s">
        <v>655</v>
      </c>
      <c r="P408" s="147">
        <v>102</v>
      </c>
      <c r="Q408" s="156">
        <v>635</v>
      </c>
      <c r="R408" s="157">
        <v>0</v>
      </c>
      <c r="S408" s="158" t="s">
        <v>406</v>
      </c>
      <c r="T408" s="155" t="s">
        <v>411</v>
      </c>
      <c r="U408" s="163"/>
      <c r="V408" s="147"/>
    </row>
    <row r="409" spans="1:22">
      <c r="A409" s="159">
        <v>46</v>
      </c>
      <c r="B409" s="160">
        <v>8</v>
      </c>
      <c r="C409" s="160">
        <v>102</v>
      </c>
      <c r="D409" s="159">
        <v>736</v>
      </c>
      <c r="E409" s="159">
        <v>80</v>
      </c>
      <c r="F409" s="160">
        <v>5</v>
      </c>
      <c r="G409" s="161">
        <f t="shared" si="41"/>
        <v>5902</v>
      </c>
      <c r="H409" s="159">
        <f t="shared" si="42"/>
        <v>12</v>
      </c>
      <c r="I409" s="159">
        <f t="shared" si="43"/>
        <v>18400</v>
      </c>
      <c r="J409" s="147">
        <v>18</v>
      </c>
      <c r="K409" s="147">
        <v>3</v>
      </c>
      <c r="L409" s="147" t="s">
        <v>657</v>
      </c>
      <c r="M409" s="147">
        <v>24</v>
      </c>
      <c r="N409" s="147">
        <v>1</v>
      </c>
      <c r="O409" s="147" t="s">
        <v>655</v>
      </c>
      <c r="P409" s="147">
        <v>102</v>
      </c>
      <c r="Q409" s="156">
        <v>718</v>
      </c>
      <c r="R409" s="157">
        <v>0</v>
      </c>
      <c r="S409" s="158" t="s">
        <v>406</v>
      </c>
      <c r="T409" s="155" t="s">
        <v>411</v>
      </c>
      <c r="U409" s="163"/>
      <c r="V409" s="147"/>
    </row>
    <row r="410" spans="1:22">
      <c r="A410" s="159">
        <v>46</v>
      </c>
      <c r="B410" s="160">
        <v>9</v>
      </c>
      <c r="C410" s="160">
        <v>102</v>
      </c>
      <c r="D410" s="159">
        <v>828</v>
      </c>
      <c r="E410" s="159">
        <v>90</v>
      </c>
      <c r="F410" s="160">
        <v>5</v>
      </c>
      <c r="G410" s="161">
        <f t="shared" si="41"/>
        <v>5902</v>
      </c>
      <c r="H410" s="159">
        <f t="shared" si="42"/>
        <v>15</v>
      </c>
      <c r="I410" s="159">
        <f t="shared" si="43"/>
        <v>20700</v>
      </c>
      <c r="J410" s="147">
        <v>18</v>
      </c>
      <c r="K410" s="147">
        <v>3</v>
      </c>
      <c r="L410" s="147" t="s">
        <v>657</v>
      </c>
      <c r="M410" s="147">
        <v>24</v>
      </c>
      <c r="N410" s="147">
        <v>1</v>
      </c>
      <c r="O410" s="147" t="s">
        <v>655</v>
      </c>
      <c r="P410" s="147">
        <v>102</v>
      </c>
      <c r="Q410" s="156">
        <v>813</v>
      </c>
      <c r="R410" s="157">
        <v>0</v>
      </c>
      <c r="S410" s="158" t="s">
        <v>406</v>
      </c>
      <c r="T410" s="155" t="s">
        <v>411</v>
      </c>
      <c r="U410" s="163"/>
      <c r="V410" s="147"/>
    </row>
    <row r="411" spans="1:22">
      <c r="A411" s="159">
        <v>46</v>
      </c>
      <c r="B411" s="160">
        <v>10</v>
      </c>
      <c r="C411" s="160">
        <v>102</v>
      </c>
      <c r="D411" s="159">
        <v>919</v>
      </c>
      <c r="E411" s="159">
        <v>90</v>
      </c>
      <c r="F411" s="160">
        <v>6</v>
      </c>
      <c r="G411" s="161">
        <f t="shared" si="41"/>
        <v>5902</v>
      </c>
      <c r="H411" s="159">
        <f t="shared" si="42"/>
        <v>18</v>
      </c>
      <c r="I411" s="159">
        <f t="shared" si="43"/>
        <v>22975</v>
      </c>
      <c r="J411" s="147">
        <v>18</v>
      </c>
      <c r="K411" s="147">
        <v>3</v>
      </c>
      <c r="L411" s="147" t="s">
        <v>657</v>
      </c>
      <c r="M411" s="147">
        <v>24</v>
      </c>
      <c r="N411" s="147">
        <v>1</v>
      </c>
      <c r="O411" s="147" t="s">
        <v>655</v>
      </c>
      <c r="P411" s="147">
        <v>102</v>
      </c>
      <c r="Q411" s="156">
        <v>919</v>
      </c>
      <c r="R411" s="157">
        <v>0</v>
      </c>
      <c r="S411" s="158" t="s">
        <v>406</v>
      </c>
      <c r="T411" s="155" t="s">
        <v>411</v>
      </c>
      <c r="U411" s="163"/>
      <c r="V411" s="147"/>
    </row>
    <row r="412" spans="1:22">
      <c r="A412" s="166">
        <v>49</v>
      </c>
      <c r="B412" s="167">
        <v>1</v>
      </c>
      <c r="C412" s="167">
        <v>101</v>
      </c>
      <c r="D412" s="166">
        <v>75</v>
      </c>
      <c r="E412" s="166">
        <v>10</v>
      </c>
      <c r="F412" s="167">
        <v>1</v>
      </c>
      <c r="G412" s="168">
        <f t="shared" si="41"/>
        <v>5902</v>
      </c>
      <c r="H412" s="166">
        <f t="shared" si="42"/>
        <v>1</v>
      </c>
      <c r="I412" s="166">
        <f t="shared" si="43"/>
        <v>1875</v>
      </c>
      <c r="J412" s="147">
        <v>20</v>
      </c>
      <c r="K412" s="147">
        <v>2</v>
      </c>
      <c r="L412" s="147" t="s">
        <v>656</v>
      </c>
      <c r="M412" s="147">
        <v>13</v>
      </c>
      <c r="N412" s="147">
        <v>2</v>
      </c>
      <c r="O412" s="147" t="s">
        <v>656</v>
      </c>
      <c r="P412" s="147">
        <v>101</v>
      </c>
      <c r="Q412" s="156">
        <v>298</v>
      </c>
      <c r="R412" s="157">
        <v>0</v>
      </c>
      <c r="S412" s="158" t="s">
        <v>408</v>
      </c>
      <c r="T412" s="155" t="s">
        <v>401</v>
      </c>
      <c r="U412" s="163"/>
      <c r="V412" s="147"/>
    </row>
    <row r="413" spans="1:22">
      <c r="A413" s="166">
        <v>49</v>
      </c>
      <c r="B413" s="167">
        <v>2</v>
      </c>
      <c r="C413" s="167">
        <v>101</v>
      </c>
      <c r="D413" s="166">
        <v>150</v>
      </c>
      <c r="E413" s="166">
        <v>20</v>
      </c>
      <c r="F413" s="167">
        <v>2</v>
      </c>
      <c r="G413" s="168">
        <f t="shared" si="41"/>
        <v>5902</v>
      </c>
      <c r="H413" s="166">
        <f t="shared" si="42"/>
        <v>2</v>
      </c>
      <c r="I413" s="166">
        <f t="shared" si="43"/>
        <v>3750</v>
      </c>
      <c r="J413" s="147">
        <v>20</v>
      </c>
      <c r="K413" s="147">
        <v>2</v>
      </c>
      <c r="L413" s="147" t="s">
        <v>656</v>
      </c>
      <c r="M413" s="147">
        <v>13</v>
      </c>
      <c r="N413" s="147">
        <v>2</v>
      </c>
      <c r="O413" s="147" t="s">
        <v>656</v>
      </c>
      <c r="P413" s="147">
        <v>101</v>
      </c>
      <c r="Q413" s="156">
        <v>312</v>
      </c>
      <c r="R413" s="157">
        <v>0</v>
      </c>
      <c r="S413" s="158" t="s">
        <v>408</v>
      </c>
      <c r="T413" s="155" t="s">
        <v>401</v>
      </c>
      <c r="U413" s="163"/>
      <c r="V413" s="147"/>
    </row>
    <row r="414" spans="1:22">
      <c r="A414" s="166">
        <v>49</v>
      </c>
      <c r="B414" s="167">
        <v>3</v>
      </c>
      <c r="C414" s="167">
        <v>101</v>
      </c>
      <c r="D414" s="166">
        <v>225</v>
      </c>
      <c r="E414" s="166">
        <v>30</v>
      </c>
      <c r="F414" s="167">
        <v>2</v>
      </c>
      <c r="G414" s="168">
        <f t="shared" si="41"/>
        <v>5902</v>
      </c>
      <c r="H414" s="166">
        <f t="shared" si="42"/>
        <v>3</v>
      </c>
      <c r="I414" s="166">
        <f t="shared" si="43"/>
        <v>5625</v>
      </c>
      <c r="J414" s="147">
        <v>20</v>
      </c>
      <c r="K414" s="147">
        <v>2</v>
      </c>
      <c r="L414" s="147" t="s">
        <v>656</v>
      </c>
      <c r="M414" s="147">
        <v>13</v>
      </c>
      <c r="N414" s="147">
        <v>2</v>
      </c>
      <c r="O414" s="147" t="s">
        <v>656</v>
      </c>
      <c r="P414" s="147">
        <v>101</v>
      </c>
      <c r="Q414" s="156">
        <v>335</v>
      </c>
      <c r="R414" s="157">
        <v>0</v>
      </c>
      <c r="S414" s="158" t="s">
        <v>408</v>
      </c>
      <c r="T414" s="155" t="s">
        <v>401</v>
      </c>
      <c r="U414" s="163"/>
      <c r="V414" s="147"/>
    </row>
    <row r="415" spans="1:22">
      <c r="A415" s="166">
        <v>49</v>
      </c>
      <c r="B415" s="167">
        <v>4</v>
      </c>
      <c r="C415" s="167">
        <v>101</v>
      </c>
      <c r="D415" s="166">
        <v>299</v>
      </c>
      <c r="E415" s="166">
        <v>40</v>
      </c>
      <c r="F415" s="167">
        <v>3</v>
      </c>
      <c r="G415" s="168">
        <f t="shared" si="41"/>
        <v>5902</v>
      </c>
      <c r="H415" s="166">
        <f t="shared" si="42"/>
        <v>4</v>
      </c>
      <c r="I415" s="166">
        <f t="shared" si="43"/>
        <v>7475</v>
      </c>
      <c r="J415" s="147">
        <v>20</v>
      </c>
      <c r="K415" s="147">
        <v>2</v>
      </c>
      <c r="L415" s="147" t="s">
        <v>656</v>
      </c>
      <c r="M415" s="147">
        <v>13</v>
      </c>
      <c r="N415" s="147">
        <v>2</v>
      </c>
      <c r="O415" s="147" t="s">
        <v>656</v>
      </c>
      <c r="P415" s="147">
        <v>101</v>
      </c>
      <c r="Q415" s="156">
        <v>366</v>
      </c>
      <c r="R415" s="157">
        <v>0</v>
      </c>
      <c r="S415" s="158" t="s">
        <v>408</v>
      </c>
      <c r="T415" s="155" t="s">
        <v>401</v>
      </c>
      <c r="U415" s="163"/>
      <c r="V415" s="147"/>
    </row>
    <row r="416" spans="1:22">
      <c r="A416" s="166">
        <v>49</v>
      </c>
      <c r="B416" s="167">
        <v>5</v>
      </c>
      <c r="C416" s="167">
        <v>101</v>
      </c>
      <c r="D416" s="166">
        <v>374</v>
      </c>
      <c r="E416" s="166">
        <v>50</v>
      </c>
      <c r="F416" s="167">
        <v>3</v>
      </c>
      <c r="G416" s="168">
        <f t="shared" si="41"/>
        <v>5902</v>
      </c>
      <c r="H416" s="166">
        <f t="shared" si="42"/>
        <v>6</v>
      </c>
      <c r="I416" s="166">
        <f t="shared" si="43"/>
        <v>9350</v>
      </c>
      <c r="J416" s="147">
        <v>20</v>
      </c>
      <c r="K416" s="147">
        <v>2</v>
      </c>
      <c r="L416" s="147" t="s">
        <v>656</v>
      </c>
      <c r="M416" s="147">
        <v>13</v>
      </c>
      <c r="N416" s="147">
        <v>2</v>
      </c>
      <c r="O416" s="147" t="s">
        <v>656</v>
      </c>
      <c r="P416" s="147">
        <v>101</v>
      </c>
      <c r="Q416" s="156">
        <v>407</v>
      </c>
      <c r="R416" s="157">
        <v>0</v>
      </c>
      <c r="S416" s="158" t="s">
        <v>408</v>
      </c>
      <c r="T416" s="155" t="s">
        <v>401</v>
      </c>
      <c r="U416" s="163"/>
      <c r="V416" s="147"/>
    </row>
    <row r="417" spans="1:22">
      <c r="A417" s="166">
        <v>49</v>
      </c>
      <c r="B417" s="167">
        <v>6</v>
      </c>
      <c r="C417" s="167">
        <v>101</v>
      </c>
      <c r="D417" s="166">
        <v>449</v>
      </c>
      <c r="E417" s="166">
        <v>60</v>
      </c>
      <c r="F417" s="167">
        <v>4</v>
      </c>
      <c r="G417" s="168">
        <f t="shared" si="41"/>
        <v>5902</v>
      </c>
      <c r="H417" s="166">
        <f t="shared" si="42"/>
        <v>8</v>
      </c>
      <c r="I417" s="166">
        <f t="shared" si="43"/>
        <v>11225</v>
      </c>
      <c r="J417" s="147">
        <v>20</v>
      </c>
      <c r="K417" s="147">
        <v>2</v>
      </c>
      <c r="L417" s="147" t="s">
        <v>656</v>
      </c>
      <c r="M417" s="147">
        <v>13</v>
      </c>
      <c r="N417" s="147">
        <v>2</v>
      </c>
      <c r="O417" s="147" t="s">
        <v>656</v>
      </c>
      <c r="P417" s="147">
        <v>101</v>
      </c>
      <c r="Q417" s="156">
        <v>457</v>
      </c>
      <c r="R417" s="157">
        <v>0</v>
      </c>
      <c r="S417" s="158" t="s">
        <v>408</v>
      </c>
      <c r="T417" s="155" t="s">
        <v>401</v>
      </c>
      <c r="U417" s="163"/>
      <c r="V417" s="147"/>
    </row>
    <row r="418" spans="1:22">
      <c r="A418" s="166">
        <v>49</v>
      </c>
      <c r="B418" s="167">
        <v>7</v>
      </c>
      <c r="C418" s="167">
        <v>101</v>
      </c>
      <c r="D418" s="166">
        <v>523</v>
      </c>
      <c r="E418" s="166">
        <v>70</v>
      </c>
      <c r="F418" s="167">
        <v>4</v>
      </c>
      <c r="G418" s="168">
        <f t="shared" si="41"/>
        <v>5902</v>
      </c>
      <c r="H418" s="166">
        <f t="shared" si="42"/>
        <v>10</v>
      </c>
      <c r="I418" s="166">
        <f t="shared" si="43"/>
        <v>13075</v>
      </c>
      <c r="J418" s="147">
        <v>20</v>
      </c>
      <c r="K418" s="147">
        <v>2</v>
      </c>
      <c r="L418" s="147" t="s">
        <v>656</v>
      </c>
      <c r="M418" s="147">
        <v>13</v>
      </c>
      <c r="N418" s="147">
        <v>2</v>
      </c>
      <c r="O418" s="147" t="s">
        <v>656</v>
      </c>
      <c r="P418" s="147">
        <v>101</v>
      </c>
      <c r="Q418" s="156">
        <v>516</v>
      </c>
      <c r="R418" s="157">
        <v>0</v>
      </c>
      <c r="S418" s="158" t="s">
        <v>408</v>
      </c>
      <c r="T418" s="155" t="s">
        <v>401</v>
      </c>
      <c r="U418" s="163"/>
      <c r="V418" s="147"/>
    </row>
    <row r="419" spans="1:22">
      <c r="A419" s="166">
        <v>49</v>
      </c>
      <c r="B419" s="167">
        <v>8</v>
      </c>
      <c r="C419" s="167">
        <v>101</v>
      </c>
      <c r="D419" s="166">
        <v>598</v>
      </c>
      <c r="E419" s="166">
        <v>80</v>
      </c>
      <c r="F419" s="167">
        <v>5</v>
      </c>
      <c r="G419" s="168">
        <f t="shared" si="41"/>
        <v>5902</v>
      </c>
      <c r="H419" s="166">
        <f t="shared" si="42"/>
        <v>12</v>
      </c>
      <c r="I419" s="166">
        <f t="shared" si="43"/>
        <v>14950</v>
      </c>
      <c r="J419" s="147">
        <v>20</v>
      </c>
      <c r="K419" s="147">
        <v>2</v>
      </c>
      <c r="L419" s="147" t="s">
        <v>656</v>
      </c>
      <c r="M419" s="147">
        <v>13</v>
      </c>
      <c r="N419" s="147">
        <v>2</v>
      </c>
      <c r="O419" s="147" t="s">
        <v>656</v>
      </c>
      <c r="P419" s="147">
        <v>101</v>
      </c>
      <c r="Q419" s="156">
        <v>584</v>
      </c>
      <c r="R419" s="157">
        <v>0</v>
      </c>
      <c r="S419" s="158" t="s">
        <v>408</v>
      </c>
      <c r="T419" s="155" t="s">
        <v>401</v>
      </c>
      <c r="U419" s="163"/>
      <c r="V419" s="147"/>
    </row>
    <row r="420" spans="1:22">
      <c r="A420" s="166">
        <v>49</v>
      </c>
      <c r="B420" s="167">
        <v>9</v>
      </c>
      <c r="C420" s="167">
        <v>101</v>
      </c>
      <c r="D420" s="166">
        <v>673</v>
      </c>
      <c r="E420" s="166">
        <v>90</v>
      </c>
      <c r="F420" s="167">
        <v>5</v>
      </c>
      <c r="G420" s="168">
        <f t="shared" si="41"/>
        <v>5902</v>
      </c>
      <c r="H420" s="166">
        <f t="shared" si="42"/>
        <v>15</v>
      </c>
      <c r="I420" s="166">
        <f t="shared" si="43"/>
        <v>16825</v>
      </c>
      <c r="J420" s="147">
        <v>20</v>
      </c>
      <c r="K420" s="147">
        <v>2</v>
      </c>
      <c r="L420" s="147" t="s">
        <v>656</v>
      </c>
      <c r="M420" s="147">
        <v>13</v>
      </c>
      <c r="N420" s="147">
        <v>2</v>
      </c>
      <c r="O420" s="147" t="s">
        <v>656</v>
      </c>
      <c r="P420" s="147">
        <v>101</v>
      </c>
      <c r="Q420" s="156">
        <v>660</v>
      </c>
      <c r="R420" s="157">
        <v>0</v>
      </c>
      <c r="S420" s="158" t="s">
        <v>408</v>
      </c>
      <c r="T420" s="155" t="s">
        <v>401</v>
      </c>
      <c r="U420" s="163"/>
      <c r="V420" s="147"/>
    </row>
    <row r="421" spans="1:22">
      <c r="A421" s="166">
        <v>49</v>
      </c>
      <c r="B421" s="167">
        <v>10</v>
      </c>
      <c r="C421" s="167">
        <v>101</v>
      </c>
      <c r="D421" s="166">
        <v>747</v>
      </c>
      <c r="E421" s="166">
        <v>90</v>
      </c>
      <c r="F421" s="167">
        <v>6</v>
      </c>
      <c r="G421" s="168">
        <f t="shared" si="41"/>
        <v>5902</v>
      </c>
      <c r="H421" s="166">
        <f t="shared" si="42"/>
        <v>18</v>
      </c>
      <c r="I421" s="166">
        <f t="shared" si="43"/>
        <v>18675</v>
      </c>
      <c r="J421" s="147">
        <v>20</v>
      </c>
      <c r="K421" s="147">
        <v>2</v>
      </c>
      <c r="L421" s="147" t="s">
        <v>656</v>
      </c>
      <c r="M421" s="147">
        <v>13</v>
      </c>
      <c r="N421" s="147">
        <v>2</v>
      </c>
      <c r="O421" s="147" t="s">
        <v>656</v>
      </c>
      <c r="P421" s="147">
        <v>101</v>
      </c>
      <c r="Q421" s="156">
        <v>747</v>
      </c>
      <c r="R421" s="157">
        <v>0</v>
      </c>
      <c r="S421" s="158" t="s">
        <v>408</v>
      </c>
      <c r="T421" s="155" t="s">
        <v>401</v>
      </c>
      <c r="U421" s="163"/>
      <c r="V421" s="147"/>
    </row>
    <row r="422" spans="1:22">
      <c r="A422" s="159">
        <v>50</v>
      </c>
      <c r="B422" s="160">
        <v>1</v>
      </c>
      <c r="C422" s="160">
        <v>104</v>
      </c>
      <c r="D422" s="159">
        <v>1044</v>
      </c>
      <c r="E422" s="159">
        <v>10</v>
      </c>
      <c r="F422" s="160">
        <v>1</v>
      </c>
      <c r="G422" s="161">
        <f t="shared" si="41"/>
        <v>5902</v>
      </c>
      <c r="H422" s="159">
        <f t="shared" si="42"/>
        <v>1</v>
      </c>
      <c r="I422" s="159">
        <f t="shared" si="43"/>
        <v>1044</v>
      </c>
      <c r="J422" s="147">
        <v>20</v>
      </c>
      <c r="K422" s="147">
        <v>2</v>
      </c>
      <c r="L422" s="147" t="s">
        <v>656</v>
      </c>
      <c r="M422" s="147">
        <v>11</v>
      </c>
      <c r="N422" s="147">
        <v>3</v>
      </c>
      <c r="O422" s="147" t="s">
        <v>657</v>
      </c>
      <c r="P422" s="147">
        <v>104</v>
      </c>
      <c r="Q422" s="156">
        <v>4172</v>
      </c>
      <c r="R422" s="157">
        <v>0</v>
      </c>
      <c r="S422" s="158" t="s">
        <v>408</v>
      </c>
      <c r="T422" s="155" t="s">
        <v>399</v>
      </c>
      <c r="U422" s="163"/>
      <c r="V422" s="147"/>
    </row>
    <row r="423" spans="1:22">
      <c r="A423" s="159">
        <v>50</v>
      </c>
      <c r="B423" s="160">
        <v>2</v>
      </c>
      <c r="C423" s="160">
        <v>104</v>
      </c>
      <c r="D423" s="159">
        <v>2087</v>
      </c>
      <c r="E423" s="159">
        <v>20</v>
      </c>
      <c r="F423" s="160">
        <v>2</v>
      </c>
      <c r="G423" s="161">
        <f t="shared" si="41"/>
        <v>5902</v>
      </c>
      <c r="H423" s="159">
        <f t="shared" si="42"/>
        <v>2</v>
      </c>
      <c r="I423" s="159">
        <f t="shared" si="43"/>
        <v>2087</v>
      </c>
      <c r="J423" s="147">
        <v>20</v>
      </c>
      <c r="K423" s="147">
        <v>2</v>
      </c>
      <c r="L423" s="147" t="s">
        <v>656</v>
      </c>
      <c r="M423" s="147">
        <v>11</v>
      </c>
      <c r="N423" s="147">
        <v>3</v>
      </c>
      <c r="O423" s="147" t="s">
        <v>657</v>
      </c>
      <c r="P423" s="147">
        <v>104</v>
      </c>
      <c r="Q423" s="156">
        <v>4362</v>
      </c>
      <c r="R423" s="157">
        <v>0</v>
      </c>
      <c r="S423" s="158" t="s">
        <v>408</v>
      </c>
      <c r="T423" s="155" t="s">
        <v>399</v>
      </c>
      <c r="U423" s="163"/>
      <c r="V423" s="147"/>
    </row>
    <row r="424" spans="1:22">
      <c r="A424" s="159">
        <v>50</v>
      </c>
      <c r="B424" s="160">
        <v>3</v>
      </c>
      <c r="C424" s="160">
        <v>104</v>
      </c>
      <c r="D424" s="159">
        <v>3130</v>
      </c>
      <c r="E424" s="159">
        <v>30</v>
      </c>
      <c r="F424" s="160">
        <v>2</v>
      </c>
      <c r="G424" s="161">
        <f t="shared" si="41"/>
        <v>5902</v>
      </c>
      <c r="H424" s="159">
        <f t="shared" si="42"/>
        <v>3</v>
      </c>
      <c r="I424" s="159">
        <f t="shared" si="43"/>
        <v>3130</v>
      </c>
      <c r="J424" s="147">
        <v>20</v>
      </c>
      <c r="K424" s="147">
        <v>2</v>
      </c>
      <c r="L424" s="147" t="s">
        <v>656</v>
      </c>
      <c r="M424" s="147">
        <v>11</v>
      </c>
      <c r="N424" s="147">
        <v>3</v>
      </c>
      <c r="O424" s="147" t="s">
        <v>657</v>
      </c>
      <c r="P424" s="147">
        <v>104</v>
      </c>
      <c r="Q424" s="156">
        <v>4678</v>
      </c>
      <c r="R424" s="157">
        <v>0</v>
      </c>
      <c r="S424" s="158" t="s">
        <v>408</v>
      </c>
      <c r="T424" s="155" t="s">
        <v>399</v>
      </c>
      <c r="U424" s="163"/>
      <c r="V424" s="147"/>
    </row>
    <row r="425" spans="1:22">
      <c r="A425" s="159">
        <v>50</v>
      </c>
      <c r="B425" s="160">
        <v>4</v>
      </c>
      <c r="C425" s="160">
        <v>104</v>
      </c>
      <c r="D425" s="159">
        <v>4173</v>
      </c>
      <c r="E425" s="159">
        <v>40</v>
      </c>
      <c r="F425" s="160">
        <v>3</v>
      </c>
      <c r="G425" s="161">
        <f t="shared" si="41"/>
        <v>5902</v>
      </c>
      <c r="H425" s="159">
        <f t="shared" si="42"/>
        <v>4</v>
      </c>
      <c r="I425" s="159">
        <f t="shared" si="43"/>
        <v>4173</v>
      </c>
      <c r="J425" s="147">
        <v>20</v>
      </c>
      <c r="K425" s="147">
        <v>2</v>
      </c>
      <c r="L425" s="147" t="s">
        <v>656</v>
      </c>
      <c r="M425" s="147">
        <v>11</v>
      </c>
      <c r="N425" s="147">
        <v>3</v>
      </c>
      <c r="O425" s="147" t="s">
        <v>657</v>
      </c>
      <c r="P425" s="147">
        <v>104</v>
      </c>
      <c r="Q425" s="156">
        <v>5121</v>
      </c>
      <c r="R425" s="157">
        <v>0</v>
      </c>
      <c r="S425" s="158" t="s">
        <v>408</v>
      </c>
      <c r="T425" s="155" t="s">
        <v>399</v>
      </c>
      <c r="U425" s="163"/>
      <c r="V425" s="147"/>
    </row>
    <row r="426" spans="1:22">
      <c r="A426" s="159">
        <v>50</v>
      </c>
      <c r="B426" s="160">
        <v>5</v>
      </c>
      <c r="C426" s="160">
        <v>104</v>
      </c>
      <c r="D426" s="159">
        <v>5216</v>
      </c>
      <c r="E426" s="159">
        <v>50</v>
      </c>
      <c r="F426" s="160">
        <v>3</v>
      </c>
      <c r="G426" s="161">
        <f t="shared" si="41"/>
        <v>5902</v>
      </c>
      <c r="H426" s="159">
        <f t="shared" si="42"/>
        <v>6</v>
      </c>
      <c r="I426" s="159">
        <f t="shared" si="43"/>
        <v>5216</v>
      </c>
      <c r="J426" s="147">
        <v>20</v>
      </c>
      <c r="K426" s="147">
        <v>2</v>
      </c>
      <c r="L426" s="147" t="s">
        <v>656</v>
      </c>
      <c r="M426" s="147">
        <v>11</v>
      </c>
      <c r="N426" s="147">
        <v>3</v>
      </c>
      <c r="O426" s="147" t="s">
        <v>657</v>
      </c>
      <c r="P426" s="147">
        <v>104</v>
      </c>
      <c r="Q426" s="156">
        <v>5690</v>
      </c>
      <c r="R426" s="157">
        <v>0</v>
      </c>
      <c r="S426" s="158" t="s">
        <v>408</v>
      </c>
      <c r="T426" s="155" t="s">
        <v>399</v>
      </c>
      <c r="U426" s="163"/>
      <c r="V426" s="147"/>
    </row>
    <row r="427" spans="1:22">
      <c r="A427" s="159">
        <v>50</v>
      </c>
      <c r="B427" s="160">
        <v>6</v>
      </c>
      <c r="C427" s="160">
        <v>104</v>
      </c>
      <c r="D427" s="159">
        <v>6260</v>
      </c>
      <c r="E427" s="159">
        <v>60</v>
      </c>
      <c r="F427" s="160">
        <v>4</v>
      </c>
      <c r="G427" s="161">
        <f t="shared" si="41"/>
        <v>5902</v>
      </c>
      <c r="H427" s="159">
        <f t="shared" si="42"/>
        <v>8</v>
      </c>
      <c r="I427" s="159">
        <f t="shared" si="43"/>
        <v>6260</v>
      </c>
      <c r="J427" s="147">
        <v>20</v>
      </c>
      <c r="K427" s="147">
        <v>2</v>
      </c>
      <c r="L427" s="147" t="s">
        <v>656</v>
      </c>
      <c r="M427" s="147">
        <v>11</v>
      </c>
      <c r="N427" s="147">
        <v>3</v>
      </c>
      <c r="O427" s="147" t="s">
        <v>657</v>
      </c>
      <c r="P427" s="147">
        <v>104</v>
      </c>
      <c r="Q427" s="156">
        <v>6385</v>
      </c>
      <c r="R427" s="157">
        <v>0</v>
      </c>
      <c r="S427" s="158" t="s">
        <v>408</v>
      </c>
      <c r="T427" s="155" t="s">
        <v>399</v>
      </c>
      <c r="U427" s="163"/>
      <c r="V427" s="147"/>
    </row>
    <row r="428" spans="1:22">
      <c r="A428" s="159">
        <v>50</v>
      </c>
      <c r="B428" s="160">
        <v>7</v>
      </c>
      <c r="C428" s="160">
        <v>104</v>
      </c>
      <c r="D428" s="159">
        <v>7303</v>
      </c>
      <c r="E428" s="159">
        <v>70</v>
      </c>
      <c r="F428" s="160">
        <v>4</v>
      </c>
      <c r="G428" s="161">
        <f t="shared" si="41"/>
        <v>5902</v>
      </c>
      <c r="H428" s="159">
        <f t="shared" si="42"/>
        <v>10</v>
      </c>
      <c r="I428" s="159">
        <f t="shared" si="43"/>
        <v>7303</v>
      </c>
      <c r="J428" s="147">
        <v>20</v>
      </c>
      <c r="K428" s="147">
        <v>2</v>
      </c>
      <c r="L428" s="147" t="s">
        <v>656</v>
      </c>
      <c r="M428" s="147">
        <v>11</v>
      </c>
      <c r="N428" s="147">
        <v>3</v>
      </c>
      <c r="O428" s="147" t="s">
        <v>657</v>
      </c>
      <c r="P428" s="147">
        <v>104</v>
      </c>
      <c r="Q428" s="156">
        <v>7207</v>
      </c>
      <c r="R428" s="157">
        <v>0</v>
      </c>
      <c r="S428" s="158" t="s">
        <v>408</v>
      </c>
      <c r="T428" s="155" t="s">
        <v>399</v>
      </c>
      <c r="U428" s="163"/>
      <c r="V428" s="147"/>
    </row>
    <row r="429" spans="1:22">
      <c r="A429" s="159">
        <v>50</v>
      </c>
      <c r="B429" s="160">
        <v>8</v>
      </c>
      <c r="C429" s="160">
        <v>104</v>
      </c>
      <c r="D429" s="159">
        <v>8346</v>
      </c>
      <c r="E429" s="159">
        <v>80</v>
      </c>
      <c r="F429" s="160">
        <v>5</v>
      </c>
      <c r="G429" s="161">
        <f t="shared" si="41"/>
        <v>5902</v>
      </c>
      <c r="H429" s="159">
        <f t="shared" si="42"/>
        <v>12</v>
      </c>
      <c r="I429" s="159">
        <f t="shared" si="43"/>
        <v>8346</v>
      </c>
      <c r="J429" s="147">
        <v>20</v>
      </c>
      <c r="K429" s="147">
        <v>2</v>
      </c>
      <c r="L429" s="147" t="s">
        <v>656</v>
      </c>
      <c r="M429" s="147">
        <v>11</v>
      </c>
      <c r="N429" s="147">
        <v>3</v>
      </c>
      <c r="O429" s="147" t="s">
        <v>657</v>
      </c>
      <c r="P429" s="147">
        <v>104</v>
      </c>
      <c r="Q429" s="156">
        <v>8155</v>
      </c>
      <c r="R429" s="157">
        <v>0</v>
      </c>
      <c r="S429" s="158" t="s">
        <v>408</v>
      </c>
      <c r="T429" s="155" t="s">
        <v>399</v>
      </c>
      <c r="U429" s="163"/>
      <c r="V429" s="147"/>
    </row>
    <row r="430" spans="1:22">
      <c r="A430" s="159">
        <v>50</v>
      </c>
      <c r="B430" s="160">
        <v>9</v>
      </c>
      <c r="C430" s="160">
        <v>104</v>
      </c>
      <c r="D430" s="159">
        <v>9389</v>
      </c>
      <c r="E430" s="159">
        <v>90</v>
      </c>
      <c r="F430" s="160">
        <v>5</v>
      </c>
      <c r="G430" s="161">
        <f t="shared" si="41"/>
        <v>5902</v>
      </c>
      <c r="H430" s="159">
        <f t="shared" si="42"/>
        <v>15</v>
      </c>
      <c r="I430" s="159">
        <f t="shared" si="43"/>
        <v>9389</v>
      </c>
      <c r="J430" s="147">
        <v>20</v>
      </c>
      <c r="K430" s="147">
        <v>2</v>
      </c>
      <c r="L430" s="147" t="s">
        <v>656</v>
      </c>
      <c r="M430" s="147">
        <v>11</v>
      </c>
      <c r="N430" s="147">
        <v>3</v>
      </c>
      <c r="O430" s="147" t="s">
        <v>657</v>
      </c>
      <c r="P430" s="147">
        <v>104</v>
      </c>
      <c r="Q430" s="156">
        <v>9230</v>
      </c>
      <c r="R430" s="157">
        <v>0</v>
      </c>
      <c r="S430" s="158" t="s">
        <v>408</v>
      </c>
      <c r="T430" s="155" t="s">
        <v>399</v>
      </c>
      <c r="U430" s="163"/>
      <c r="V430" s="147"/>
    </row>
    <row r="431" spans="1:22">
      <c r="A431" s="159">
        <v>50</v>
      </c>
      <c r="B431" s="160">
        <v>10</v>
      </c>
      <c r="C431" s="160">
        <v>104</v>
      </c>
      <c r="D431" s="159">
        <v>10432</v>
      </c>
      <c r="E431" s="159">
        <v>90</v>
      </c>
      <c r="F431" s="160">
        <v>6</v>
      </c>
      <c r="G431" s="161">
        <f t="shared" si="41"/>
        <v>5902</v>
      </c>
      <c r="H431" s="159">
        <f t="shared" si="42"/>
        <v>18</v>
      </c>
      <c r="I431" s="159">
        <f t="shared" si="43"/>
        <v>10432</v>
      </c>
      <c r="J431" s="147">
        <v>20</v>
      </c>
      <c r="K431" s="147">
        <v>2</v>
      </c>
      <c r="L431" s="147" t="s">
        <v>656</v>
      </c>
      <c r="M431" s="147">
        <v>11</v>
      </c>
      <c r="N431" s="147">
        <v>3</v>
      </c>
      <c r="O431" s="147" t="s">
        <v>657</v>
      </c>
      <c r="P431" s="147">
        <v>104</v>
      </c>
      <c r="Q431" s="156">
        <v>10432</v>
      </c>
      <c r="R431" s="157">
        <v>0</v>
      </c>
      <c r="S431" s="158" t="s">
        <v>408</v>
      </c>
      <c r="T431" s="155" t="s">
        <v>399</v>
      </c>
      <c r="U431" s="163"/>
      <c r="V431" s="147"/>
    </row>
    <row r="432" spans="1:22">
      <c r="A432" s="166">
        <v>51</v>
      </c>
      <c r="B432" s="167">
        <v>1</v>
      </c>
      <c r="C432" s="167">
        <v>101</v>
      </c>
      <c r="D432" s="166">
        <v>75</v>
      </c>
      <c r="E432" s="166">
        <v>10</v>
      </c>
      <c r="F432" s="167">
        <v>1</v>
      </c>
      <c r="G432" s="168">
        <f t="shared" si="41"/>
        <v>5902</v>
      </c>
      <c r="H432" s="166">
        <f t="shared" si="42"/>
        <v>1</v>
      </c>
      <c r="I432" s="166">
        <f t="shared" si="43"/>
        <v>1875</v>
      </c>
      <c r="J432" s="147">
        <v>20</v>
      </c>
      <c r="K432" s="147">
        <v>2</v>
      </c>
      <c r="L432" s="147" t="s">
        <v>656</v>
      </c>
      <c r="M432" s="147">
        <v>2</v>
      </c>
      <c r="N432" s="147">
        <v>2</v>
      </c>
      <c r="O432" s="147" t="s">
        <v>656</v>
      </c>
      <c r="P432" s="147">
        <v>101</v>
      </c>
      <c r="Q432" s="156">
        <v>298</v>
      </c>
      <c r="R432" s="157">
        <v>0</v>
      </c>
      <c r="S432" s="158" t="s">
        <v>408</v>
      </c>
      <c r="T432" s="155" t="s">
        <v>392</v>
      </c>
      <c r="U432" s="163"/>
      <c r="V432" s="147"/>
    </row>
    <row r="433" spans="1:22">
      <c r="A433" s="166">
        <v>51</v>
      </c>
      <c r="B433" s="167">
        <v>2</v>
      </c>
      <c r="C433" s="167">
        <v>101</v>
      </c>
      <c r="D433" s="166">
        <v>150</v>
      </c>
      <c r="E433" s="166">
        <v>20</v>
      </c>
      <c r="F433" s="167">
        <v>2</v>
      </c>
      <c r="G433" s="168">
        <f t="shared" si="41"/>
        <v>5902</v>
      </c>
      <c r="H433" s="166">
        <f t="shared" si="42"/>
        <v>2</v>
      </c>
      <c r="I433" s="166">
        <f t="shared" si="43"/>
        <v>3750</v>
      </c>
      <c r="J433" s="147">
        <v>20</v>
      </c>
      <c r="K433" s="147">
        <v>2</v>
      </c>
      <c r="L433" s="147" t="s">
        <v>656</v>
      </c>
      <c r="M433" s="147">
        <v>2</v>
      </c>
      <c r="N433" s="147">
        <v>2</v>
      </c>
      <c r="O433" s="147" t="s">
        <v>656</v>
      </c>
      <c r="P433" s="147">
        <v>101</v>
      </c>
      <c r="Q433" s="156">
        <v>312</v>
      </c>
      <c r="R433" s="157">
        <v>0</v>
      </c>
      <c r="S433" s="158" t="s">
        <v>408</v>
      </c>
      <c r="T433" s="155" t="s">
        <v>392</v>
      </c>
      <c r="U433" s="163"/>
      <c r="V433" s="147"/>
    </row>
    <row r="434" spans="1:22">
      <c r="A434" s="166">
        <v>51</v>
      </c>
      <c r="B434" s="167">
        <v>3</v>
      </c>
      <c r="C434" s="167">
        <v>101</v>
      </c>
      <c r="D434" s="166">
        <v>225</v>
      </c>
      <c r="E434" s="166">
        <v>30</v>
      </c>
      <c r="F434" s="167">
        <v>2</v>
      </c>
      <c r="G434" s="168">
        <f t="shared" si="41"/>
        <v>5902</v>
      </c>
      <c r="H434" s="166">
        <f t="shared" si="42"/>
        <v>3</v>
      </c>
      <c r="I434" s="166">
        <f t="shared" si="43"/>
        <v>5625</v>
      </c>
      <c r="J434" s="147">
        <v>20</v>
      </c>
      <c r="K434" s="147">
        <v>2</v>
      </c>
      <c r="L434" s="147" t="s">
        <v>656</v>
      </c>
      <c r="M434" s="147">
        <v>2</v>
      </c>
      <c r="N434" s="147">
        <v>2</v>
      </c>
      <c r="O434" s="147" t="s">
        <v>656</v>
      </c>
      <c r="P434" s="147">
        <v>101</v>
      </c>
      <c r="Q434" s="156">
        <v>335</v>
      </c>
      <c r="R434" s="157">
        <v>0</v>
      </c>
      <c r="S434" s="158" t="s">
        <v>408</v>
      </c>
      <c r="T434" s="155" t="s">
        <v>392</v>
      </c>
      <c r="U434" s="163"/>
      <c r="V434" s="147"/>
    </row>
    <row r="435" spans="1:22">
      <c r="A435" s="166">
        <v>51</v>
      </c>
      <c r="B435" s="167">
        <v>4</v>
      </c>
      <c r="C435" s="167">
        <v>101</v>
      </c>
      <c r="D435" s="166">
        <v>299</v>
      </c>
      <c r="E435" s="166">
        <v>40</v>
      </c>
      <c r="F435" s="167">
        <v>3</v>
      </c>
      <c r="G435" s="168">
        <f t="shared" si="41"/>
        <v>5902</v>
      </c>
      <c r="H435" s="166">
        <f t="shared" si="42"/>
        <v>4</v>
      </c>
      <c r="I435" s="166">
        <f t="shared" si="43"/>
        <v>7475</v>
      </c>
      <c r="J435" s="147">
        <v>20</v>
      </c>
      <c r="K435" s="147">
        <v>2</v>
      </c>
      <c r="L435" s="147" t="s">
        <v>656</v>
      </c>
      <c r="M435" s="147">
        <v>2</v>
      </c>
      <c r="N435" s="147">
        <v>2</v>
      </c>
      <c r="O435" s="147" t="s">
        <v>656</v>
      </c>
      <c r="P435" s="147">
        <v>101</v>
      </c>
      <c r="Q435" s="156">
        <v>366</v>
      </c>
      <c r="R435" s="157">
        <v>0</v>
      </c>
      <c r="S435" s="158" t="s">
        <v>408</v>
      </c>
      <c r="T435" s="155" t="s">
        <v>392</v>
      </c>
      <c r="U435" s="163"/>
      <c r="V435" s="147"/>
    </row>
    <row r="436" spans="1:22">
      <c r="A436" s="166">
        <v>51</v>
      </c>
      <c r="B436" s="167">
        <v>5</v>
      </c>
      <c r="C436" s="167">
        <v>101</v>
      </c>
      <c r="D436" s="166">
        <v>374</v>
      </c>
      <c r="E436" s="166">
        <v>50</v>
      </c>
      <c r="F436" s="167">
        <v>3</v>
      </c>
      <c r="G436" s="168">
        <f t="shared" si="41"/>
        <v>5902</v>
      </c>
      <c r="H436" s="166">
        <f t="shared" si="42"/>
        <v>6</v>
      </c>
      <c r="I436" s="166">
        <f t="shared" si="43"/>
        <v>9350</v>
      </c>
      <c r="J436" s="147">
        <v>20</v>
      </c>
      <c r="K436" s="147">
        <v>2</v>
      </c>
      <c r="L436" s="147" t="s">
        <v>656</v>
      </c>
      <c r="M436" s="147">
        <v>2</v>
      </c>
      <c r="N436" s="147">
        <v>2</v>
      </c>
      <c r="O436" s="147" t="s">
        <v>656</v>
      </c>
      <c r="P436" s="147">
        <v>101</v>
      </c>
      <c r="Q436" s="156">
        <v>407</v>
      </c>
      <c r="R436" s="157">
        <v>0</v>
      </c>
      <c r="S436" s="158" t="s">
        <v>408</v>
      </c>
      <c r="T436" s="155" t="s">
        <v>392</v>
      </c>
      <c r="U436" s="163"/>
      <c r="V436" s="147"/>
    </row>
    <row r="437" spans="1:22">
      <c r="A437" s="166">
        <v>51</v>
      </c>
      <c r="B437" s="167">
        <v>6</v>
      </c>
      <c r="C437" s="167">
        <v>101</v>
      </c>
      <c r="D437" s="166">
        <v>449</v>
      </c>
      <c r="E437" s="166">
        <v>60</v>
      </c>
      <c r="F437" s="167">
        <v>4</v>
      </c>
      <c r="G437" s="168">
        <f t="shared" si="41"/>
        <v>5902</v>
      </c>
      <c r="H437" s="166">
        <f t="shared" si="42"/>
        <v>8</v>
      </c>
      <c r="I437" s="166">
        <f t="shared" si="43"/>
        <v>11225</v>
      </c>
      <c r="J437" s="147">
        <v>20</v>
      </c>
      <c r="K437" s="147">
        <v>2</v>
      </c>
      <c r="L437" s="147" t="s">
        <v>656</v>
      </c>
      <c r="M437" s="147">
        <v>2</v>
      </c>
      <c r="N437" s="147">
        <v>2</v>
      </c>
      <c r="O437" s="147" t="s">
        <v>656</v>
      </c>
      <c r="P437" s="147">
        <v>101</v>
      </c>
      <c r="Q437" s="156">
        <v>457</v>
      </c>
      <c r="R437" s="157">
        <v>0</v>
      </c>
      <c r="S437" s="158" t="s">
        <v>408</v>
      </c>
      <c r="T437" s="155" t="s">
        <v>392</v>
      </c>
      <c r="U437" s="163"/>
      <c r="V437" s="147"/>
    </row>
    <row r="438" spans="1:22">
      <c r="A438" s="166">
        <v>51</v>
      </c>
      <c r="B438" s="167">
        <v>7</v>
      </c>
      <c r="C438" s="167">
        <v>101</v>
      </c>
      <c r="D438" s="166">
        <v>523</v>
      </c>
      <c r="E438" s="166">
        <v>70</v>
      </c>
      <c r="F438" s="167">
        <v>4</v>
      </c>
      <c r="G438" s="168">
        <f t="shared" si="41"/>
        <v>5902</v>
      </c>
      <c r="H438" s="166">
        <f t="shared" si="42"/>
        <v>10</v>
      </c>
      <c r="I438" s="166">
        <f t="shared" si="43"/>
        <v>13075</v>
      </c>
      <c r="J438" s="147">
        <v>20</v>
      </c>
      <c r="K438" s="147">
        <v>2</v>
      </c>
      <c r="L438" s="147" t="s">
        <v>656</v>
      </c>
      <c r="M438" s="147">
        <v>2</v>
      </c>
      <c r="N438" s="147">
        <v>2</v>
      </c>
      <c r="O438" s="147" t="s">
        <v>656</v>
      </c>
      <c r="P438" s="147">
        <v>101</v>
      </c>
      <c r="Q438" s="156">
        <v>516</v>
      </c>
      <c r="R438" s="157">
        <v>0</v>
      </c>
      <c r="S438" s="158" t="s">
        <v>408</v>
      </c>
      <c r="T438" s="155" t="s">
        <v>392</v>
      </c>
      <c r="U438" s="163"/>
      <c r="V438" s="147"/>
    </row>
    <row r="439" spans="1:22">
      <c r="A439" s="166">
        <v>51</v>
      </c>
      <c r="B439" s="167">
        <v>8</v>
      </c>
      <c r="C439" s="167">
        <v>101</v>
      </c>
      <c r="D439" s="166">
        <v>598</v>
      </c>
      <c r="E439" s="166">
        <v>80</v>
      </c>
      <c r="F439" s="167">
        <v>5</v>
      </c>
      <c r="G439" s="168">
        <f t="shared" si="41"/>
        <v>5902</v>
      </c>
      <c r="H439" s="166">
        <f t="shared" si="42"/>
        <v>12</v>
      </c>
      <c r="I439" s="166">
        <f t="shared" si="43"/>
        <v>14950</v>
      </c>
      <c r="J439" s="147">
        <v>20</v>
      </c>
      <c r="K439" s="147">
        <v>2</v>
      </c>
      <c r="L439" s="147" t="s">
        <v>656</v>
      </c>
      <c r="M439" s="147">
        <v>2</v>
      </c>
      <c r="N439" s="147">
        <v>2</v>
      </c>
      <c r="O439" s="147" t="s">
        <v>656</v>
      </c>
      <c r="P439" s="147">
        <v>101</v>
      </c>
      <c r="Q439" s="156">
        <v>584</v>
      </c>
      <c r="R439" s="157">
        <v>0</v>
      </c>
      <c r="S439" s="158" t="s">
        <v>408</v>
      </c>
      <c r="T439" s="155" t="s">
        <v>392</v>
      </c>
      <c r="U439" s="163"/>
      <c r="V439" s="147"/>
    </row>
    <row r="440" spans="1:22">
      <c r="A440" s="166">
        <v>51</v>
      </c>
      <c r="B440" s="167">
        <v>9</v>
      </c>
      <c r="C440" s="167">
        <v>101</v>
      </c>
      <c r="D440" s="166">
        <v>673</v>
      </c>
      <c r="E440" s="166">
        <v>90</v>
      </c>
      <c r="F440" s="167">
        <v>5</v>
      </c>
      <c r="G440" s="168">
        <f t="shared" si="41"/>
        <v>5902</v>
      </c>
      <c r="H440" s="166">
        <f t="shared" si="42"/>
        <v>15</v>
      </c>
      <c r="I440" s="166">
        <f t="shared" si="43"/>
        <v>16825</v>
      </c>
      <c r="J440" s="147">
        <v>20</v>
      </c>
      <c r="K440" s="147">
        <v>2</v>
      </c>
      <c r="L440" s="147" t="s">
        <v>656</v>
      </c>
      <c r="M440" s="147">
        <v>2</v>
      </c>
      <c r="N440" s="147">
        <v>2</v>
      </c>
      <c r="O440" s="147" t="s">
        <v>656</v>
      </c>
      <c r="P440" s="147">
        <v>101</v>
      </c>
      <c r="Q440" s="156">
        <v>660</v>
      </c>
      <c r="R440" s="157">
        <v>0</v>
      </c>
      <c r="S440" s="158" t="s">
        <v>408</v>
      </c>
      <c r="T440" s="155" t="s">
        <v>392</v>
      </c>
      <c r="U440" s="163"/>
      <c r="V440" s="147"/>
    </row>
    <row r="441" spans="1:22">
      <c r="A441" s="166">
        <v>51</v>
      </c>
      <c r="B441" s="167">
        <v>10</v>
      </c>
      <c r="C441" s="167">
        <v>101</v>
      </c>
      <c r="D441" s="166">
        <v>747</v>
      </c>
      <c r="E441" s="166">
        <v>90</v>
      </c>
      <c r="F441" s="167">
        <v>6</v>
      </c>
      <c r="G441" s="168">
        <f t="shared" si="41"/>
        <v>5902</v>
      </c>
      <c r="H441" s="166">
        <f t="shared" si="42"/>
        <v>18</v>
      </c>
      <c r="I441" s="166">
        <f t="shared" si="43"/>
        <v>18675</v>
      </c>
      <c r="J441" s="147">
        <v>20</v>
      </c>
      <c r="K441" s="147">
        <v>2</v>
      </c>
      <c r="L441" s="147" t="s">
        <v>656</v>
      </c>
      <c r="M441" s="147">
        <v>2</v>
      </c>
      <c r="N441" s="147">
        <v>2</v>
      </c>
      <c r="O441" s="147" t="s">
        <v>656</v>
      </c>
      <c r="P441" s="147">
        <v>101</v>
      </c>
      <c r="Q441" s="156">
        <v>747</v>
      </c>
      <c r="R441" s="157">
        <v>0</v>
      </c>
      <c r="S441" s="158" t="s">
        <v>408</v>
      </c>
      <c r="T441" s="155" t="s">
        <v>392</v>
      </c>
      <c r="U441" s="163"/>
      <c r="V441" s="147"/>
    </row>
    <row r="442" spans="1:22">
      <c r="A442" s="159">
        <v>54</v>
      </c>
      <c r="B442" s="160">
        <v>1</v>
      </c>
      <c r="C442" s="160">
        <v>102</v>
      </c>
      <c r="D442" s="159">
        <v>107</v>
      </c>
      <c r="E442" s="159">
        <v>10</v>
      </c>
      <c r="F442" s="160">
        <v>1</v>
      </c>
      <c r="G442" s="161">
        <f t="shared" si="41"/>
        <v>5902</v>
      </c>
      <c r="H442" s="159">
        <f t="shared" si="42"/>
        <v>1</v>
      </c>
      <c r="I442" s="159">
        <f t="shared" si="43"/>
        <v>2675</v>
      </c>
      <c r="J442" s="147">
        <v>22</v>
      </c>
      <c r="K442" s="147">
        <v>3</v>
      </c>
      <c r="L442" s="147" t="s">
        <v>657</v>
      </c>
      <c r="M442" s="147">
        <v>1</v>
      </c>
      <c r="N442" s="147">
        <v>1</v>
      </c>
      <c r="O442" s="147" t="s">
        <v>655</v>
      </c>
      <c r="P442" s="147">
        <v>102</v>
      </c>
      <c r="Q442" s="156">
        <v>426</v>
      </c>
      <c r="R442" s="157">
        <v>0</v>
      </c>
      <c r="S442" s="158" t="s">
        <v>409</v>
      </c>
      <c r="T442" s="155" t="s">
        <v>391</v>
      </c>
      <c r="U442" s="163"/>
      <c r="V442" s="147"/>
    </row>
    <row r="443" spans="1:22">
      <c r="A443" s="159">
        <v>54</v>
      </c>
      <c r="B443" s="160">
        <v>2</v>
      </c>
      <c r="C443" s="160">
        <v>102</v>
      </c>
      <c r="D443" s="159">
        <v>213</v>
      </c>
      <c r="E443" s="159">
        <v>20</v>
      </c>
      <c r="F443" s="160">
        <v>2</v>
      </c>
      <c r="G443" s="161">
        <f t="shared" si="41"/>
        <v>5902</v>
      </c>
      <c r="H443" s="159">
        <f t="shared" si="42"/>
        <v>2</v>
      </c>
      <c r="I443" s="159">
        <f t="shared" si="43"/>
        <v>5325</v>
      </c>
      <c r="J443" s="147">
        <v>22</v>
      </c>
      <c r="K443" s="147">
        <v>3</v>
      </c>
      <c r="L443" s="147" t="s">
        <v>657</v>
      </c>
      <c r="M443" s="147">
        <v>1</v>
      </c>
      <c r="N443" s="147">
        <v>1</v>
      </c>
      <c r="O443" s="147" t="s">
        <v>655</v>
      </c>
      <c r="P443" s="147">
        <v>102</v>
      </c>
      <c r="Q443" s="156">
        <v>445</v>
      </c>
      <c r="R443" s="157">
        <v>0</v>
      </c>
      <c r="S443" s="158" t="s">
        <v>409</v>
      </c>
      <c r="T443" s="155" t="s">
        <v>391</v>
      </c>
      <c r="U443" s="163"/>
      <c r="V443" s="147"/>
    </row>
    <row r="444" spans="1:22">
      <c r="A444" s="159">
        <v>54</v>
      </c>
      <c r="B444" s="160">
        <v>3</v>
      </c>
      <c r="C444" s="160">
        <v>102</v>
      </c>
      <c r="D444" s="159">
        <v>320</v>
      </c>
      <c r="E444" s="159">
        <v>30</v>
      </c>
      <c r="F444" s="160">
        <v>2</v>
      </c>
      <c r="G444" s="161">
        <f t="shared" si="41"/>
        <v>5902</v>
      </c>
      <c r="H444" s="159">
        <f t="shared" si="42"/>
        <v>3</v>
      </c>
      <c r="I444" s="159">
        <f t="shared" si="43"/>
        <v>8000</v>
      </c>
      <c r="J444" s="147">
        <v>22</v>
      </c>
      <c r="K444" s="147">
        <v>3</v>
      </c>
      <c r="L444" s="147" t="s">
        <v>657</v>
      </c>
      <c r="M444" s="147">
        <v>1</v>
      </c>
      <c r="N444" s="147">
        <v>1</v>
      </c>
      <c r="O444" s="147" t="s">
        <v>655</v>
      </c>
      <c r="P444" s="147">
        <v>102</v>
      </c>
      <c r="Q444" s="156">
        <v>477</v>
      </c>
      <c r="R444" s="157">
        <v>0</v>
      </c>
      <c r="S444" s="158" t="s">
        <v>409</v>
      </c>
      <c r="T444" s="155" t="s">
        <v>391</v>
      </c>
      <c r="U444" s="163"/>
      <c r="V444" s="147"/>
    </row>
    <row r="445" spans="1:22">
      <c r="A445" s="159">
        <v>54</v>
      </c>
      <c r="B445" s="160">
        <v>4</v>
      </c>
      <c r="C445" s="160">
        <v>102</v>
      </c>
      <c r="D445" s="159">
        <v>426</v>
      </c>
      <c r="E445" s="159">
        <v>40</v>
      </c>
      <c r="F445" s="160">
        <v>3</v>
      </c>
      <c r="G445" s="161">
        <f t="shared" si="41"/>
        <v>5902</v>
      </c>
      <c r="H445" s="159">
        <f t="shared" si="42"/>
        <v>4</v>
      </c>
      <c r="I445" s="159">
        <f t="shared" si="43"/>
        <v>10650</v>
      </c>
      <c r="J445" s="147">
        <v>22</v>
      </c>
      <c r="K445" s="147">
        <v>3</v>
      </c>
      <c r="L445" s="147" t="s">
        <v>657</v>
      </c>
      <c r="M445" s="147">
        <v>1</v>
      </c>
      <c r="N445" s="147">
        <v>1</v>
      </c>
      <c r="O445" s="147" t="s">
        <v>655</v>
      </c>
      <c r="P445" s="147">
        <v>102</v>
      </c>
      <c r="Q445" s="156">
        <v>523</v>
      </c>
      <c r="R445" s="157">
        <v>0</v>
      </c>
      <c r="S445" s="158" t="s">
        <v>409</v>
      </c>
      <c r="T445" s="155" t="s">
        <v>391</v>
      </c>
      <c r="U445" s="163"/>
      <c r="V445" s="147"/>
    </row>
    <row r="446" spans="1:22">
      <c r="A446" s="159">
        <v>54</v>
      </c>
      <c r="B446" s="160">
        <v>5</v>
      </c>
      <c r="C446" s="160">
        <v>102</v>
      </c>
      <c r="D446" s="159">
        <v>533</v>
      </c>
      <c r="E446" s="159">
        <v>50</v>
      </c>
      <c r="F446" s="160">
        <v>3</v>
      </c>
      <c r="G446" s="161">
        <f t="shared" si="41"/>
        <v>5902</v>
      </c>
      <c r="H446" s="159">
        <f t="shared" si="42"/>
        <v>6</v>
      </c>
      <c r="I446" s="159">
        <f t="shared" si="43"/>
        <v>13325</v>
      </c>
      <c r="J446" s="147">
        <v>22</v>
      </c>
      <c r="K446" s="147">
        <v>3</v>
      </c>
      <c r="L446" s="147" t="s">
        <v>657</v>
      </c>
      <c r="M446" s="147">
        <v>1</v>
      </c>
      <c r="N446" s="147">
        <v>1</v>
      </c>
      <c r="O446" s="147" t="s">
        <v>655</v>
      </c>
      <c r="P446" s="147">
        <v>102</v>
      </c>
      <c r="Q446" s="156">
        <v>581</v>
      </c>
      <c r="R446" s="157">
        <v>0</v>
      </c>
      <c r="S446" s="158" t="s">
        <v>409</v>
      </c>
      <c r="T446" s="155" t="s">
        <v>391</v>
      </c>
      <c r="U446" s="163"/>
      <c r="V446" s="147"/>
    </row>
    <row r="447" spans="1:22">
      <c r="A447" s="159">
        <v>54</v>
      </c>
      <c r="B447" s="160">
        <v>6</v>
      </c>
      <c r="C447" s="160">
        <v>102</v>
      </c>
      <c r="D447" s="159">
        <v>639</v>
      </c>
      <c r="E447" s="159">
        <v>60</v>
      </c>
      <c r="F447" s="160">
        <v>4</v>
      </c>
      <c r="G447" s="161">
        <f t="shared" si="41"/>
        <v>5902</v>
      </c>
      <c r="H447" s="159">
        <f t="shared" si="42"/>
        <v>8</v>
      </c>
      <c r="I447" s="159">
        <f t="shared" si="43"/>
        <v>15975</v>
      </c>
      <c r="J447" s="147">
        <v>22</v>
      </c>
      <c r="K447" s="147">
        <v>3</v>
      </c>
      <c r="L447" s="147" t="s">
        <v>657</v>
      </c>
      <c r="M447" s="147">
        <v>1</v>
      </c>
      <c r="N447" s="147">
        <v>1</v>
      </c>
      <c r="O447" s="147" t="s">
        <v>655</v>
      </c>
      <c r="P447" s="147">
        <v>102</v>
      </c>
      <c r="Q447" s="156">
        <v>652</v>
      </c>
      <c r="R447" s="157">
        <v>0</v>
      </c>
      <c r="S447" s="158" t="s">
        <v>409</v>
      </c>
      <c r="T447" s="155" t="s">
        <v>391</v>
      </c>
      <c r="U447" s="163"/>
      <c r="V447" s="147"/>
    </row>
    <row r="448" spans="1:22">
      <c r="A448" s="159">
        <v>54</v>
      </c>
      <c r="B448" s="160">
        <v>7</v>
      </c>
      <c r="C448" s="160">
        <v>102</v>
      </c>
      <c r="D448" s="159">
        <v>746</v>
      </c>
      <c r="E448" s="159">
        <v>70</v>
      </c>
      <c r="F448" s="160">
        <v>4</v>
      </c>
      <c r="G448" s="161">
        <f t="shared" si="41"/>
        <v>5902</v>
      </c>
      <c r="H448" s="159">
        <f t="shared" si="42"/>
        <v>10</v>
      </c>
      <c r="I448" s="159">
        <f t="shared" si="43"/>
        <v>18650</v>
      </c>
      <c r="J448" s="147">
        <v>22</v>
      </c>
      <c r="K448" s="147">
        <v>3</v>
      </c>
      <c r="L448" s="147" t="s">
        <v>657</v>
      </c>
      <c r="M448" s="147">
        <v>1</v>
      </c>
      <c r="N448" s="147">
        <v>1</v>
      </c>
      <c r="O448" s="147" t="s">
        <v>655</v>
      </c>
      <c r="P448" s="147">
        <v>102</v>
      </c>
      <c r="Q448" s="156">
        <v>736</v>
      </c>
      <c r="R448" s="157">
        <v>0</v>
      </c>
      <c r="S448" s="158" t="s">
        <v>409</v>
      </c>
      <c r="T448" s="155" t="s">
        <v>391</v>
      </c>
      <c r="U448" s="163"/>
      <c r="V448" s="147"/>
    </row>
    <row r="449" spans="1:22">
      <c r="A449" s="159">
        <v>54</v>
      </c>
      <c r="B449" s="160">
        <v>8</v>
      </c>
      <c r="C449" s="160">
        <v>102</v>
      </c>
      <c r="D449" s="159">
        <v>852</v>
      </c>
      <c r="E449" s="159">
        <v>80</v>
      </c>
      <c r="F449" s="160">
        <v>5</v>
      </c>
      <c r="G449" s="161">
        <f t="shared" si="41"/>
        <v>5902</v>
      </c>
      <c r="H449" s="159">
        <f t="shared" si="42"/>
        <v>12</v>
      </c>
      <c r="I449" s="159">
        <f t="shared" si="43"/>
        <v>21300</v>
      </c>
      <c r="J449" s="147">
        <v>22</v>
      </c>
      <c r="K449" s="147">
        <v>3</v>
      </c>
      <c r="L449" s="147" t="s">
        <v>657</v>
      </c>
      <c r="M449" s="147">
        <v>1</v>
      </c>
      <c r="N449" s="147">
        <v>1</v>
      </c>
      <c r="O449" s="147" t="s">
        <v>655</v>
      </c>
      <c r="P449" s="147">
        <v>102</v>
      </c>
      <c r="Q449" s="156">
        <v>833</v>
      </c>
      <c r="R449" s="157">
        <v>0</v>
      </c>
      <c r="S449" s="158" t="s">
        <v>409</v>
      </c>
      <c r="T449" s="155" t="s">
        <v>391</v>
      </c>
      <c r="U449" s="163"/>
      <c r="V449" s="147"/>
    </row>
    <row r="450" spans="1:22">
      <c r="A450" s="159">
        <v>54</v>
      </c>
      <c r="B450" s="160">
        <v>9</v>
      </c>
      <c r="C450" s="160">
        <v>102</v>
      </c>
      <c r="D450" s="159">
        <v>959</v>
      </c>
      <c r="E450" s="159">
        <v>90</v>
      </c>
      <c r="F450" s="160">
        <v>5</v>
      </c>
      <c r="G450" s="161">
        <f t="shared" ref="G450:G513" si="44">VLOOKUP(B450,AA$2:AC$11,2,FALSE)</f>
        <v>5902</v>
      </c>
      <c r="H450" s="159">
        <f t="shared" ref="H450:H513" si="45">VLOOKUP(B450,AA$2:AC$11,3,FALSE)</f>
        <v>15</v>
      </c>
      <c r="I450" s="159">
        <f t="shared" si="43"/>
        <v>23975</v>
      </c>
      <c r="J450" s="147">
        <v>22</v>
      </c>
      <c r="K450" s="147">
        <v>3</v>
      </c>
      <c r="L450" s="147" t="s">
        <v>657</v>
      </c>
      <c r="M450" s="147">
        <v>1</v>
      </c>
      <c r="N450" s="147">
        <v>1</v>
      </c>
      <c r="O450" s="147" t="s">
        <v>655</v>
      </c>
      <c r="P450" s="147">
        <v>102</v>
      </c>
      <c r="Q450" s="156">
        <v>942</v>
      </c>
      <c r="R450" s="157">
        <v>0</v>
      </c>
      <c r="S450" s="158" t="s">
        <v>409</v>
      </c>
      <c r="T450" s="155" t="s">
        <v>391</v>
      </c>
      <c r="U450" s="163"/>
      <c r="V450" s="147"/>
    </row>
    <row r="451" spans="1:22">
      <c r="A451" s="159">
        <v>54</v>
      </c>
      <c r="B451" s="160">
        <v>10</v>
      </c>
      <c r="C451" s="160">
        <v>102</v>
      </c>
      <c r="D451" s="159">
        <v>1065</v>
      </c>
      <c r="E451" s="159">
        <v>90</v>
      </c>
      <c r="F451" s="160">
        <v>6</v>
      </c>
      <c r="G451" s="161">
        <f t="shared" si="44"/>
        <v>5902</v>
      </c>
      <c r="H451" s="159">
        <f t="shared" si="45"/>
        <v>18</v>
      </c>
      <c r="I451" s="159">
        <f t="shared" ref="I451:I514" si="46">INT(IF(C451=104,D451,D451*25))</f>
        <v>26625</v>
      </c>
      <c r="J451" s="147">
        <v>22</v>
      </c>
      <c r="K451" s="147">
        <v>3</v>
      </c>
      <c r="L451" s="147" t="s">
        <v>657</v>
      </c>
      <c r="M451" s="147">
        <v>1</v>
      </c>
      <c r="N451" s="147">
        <v>1</v>
      </c>
      <c r="O451" s="147" t="s">
        <v>655</v>
      </c>
      <c r="P451" s="147">
        <v>102</v>
      </c>
      <c r="Q451" s="156">
        <v>1065</v>
      </c>
      <c r="R451" s="157">
        <v>0</v>
      </c>
      <c r="S451" s="158" t="s">
        <v>409</v>
      </c>
      <c r="T451" s="155" t="s">
        <v>391</v>
      </c>
      <c r="U451" s="163"/>
      <c r="V451" s="147"/>
    </row>
    <row r="452" spans="1:22">
      <c r="A452" s="166">
        <v>55</v>
      </c>
      <c r="B452" s="167">
        <v>1</v>
      </c>
      <c r="C452" s="167">
        <v>101</v>
      </c>
      <c r="D452" s="166">
        <v>97</v>
      </c>
      <c r="E452" s="166">
        <v>10</v>
      </c>
      <c r="F452" s="167">
        <v>1</v>
      </c>
      <c r="G452" s="168">
        <f t="shared" si="44"/>
        <v>5902</v>
      </c>
      <c r="H452" s="166">
        <f t="shared" si="45"/>
        <v>1</v>
      </c>
      <c r="I452" s="166">
        <f t="shared" si="46"/>
        <v>2425</v>
      </c>
      <c r="J452" s="147">
        <v>22</v>
      </c>
      <c r="K452" s="147">
        <v>3</v>
      </c>
      <c r="L452" s="147" t="s">
        <v>657</v>
      </c>
      <c r="M452" s="147">
        <v>9</v>
      </c>
      <c r="N452" s="147">
        <v>2</v>
      </c>
      <c r="O452" s="147" t="s">
        <v>656</v>
      </c>
      <c r="P452" s="147">
        <v>101</v>
      </c>
      <c r="Q452" s="156">
        <v>384</v>
      </c>
      <c r="R452" s="157">
        <v>0</v>
      </c>
      <c r="S452" s="158" t="s">
        <v>409</v>
      </c>
      <c r="T452" s="155" t="s">
        <v>397</v>
      </c>
      <c r="U452" s="163"/>
      <c r="V452" s="147"/>
    </row>
    <row r="453" spans="1:22">
      <c r="A453" s="166">
        <v>55</v>
      </c>
      <c r="B453" s="167">
        <v>2</v>
      </c>
      <c r="C453" s="167">
        <v>101</v>
      </c>
      <c r="D453" s="166">
        <v>193</v>
      </c>
      <c r="E453" s="166">
        <v>20</v>
      </c>
      <c r="F453" s="167">
        <v>2</v>
      </c>
      <c r="G453" s="168">
        <f t="shared" si="44"/>
        <v>5902</v>
      </c>
      <c r="H453" s="166">
        <f t="shared" si="45"/>
        <v>2</v>
      </c>
      <c r="I453" s="166">
        <f t="shared" si="46"/>
        <v>4825</v>
      </c>
      <c r="J453" s="147">
        <v>22</v>
      </c>
      <c r="K453" s="147">
        <v>3</v>
      </c>
      <c r="L453" s="147" t="s">
        <v>657</v>
      </c>
      <c r="M453" s="147">
        <v>9</v>
      </c>
      <c r="N453" s="147">
        <v>2</v>
      </c>
      <c r="O453" s="147" t="s">
        <v>656</v>
      </c>
      <c r="P453" s="147">
        <v>101</v>
      </c>
      <c r="Q453" s="156">
        <v>401</v>
      </c>
      <c r="R453" s="157">
        <v>0</v>
      </c>
      <c r="S453" s="158" t="s">
        <v>409</v>
      </c>
      <c r="T453" s="155" t="s">
        <v>397</v>
      </c>
      <c r="U453" s="163"/>
      <c r="V453" s="147"/>
    </row>
    <row r="454" spans="1:22">
      <c r="A454" s="166">
        <v>55</v>
      </c>
      <c r="B454" s="167">
        <v>3</v>
      </c>
      <c r="C454" s="167">
        <v>101</v>
      </c>
      <c r="D454" s="166">
        <v>289</v>
      </c>
      <c r="E454" s="166">
        <v>30</v>
      </c>
      <c r="F454" s="167">
        <v>2</v>
      </c>
      <c r="G454" s="168">
        <f t="shared" si="44"/>
        <v>5902</v>
      </c>
      <c r="H454" s="166">
        <f t="shared" si="45"/>
        <v>3</v>
      </c>
      <c r="I454" s="166">
        <f t="shared" si="46"/>
        <v>7225</v>
      </c>
      <c r="J454" s="147">
        <v>22</v>
      </c>
      <c r="K454" s="147">
        <v>3</v>
      </c>
      <c r="L454" s="147" t="s">
        <v>657</v>
      </c>
      <c r="M454" s="147">
        <v>9</v>
      </c>
      <c r="N454" s="147">
        <v>2</v>
      </c>
      <c r="O454" s="147" t="s">
        <v>656</v>
      </c>
      <c r="P454" s="147">
        <v>101</v>
      </c>
      <c r="Q454" s="156">
        <v>431</v>
      </c>
      <c r="R454" s="157">
        <v>0</v>
      </c>
      <c r="S454" s="158" t="s">
        <v>409</v>
      </c>
      <c r="T454" s="155" t="s">
        <v>397</v>
      </c>
      <c r="U454" s="163"/>
      <c r="V454" s="147"/>
    </row>
    <row r="455" spans="1:22">
      <c r="A455" s="166">
        <v>55</v>
      </c>
      <c r="B455" s="167">
        <v>4</v>
      </c>
      <c r="C455" s="167">
        <v>101</v>
      </c>
      <c r="D455" s="166">
        <v>385</v>
      </c>
      <c r="E455" s="166">
        <v>40</v>
      </c>
      <c r="F455" s="167">
        <v>3</v>
      </c>
      <c r="G455" s="168">
        <f t="shared" si="44"/>
        <v>5902</v>
      </c>
      <c r="H455" s="166">
        <f t="shared" si="45"/>
        <v>4</v>
      </c>
      <c r="I455" s="166">
        <f t="shared" si="46"/>
        <v>9625</v>
      </c>
      <c r="J455" s="147">
        <v>22</v>
      </c>
      <c r="K455" s="147">
        <v>3</v>
      </c>
      <c r="L455" s="147" t="s">
        <v>657</v>
      </c>
      <c r="M455" s="147">
        <v>9</v>
      </c>
      <c r="N455" s="147">
        <v>2</v>
      </c>
      <c r="O455" s="147" t="s">
        <v>656</v>
      </c>
      <c r="P455" s="147">
        <v>101</v>
      </c>
      <c r="Q455" s="156">
        <v>471</v>
      </c>
      <c r="R455" s="157">
        <v>0</v>
      </c>
      <c r="S455" s="158" t="s">
        <v>409</v>
      </c>
      <c r="T455" s="155" t="s">
        <v>397</v>
      </c>
      <c r="U455" s="163"/>
      <c r="V455" s="147"/>
    </row>
    <row r="456" spans="1:22">
      <c r="A456" s="166">
        <v>55</v>
      </c>
      <c r="B456" s="167">
        <v>5</v>
      </c>
      <c r="C456" s="167">
        <v>101</v>
      </c>
      <c r="D456" s="166">
        <v>481</v>
      </c>
      <c r="E456" s="166">
        <v>50</v>
      </c>
      <c r="F456" s="167">
        <v>3</v>
      </c>
      <c r="G456" s="168">
        <f t="shared" si="44"/>
        <v>5902</v>
      </c>
      <c r="H456" s="166">
        <f t="shared" si="45"/>
        <v>6</v>
      </c>
      <c r="I456" s="166">
        <f t="shared" si="46"/>
        <v>12025</v>
      </c>
      <c r="J456" s="147">
        <v>22</v>
      </c>
      <c r="K456" s="147">
        <v>3</v>
      </c>
      <c r="L456" s="147" t="s">
        <v>657</v>
      </c>
      <c r="M456" s="147">
        <v>9</v>
      </c>
      <c r="N456" s="147">
        <v>2</v>
      </c>
      <c r="O456" s="147" t="s">
        <v>656</v>
      </c>
      <c r="P456" s="147">
        <v>101</v>
      </c>
      <c r="Q456" s="156">
        <v>524</v>
      </c>
      <c r="R456" s="157">
        <v>0</v>
      </c>
      <c r="S456" s="158" t="s">
        <v>409</v>
      </c>
      <c r="T456" s="155" t="s">
        <v>397</v>
      </c>
      <c r="U456" s="163"/>
      <c r="V456" s="147"/>
    </row>
    <row r="457" spans="1:22">
      <c r="A457" s="166">
        <v>55</v>
      </c>
      <c r="B457" s="167">
        <v>6</v>
      </c>
      <c r="C457" s="167">
        <v>101</v>
      </c>
      <c r="D457" s="166">
        <v>577</v>
      </c>
      <c r="E457" s="166">
        <v>60</v>
      </c>
      <c r="F457" s="167">
        <v>4</v>
      </c>
      <c r="G457" s="168">
        <f t="shared" si="44"/>
        <v>5902</v>
      </c>
      <c r="H457" s="166">
        <f t="shared" si="45"/>
        <v>8</v>
      </c>
      <c r="I457" s="166">
        <f t="shared" si="46"/>
        <v>14425</v>
      </c>
      <c r="J457" s="147">
        <v>22</v>
      </c>
      <c r="K457" s="147">
        <v>3</v>
      </c>
      <c r="L457" s="147" t="s">
        <v>657</v>
      </c>
      <c r="M457" s="147">
        <v>9</v>
      </c>
      <c r="N457" s="147">
        <v>2</v>
      </c>
      <c r="O457" s="147" t="s">
        <v>656</v>
      </c>
      <c r="P457" s="147">
        <v>101</v>
      </c>
      <c r="Q457" s="156">
        <v>588</v>
      </c>
      <c r="R457" s="157">
        <v>0</v>
      </c>
      <c r="S457" s="158" t="s">
        <v>409</v>
      </c>
      <c r="T457" s="155" t="s">
        <v>397</v>
      </c>
      <c r="U457" s="163"/>
      <c r="V457" s="147"/>
    </row>
    <row r="458" spans="1:22">
      <c r="A458" s="166">
        <v>55</v>
      </c>
      <c r="B458" s="167">
        <v>7</v>
      </c>
      <c r="C458" s="167">
        <v>101</v>
      </c>
      <c r="D458" s="166">
        <v>673</v>
      </c>
      <c r="E458" s="166">
        <v>70</v>
      </c>
      <c r="F458" s="167">
        <v>4</v>
      </c>
      <c r="G458" s="168">
        <f t="shared" si="44"/>
        <v>5902</v>
      </c>
      <c r="H458" s="166">
        <f t="shared" si="45"/>
        <v>10</v>
      </c>
      <c r="I458" s="166">
        <f t="shared" si="46"/>
        <v>16825</v>
      </c>
      <c r="J458" s="147">
        <v>22</v>
      </c>
      <c r="K458" s="147">
        <v>3</v>
      </c>
      <c r="L458" s="147" t="s">
        <v>657</v>
      </c>
      <c r="M458" s="147">
        <v>9</v>
      </c>
      <c r="N458" s="147">
        <v>2</v>
      </c>
      <c r="O458" s="147" t="s">
        <v>656</v>
      </c>
      <c r="P458" s="147">
        <v>101</v>
      </c>
      <c r="Q458" s="156">
        <v>664</v>
      </c>
      <c r="R458" s="157">
        <v>0</v>
      </c>
      <c r="S458" s="158" t="s">
        <v>409</v>
      </c>
      <c r="T458" s="155" t="s">
        <v>397</v>
      </c>
      <c r="U458" s="163"/>
      <c r="V458" s="147"/>
    </row>
    <row r="459" spans="1:22">
      <c r="A459" s="166">
        <v>55</v>
      </c>
      <c r="B459" s="167">
        <v>8</v>
      </c>
      <c r="C459" s="167">
        <v>101</v>
      </c>
      <c r="D459" s="166">
        <v>769</v>
      </c>
      <c r="E459" s="166">
        <v>80</v>
      </c>
      <c r="F459" s="167">
        <v>5</v>
      </c>
      <c r="G459" s="168">
        <f t="shared" si="44"/>
        <v>5902</v>
      </c>
      <c r="H459" s="166">
        <f t="shared" si="45"/>
        <v>12</v>
      </c>
      <c r="I459" s="166">
        <f t="shared" si="46"/>
        <v>19225</v>
      </c>
      <c r="J459" s="147">
        <v>22</v>
      </c>
      <c r="K459" s="147">
        <v>3</v>
      </c>
      <c r="L459" s="147" t="s">
        <v>657</v>
      </c>
      <c r="M459" s="147">
        <v>9</v>
      </c>
      <c r="N459" s="147">
        <v>2</v>
      </c>
      <c r="O459" s="147" t="s">
        <v>656</v>
      </c>
      <c r="P459" s="147">
        <v>101</v>
      </c>
      <c r="Q459" s="156">
        <v>751</v>
      </c>
      <c r="R459" s="157">
        <v>0</v>
      </c>
      <c r="S459" s="158" t="s">
        <v>409</v>
      </c>
      <c r="T459" s="155" t="s">
        <v>397</v>
      </c>
      <c r="U459" s="163"/>
      <c r="V459" s="147"/>
    </row>
    <row r="460" spans="1:22">
      <c r="A460" s="166">
        <v>55</v>
      </c>
      <c r="B460" s="167">
        <v>9</v>
      </c>
      <c r="C460" s="167">
        <v>101</v>
      </c>
      <c r="D460" s="166">
        <v>865</v>
      </c>
      <c r="E460" s="166">
        <v>90</v>
      </c>
      <c r="F460" s="167">
        <v>5</v>
      </c>
      <c r="G460" s="168">
        <f t="shared" si="44"/>
        <v>5902</v>
      </c>
      <c r="H460" s="166">
        <f t="shared" si="45"/>
        <v>15</v>
      </c>
      <c r="I460" s="166">
        <f t="shared" si="46"/>
        <v>21625</v>
      </c>
      <c r="J460" s="147">
        <v>22</v>
      </c>
      <c r="K460" s="147">
        <v>3</v>
      </c>
      <c r="L460" s="147" t="s">
        <v>657</v>
      </c>
      <c r="M460" s="147">
        <v>9</v>
      </c>
      <c r="N460" s="147">
        <v>2</v>
      </c>
      <c r="O460" s="147" t="s">
        <v>656</v>
      </c>
      <c r="P460" s="147">
        <v>101</v>
      </c>
      <c r="Q460" s="156">
        <v>850</v>
      </c>
      <c r="R460" s="157">
        <v>0</v>
      </c>
      <c r="S460" s="158" t="s">
        <v>409</v>
      </c>
      <c r="T460" s="155" t="s">
        <v>397</v>
      </c>
      <c r="U460" s="163"/>
      <c r="V460" s="147"/>
    </row>
    <row r="461" spans="1:22">
      <c r="A461" s="166">
        <v>55</v>
      </c>
      <c r="B461" s="167">
        <v>10</v>
      </c>
      <c r="C461" s="167">
        <v>101</v>
      </c>
      <c r="D461" s="166">
        <v>961</v>
      </c>
      <c r="E461" s="166">
        <v>90</v>
      </c>
      <c r="F461" s="167">
        <v>6</v>
      </c>
      <c r="G461" s="168">
        <f t="shared" si="44"/>
        <v>5902</v>
      </c>
      <c r="H461" s="166">
        <f t="shared" si="45"/>
        <v>18</v>
      </c>
      <c r="I461" s="166">
        <f t="shared" si="46"/>
        <v>24025</v>
      </c>
      <c r="J461" s="147">
        <v>22</v>
      </c>
      <c r="K461" s="147">
        <v>3</v>
      </c>
      <c r="L461" s="147" t="s">
        <v>657</v>
      </c>
      <c r="M461" s="147">
        <v>9</v>
      </c>
      <c r="N461" s="147">
        <v>2</v>
      </c>
      <c r="O461" s="147" t="s">
        <v>656</v>
      </c>
      <c r="P461" s="147">
        <v>101</v>
      </c>
      <c r="Q461" s="156">
        <v>961</v>
      </c>
      <c r="R461" s="157">
        <v>0</v>
      </c>
      <c r="S461" s="158" t="s">
        <v>409</v>
      </c>
      <c r="T461" s="155" t="s">
        <v>397</v>
      </c>
      <c r="U461" s="163"/>
      <c r="V461" s="147"/>
    </row>
    <row r="462" spans="1:22">
      <c r="A462" s="159">
        <v>56</v>
      </c>
      <c r="B462" s="160">
        <v>1</v>
      </c>
      <c r="C462" s="160">
        <v>102</v>
      </c>
      <c r="D462" s="159">
        <v>107</v>
      </c>
      <c r="E462" s="159">
        <v>10</v>
      </c>
      <c r="F462" s="160">
        <v>1</v>
      </c>
      <c r="G462" s="161">
        <f t="shared" si="44"/>
        <v>5902</v>
      </c>
      <c r="H462" s="159">
        <f t="shared" si="45"/>
        <v>1</v>
      </c>
      <c r="I462" s="159">
        <f t="shared" si="46"/>
        <v>2675</v>
      </c>
      <c r="J462" s="147">
        <v>22</v>
      </c>
      <c r="K462" s="147">
        <v>3</v>
      </c>
      <c r="L462" s="147" t="s">
        <v>657</v>
      </c>
      <c r="M462" s="147">
        <v>10</v>
      </c>
      <c r="N462" s="147">
        <v>1</v>
      </c>
      <c r="O462" s="147" t="s">
        <v>655</v>
      </c>
      <c r="P462" s="147">
        <v>102</v>
      </c>
      <c r="Q462" s="156">
        <v>426</v>
      </c>
      <c r="R462" s="157">
        <v>0</v>
      </c>
      <c r="S462" s="158" t="s">
        <v>409</v>
      </c>
      <c r="T462" s="155" t="s">
        <v>398</v>
      </c>
      <c r="U462" s="163"/>
      <c r="V462" s="147"/>
    </row>
    <row r="463" spans="1:22">
      <c r="A463" s="159">
        <v>56</v>
      </c>
      <c r="B463" s="160">
        <v>2</v>
      </c>
      <c r="C463" s="160">
        <v>102</v>
      </c>
      <c r="D463" s="159">
        <v>213</v>
      </c>
      <c r="E463" s="159">
        <v>20</v>
      </c>
      <c r="F463" s="160">
        <v>2</v>
      </c>
      <c r="G463" s="161">
        <f t="shared" si="44"/>
        <v>5902</v>
      </c>
      <c r="H463" s="159">
        <f t="shared" si="45"/>
        <v>2</v>
      </c>
      <c r="I463" s="159">
        <f t="shared" si="46"/>
        <v>5325</v>
      </c>
      <c r="J463" s="147">
        <v>22</v>
      </c>
      <c r="K463" s="147">
        <v>3</v>
      </c>
      <c r="L463" s="147" t="s">
        <v>657</v>
      </c>
      <c r="M463" s="147">
        <v>10</v>
      </c>
      <c r="N463" s="147">
        <v>1</v>
      </c>
      <c r="O463" s="147" t="s">
        <v>655</v>
      </c>
      <c r="P463" s="147">
        <v>102</v>
      </c>
      <c r="Q463" s="156">
        <v>445</v>
      </c>
      <c r="R463" s="157">
        <v>0</v>
      </c>
      <c r="S463" s="158" t="s">
        <v>409</v>
      </c>
      <c r="T463" s="155" t="s">
        <v>398</v>
      </c>
      <c r="U463" s="163"/>
      <c r="V463" s="147"/>
    </row>
    <row r="464" spans="1:22">
      <c r="A464" s="159">
        <v>56</v>
      </c>
      <c r="B464" s="160">
        <v>3</v>
      </c>
      <c r="C464" s="160">
        <v>102</v>
      </c>
      <c r="D464" s="159">
        <v>320</v>
      </c>
      <c r="E464" s="159">
        <v>30</v>
      </c>
      <c r="F464" s="160">
        <v>2</v>
      </c>
      <c r="G464" s="161">
        <f t="shared" si="44"/>
        <v>5902</v>
      </c>
      <c r="H464" s="159">
        <f t="shared" si="45"/>
        <v>3</v>
      </c>
      <c r="I464" s="159">
        <f t="shared" si="46"/>
        <v>8000</v>
      </c>
      <c r="J464" s="147">
        <v>22</v>
      </c>
      <c r="K464" s="147">
        <v>3</v>
      </c>
      <c r="L464" s="147" t="s">
        <v>657</v>
      </c>
      <c r="M464" s="147">
        <v>10</v>
      </c>
      <c r="N464" s="147">
        <v>1</v>
      </c>
      <c r="O464" s="147" t="s">
        <v>655</v>
      </c>
      <c r="P464" s="147">
        <v>102</v>
      </c>
      <c r="Q464" s="156">
        <v>477</v>
      </c>
      <c r="R464" s="157">
        <v>0</v>
      </c>
      <c r="S464" s="158" t="s">
        <v>409</v>
      </c>
      <c r="T464" s="155" t="s">
        <v>398</v>
      </c>
      <c r="U464" s="163"/>
      <c r="V464" s="147"/>
    </row>
    <row r="465" spans="1:22">
      <c r="A465" s="159">
        <v>56</v>
      </c>
      <c r="B465" s="160">
        <v>4</v>
      </c>
      <c r="C465" s="160">
        <v>102</v>
      </c>
      <c r="D465" s="159">
        <v>426</v>
      </c>
      <c r="E465" s="159">
        <v>40</v>
      </c>
      <c r="F465" s="160">
        <v>3</v>
      </c>
      <c r="G465" s="161">
        <f t="shared" si="44"/>
        <v>5902</v>
      </c>
      <c r="H465" s="159">
        <f t="shared" si="45"/>
        <v>4</v>
      </c>
      <c r="I465" s="159">
        <f t="shared" si="46"/>
        <v>10650</v>
      </c>
      <c r="J465" s="147">
        <v>22</v>
      </c>
      <c r="K465" s="147">
        <v>3</v>
      </c>
      <c r="L465" s="147" t="s">
        <v>657</v>
      </c>
      <c r="M465" s="147">
        <v>10</v>
      </c>
      <c r="N465" s="147">
        <v>1</v>
      </c>
      <c r="O465" s="147" t="s">
        <v>655</v>
      </c>
      <c r="P465" s="147">
        <v>102</v>
      </c>
      <c r="Q465" s="156">
        <v>523</v>
      </c>
      <c r="R465" s="157">
        <v>0</v>
      </c>
      <c r="S465" s="158" t="s">
        <v>409</v>
      </c>
      <c r="T465" s="155" t="s">
        <v>398</v>
      </c>
      <c r="U465" s="163"/>
      <c r="V465" s="147"/>
    </row>
    <row r="466" spans="1:22">
      <c r="A466" s="159">
        <v>56</v>
      </c>
      <c r="B466" s="160">
        <v>5</v>
      </c>
      <c r="C466" s="160">
        <v>102</v>
      </c>
      <c r="D466" s="159">
        <v>533</v>
      </c>
      <c r="E466" s="159">
        <v>50</v>
      </c>
      <c r="F466" s="160">
        <v>3</v>
      </c>
      <c r="G466" s="161">
        <f t="shared" si="44"/>
        <v>5902</v>
      </c>
      <c r="H466" s="159">
        <f t="shared" si="45"/>
        <v>6</v>
      </c>
      <c r="I466" s="159">
        <f t="shared" si="46"/>
        <v>13325</v>
      </c>
      <c r="J466" s="147">
        <v>22</v>
      </c>
      <c r="K466" s="147">
        <v>3</v>
      </c>
      <c r="L466" s="147" t="s">
        <v>657</v>
      </c>
      <c r="M466" s="147">
        <v>10</v>
      </c>
      <c r="N466" s="147">
        <v>1</v>
      </c>
      <c r="O466" s="147" t="s">
        <v>655</v>
      </c>
      <c r="P466" s="147">
        <v>102</v>
      </c>
      <c r="Q466" s="156">
        <v>581</v>
      </c>
      <c r="R466" s="157">
        <v>0</v>
      </c>
      <c r="S466" s="158" t="s">
        <v>409</v>
      </c>
      <c r="T466" s="155" t="s">
        <v>398</v>
      </c>
      <c r="U466" s="163"/>
      <c r="V466" s="147"/>
    </row>
    <row r="467" spans="1:22">
      <c r="A467" s="159">
        <v>56</v>
      </c>
      <c r="B467" s="160">
        <v>6</v>
      </c>
      <c r="C467" s="160">
        <v>102</v>
      </c>
      <c r="D467" s="159">
        <v>639</v>
      </c>
      <c r="E467" s="159">
        <v>60</v>
      </c>
      <c r="F467" s="160">
        <v>4</v>
      </c>
      <c r="G467" s="161">
        <f t="shared" si="44"/>
        <v>5902</v>
      </c>
      <c r="H467" s="159">
        <f t="shared" si="45"/>
        <v>8</v>
      </c>
      <c r="I467" s="159">
        <f t="shared" si="46"/>
        <v>15975</v>
      </c>
      <c r="J467" s="147">
        <v>22</v>
      </c>
      <c r="K467" s="147">
        <v>3</v>
      </c>
      <c r="L467" s="147" t="s">
        <v>657</v>
      </c>
      <c r="M467" s="147">
        <v>10</v>
      </c>
      <c r="N467" s="147">
        <v>1</v>
      </c>
      <c r="O467" s="147" t="s">
        <v>655</v>
      </c>
      <c r="P467" s="147">
        <v>102</v>
      </c>
      <c r="Q467" s="156">
        <v>652</v>
      </c>
      <c r="R467" s="157">
        <v>0</v>
      </c>
      <c r="S467" s="158" t="s">
        <v>409</v>
      </c>
      <c r="T467" s="155" t="s">
        <v>398</v>
      </c>
      <c r="U467" s="163"/>
      <c r="V467" s="147"/>
    </row>
    <row r="468" spans="1:22">
      <c r="A468" s="159">
        <v>56</v>
      </c>
      <c r="B468" s="160">
        <v>7</v>
      </c>
      <c r="C468" s="160">
        <v>102</v>
      </c>
      <c r="D468" s="159">
        <v>746</v>
      </c>
      <c r="E468" s="159">
        <v>70</v>
      </c>
      <c r="F468" s="160">
        <v>4</v>
      </c>
      <c r="G468" s="161">
        <f t="shared" si="44"/>
        <v>5902</v>
      </c>
      <c r="H468" s="159">
        <f t="shared" si="45"/>
        <v>10</v>
      </c>
      <c r="I468" s="159">
        <f t="shared" si="46"/>
        <v>18650</v>
      </c>
      <c r="J468" s="147">
        <v>22</v>
      </c>
      <c r="K468" s="147">
        <v>3</v>
      </c>
      <c r="L468" s="147" t="s">
        <v>657</v>
      </c>
      <c r="M468" s="147">
        <v>10</v>
      </c>
      <c r="N468" s="147">
        <v>1</v>
      </c>
      <c r="O468" s="147" t="s">
        <v>655</v>
      </c>
      <c r="P468" s="147">
        <v>102</v>
      </c>
      <c r="Q468" s="156">
        <v>736</v>
      </c>
      <c r="R468" s="157">
        <v>0</v>
      </c>
      <c r="S468" s="158" t="s">
        <v>409</v>
      </c>
      <c r="T468" s="155" t="s">
        <v>398</v>
      </c>
      <c r="U468" s="163"/>
      <c r="V468" s="147"/>
    </row>
    <row r="469" spans="1:22">
      <c r="A469" s="159">
        <v>56</v>
      </c>
      <c r="B469" s="160">
        <v>8</v>
      </c>
      <c r="C469" s="160">
        <v>102</v>
      </c>
      <c r="D469" s="159">
        <v>852</v>
      </c>
      <c r="E469" s="159">
        <v>80</v>
      </c>
      <c r="F469" s="160">
        <v>5</v>
      </c>
      <c r="G469" s="161">
        <f t="shared" si="44"/>
        <v>5902</v>
      </c>
      <c r="H469" s="159">
        <f t="shared" si="45"/>
        <v>12</v>
      </c>
      <c r="I469" s="159">
        <f t="shared" si="46"/>
        <v>21300</v>
      </c>
      <c r="J469" s="147">
        <v>22</v>
      </c>
      <c r="K469" s="147">
        <v>3</v>
      </c>
      <c r="L469" s="147" t="s">
        <v>657</v>
      </c>
      <c r="M469" s="147">
        <v>10</v>
      </c>
      <c r="N469" s="147">
        <v>1</v>
      </c>
      <c r="O469" s="147" t="s">
        <v>655</v>
      </c>
      <c r="P469" s="147">
        <v>102</v>
      </c>
      <c r="Q469" s="156">
        <v>833</v>
      </c>
      <c r="R469" s="157">
        <v>0</v>
      </c>
      <c r="S469" s="158" t="s">
        <v>409</v>
      </c>
      <c r="T469" s="155" t="s">
        <v>398</v>
      </c>
      <c r="U469" s="163"/>
      <c r="V469" s="147"/>
    </row>
    <row r="470" spans="1:22">
      <c r="A470" s="159">
        <v>56</v>
      </c>
      <c r="B470" s="160">
        <v>9</v>
      </c>
      <c r="C470" s="160">
        <v>102</v>
      </c>
      <c r="D470" s="159">
        <v>959</v>
      </c>
      <c r="E470" s="159">
        <v>90</v>
      </c>
      <c r="F470" s="160">
        <v>5</v>
      </c>
      <c r="G470" s="161">
        <f t="shared" si="44"/>
        <v>5902</v>
      </c>
      <c r="H470" s="159">
        <f t="shared" si="45"/>
        <v>15</v>
      </c>
      <c r="I470" s="159">
        <f t="shared" si="46"/>
        <v>23975</v>
      </c>
      <c r="J470" s="147">
        <v>22</v>
      </c>
      <c r="K470" s="147">
        <v>3</v>
      </c>
      <c r="L470" s="147" t="s">
        <v>657</v>
      </c>
      <c r="M470" s="147">
        <v>10</v>
      </c>
      <c r="N470" s="147">
        <v>1</v>
      </c>
      <c r="O470" s="147" t="s">
        <v>655</v>
      </c>
      <c r="P470" s="147">
        <v>102</v>
      </c>
      <c r="Q470" s="156">
        <v>942</v>
      </c>
      <c r="R470" s="157">
        <v>0</v>
      </c>
      <c r="S470" s="158" t="s">
        <v>409</v>
      </c>
      <c r="T470" s="155" t="s">
        <v>398</v>
      </c>
      <c r="U470" s="163"/>
      <c r="V470" s="147"/>
    </row>
    <row r="471" spans="1:22">
      <c r="A471" s="159">
        <v>56</v>
      </c>
      <c r="B471" s="160">
        <v>10</v>
      </c>
      <c r="C471" s="160">
        <v>102</v>
      </c>
      <c r="D471" s="159">
        <v>1065</v>
      </c>
      <c r="E471" s="159">
        <v>90</v>
      </c>
      <c r="F471" s="160">
        <v>6</v>
      </c>
      <c r="G471" s="161">
        <f t="shared" si="44"/>
        <v>5902</v>
      </c>
      <c r="H471" s="159">
        <f t="shared" si="45"/>
        <v>18</v>
      </c>
      <c r="I471" s="159">
        <f t="shared" si="46"/>
        <v>26625</v>
      </c>
      <c r="J471" s="147">
        <v>22</v>
      </c>
      <c r="K471" s="147">
        <v>3</v>
      </c>
      <c r="L471" s="147" t="s">
        <v>657</v>
      </c>
      <c r="M471" s="147">
        <v>10</v>
      </c>
      <c r="N471" s="147">
        <v>1</v>
      </c>
      <c r="O471" s="147" t="s">
        <v>655</v>
      </c>
      <c r="P471" s="147">
        <v>102</v>
      </c>
      <c r="Q471" s="156">
        <v>1065</v>
      </c>
      <c r="R471" s="157">
        <v>0</v>
      </c>
      <c r="S471" s="158" t="s">
        <v>409</v>
      </c>
      <c r="T471" s="155" t="s">
        <v>398</v>
      </c>
      <c r="U471" s="163"/>
      <c r="V471" s="147"/>
    </row>
    <row r="472" spans="1:22">
      <c r="A472" s="166">
        <v>57</v>
      </c>
      <c r="B472" s="167">
        <v>1</v>
      </c>
      <c r="C472" s="167">
        <v>102</v>
      </c>
      <c r="D472" s="166">
        <v>107</v>
      </c>
      <c r="E472" s="166">
        <v>10</v>
      </c>
      <c r="F472" s="167">
        <v>1</v>
      </c>
      <c r="G472" s="168">
        <f t="shared" si="44"/>
        <v>5902</v>
      </c>
      <c r="H472" s="166">
        <f t="shared" si="45"/>
        <v>1</v>
      </c>
      <c r="I472" s="166">
        <f t="shared" si="46"/>
        <v>2675</v>
      </c>
      <c r="J472" s="147">
        <v>22</v>
      </c>
      <c r="K472" s="147">
        <v>3</v>
      </c>
      <c r="L472" s="147" t="s">
        <v>657</v>
      </c>
      <c r="M472" s="147">
        <v>15</v>
      </c>
      <c r="N472" s="147">
        <v>1</v>
      </c>
      <c r="O472" s="147" t="s">
        <v>655</v>
      </c>
      <c r="P472" s="147">
        <v>102</v>
      </c>
      <c r="Q472" s="156">
        <v>426</v>
      </c>
      <c r="R472" s="157">
        <v>0</v>
      </c>
      <c r="S472" s="158" t="s">
        <v>409</v>
      </c>
      <c r="T472" s="155" t="s">
        <v>403</v>
      </c>
      <c r="U472" s="163"/>
      <c r="V472" s="147"/>
    </row>
    <row r="473" spans="1:22">
      <c r="A473" s="166">
        <v>57</v>
      </c>
      <c r="B473" s="167">
        <v>2</v>
      </c>
      <c r="C473" s="167">
        <v>102</v>
      </c>
      <c r="D473" s="166">
        <v>213</v>
      </c>
      <c r="E473" s="166">
        <v>20</v>
      </c>
      <c r="F473" s="167">
        <v>2</v>
      </c>
      <c r="G473" s="168">
        <f t="shared" si="44"/>
        <v>5902</v>
      </c>
      <c r="H473" s="166">
        <f t="shared" si="45"/>
        <v>2</v>
      </c>
      <c r="I473" s="166">
        <f t="shared" si="46"/>
        <v>5325</v>
      </c>
      <c r="J473" s="147">
        <v>22</v>
      </c>
      <c r="K473" s="147">
        <v>3</v>
      </c>
      <c r="L473" s="147" t="s">
        <v>657</v>
      </c>
      <c r="M473" s="147">
        <v>15</v>
      </c>
      <c r="N473" s="147">
        <v>1</v>
      </c>
      <c r="O473" s="147" t="s">
        <v>655</v>
      </c>
      <c r="P473" s="147">
        <v>102</v>
      </c>
      <c r="Q473" s="156">
        <v>445</v>
      </c>
      <c r="R473" s="157">
        <v>0</v>
      </c>
      <c r="S473" s="158" t="s">
        <v>409</v>
      </c>
      <c r="T473" s="155" t="s">
        <v>403</v>
      </c>
      <c r="U473" s="163"/>
      <c r="V473" s="147"/>
    </row>
    <row r="474" spans="1:22">
      <c r="A474" s="166">
        <v>57</v>
      </c>
      <c r="B474" s="167">
        <v>3</v>
      </c>
      <c r="C474" s="167">
        <v>102</v>
      </c>
      <c r="D474" s="166">
        <v>320</v>
      </c>
      <c r="E474" s="166">
        <v>30</v>
      </c>
      <c r="F474" s="167">
        <v>2</v>
      </c>
      <c r="G474" s="168">
        <f t="shared" si="44"/>
        <v>5902</v>
      </c>
      <c r="H474" s="166">
        <f t="shared" si="45"/>
        <v>3</v>
      </c>
      <c r="I474" s="166">
        <f t="shared" si="46"/>
        <v>8000</v>
      </c>
      <c r="J474" s="147">
        <v>22</v>
      </c>
      <c r="K474" s="147">
        <v>3</v>
      </c>
      <c r="L474" s="147" t="s">
        <v>657</v>
      </c>
      <c r="M474" s="147">
        <v>15</v>
      </c>
      <c r="N474" s="147">
        <v>1</v>
      </c>
      <c r="O474" s="147" t="s">
        <v>655</v>
      </c>
      <c r="P474" s="147">
        <v>102</v>
      </c>
      <c r="Q474" s="156">
        <v>477</v>
      </c>
      <c r="R474" s="157">
        <v>0</v>
      </c>
      <c r="S474" s="158" t="s">
        <v>409</v>
      </c>
      <c r="T474" s="155" t="s">
        <v>403</v>
      </c>
      <c r="U474" s="163"/>
      <c r="V474" s="147"/>
    </row>
    <row r="475" spans="1:22">
      <c r="A475" s="166">
        <v>57</v>
      </c>
      <c r="B475" s="167">
        <v>4</v>
      </c>
      <c r="C475" s="167">
        <v>102</v>
      </c>
      <c r="D475" s="166">
        <v>426</v>
      </c>
      <c r="E475" s="166">
        <v>40</v>
      </c>
      <c r="F475" s="167">
        <v>3</v>
      </c>
      <c r="G475" s="168">
        <f t="shared" si="44"/>
        <v>5902</v>
      </c>
      <c r="H475" s="166">
        <f t="shared" si="45"/>
        <v>4</v>
      </c>
      <c r="I475" s="166">
        <f t="shared" si="46"/>
        <v>10650</v>
      </c>
      <c r="J475" s="147">
        <v>22</v>
      </c>
      <c r="K475" s="147">
        <v>3</v>
      </c>
      <c r="L475" s="147" t="s">
        <v>657</v>
      </c>
      <c r="M475" s="147">
        <v>15</v>
      </c>
      <c r="N475" s="147">
        <v>1</v>
      </c>
      <c r="O475" s="147" t="s">
        <v>655</v>
      </c>
      <c r="P475" s="147">
        <v>102</v>
      </c>
      <c r="Q475" s="156">
        <v>523</v>
      </c>
      <c r="R475" s="157">
        <v>0</v>
      </c>
      <c r="S475" s="158" t="s">
        <v>409</v>
      </c>
      <c r="T475" s="155" t="s">
        <v>403</v>
      </c>
      <c r="U475" s="163"/>
      <c r="V475" s="147"/>
    </row>
    <row r="476" spans="1:22">
      <c r="A476" s="166">
        <v>57</v>
      </c>
      <c r="B476" s="167">
        <v>5</v>
      </c>
      <c r="C476" s="167">
        <v>102</v>
      </c>
      <c r="D476" s="166">
        <v>533</v>
      </c>
      <c r="E476" s="166">
        <v>50</v>
      </c>
      <c r="F476" s="167">
        <v>3</v>
      </c>
      <c r="G476" s="168">
        <f t="shared" si="44"/>
        <v>5902</v>
      </c>
      <c r="H476" s="166">
        <f t="shared" si="45"/>
        <v>6</v>
      </c>
      <c r="I476" s="166">
        <f t="shared" si="46"/>
        <v>13325</v>
      </c>
      <c r="J476" s="147">
        <v>22</v>
      </c>
      <c r="K476" s="147">
        <v>3</v>
      </c>
      <c r="L476" s="147" t="s">
        <v>657</v>
      </c>
      <c r="M476" s="147">
        <v>15</v>
      </c>
      <c r="N476" s="147">
        <v>1</v>
      </c>
      <c r="O476" s="147" t="s">
        <v>655</v>
      </c>
      <c r="P476" s="147">
        <v>102</v>
      </c>
      <c r="Q476" s="156">
        <v>581</v>
      </c>
      <c r="R476" s="157">
        <v>0</v>
      </c>
      <c r="S476" s="158" t="s">
        <v>409</v>
      </c>
      <c r="T476" s="155" t="s">
        <v>403</v>
      </c>
      <c r="U476" s="163"/>
      <c r="V476" s="147"/>
    </row>
    <row r="477" spans="1:22">
      <c r="A477" s="166">
        <v>57</v>
      </c>
      <c r="B477" s="167">
        <v>6</v>
      </c>
      <c r="C477" s="167">
        <v>102</v>
      </c>
      <c r="D477" s="166">
        <v>639</v>
      </c>
      <c r="E477" s="166">
        <v>60</v>
      </c>
      <c r="F477" s="167">
        <v>4</v>
      </c>
      <c r="G477" s="168">
        <f t="shared" si="44"/>
        <v>5902</v>
      </c>
      <c r="H477" s="166">
        <f t="shared" si="45"/>
        <v>8</v>
      </c>
      <c r="I477" s="166">
        <f t="shared" si="46"/>
        <v>15975</v>
      </c>
      <c r="J477" s="147">
        <v>22</v>
      </c>
      <c r="K477" s="147">
        <v>3</v>
      </c>
      <c r="L477" s="147" t="s">
        <v>657</v>
      </c>
      <c r="M477" s="147">
        <v>15</v>
      </c>
      <c r="N477" s="147">
        <v>1</v>
      </c>
      <c r="O477" s="147" t="s">
        <v>655</v>
      </c>
      <c r="P477" s="147">
        <v>102</v>
      </c>
      <c r="Q477" s="156">
        <v>652</v>
      </c>
      <c r="R477" s="157">
        <v>0</v>
      </c>
      <c r="S477" s="158" t="s">
        <v>409</v>
      </c>
      <c r="T477" s="155" t="s">
        <v>403</v>
      </c>
      <c r="U477" s="163"/>
      <c r="V477" s="147"/>
    </row>
    <row r="478" spans="1:22">
      <c r="A478" s="166">
        <v>57</v>
      </c>
      <c r="B478" s="167">
        <v>7</v>
      </c>
      <c r="C478" s="167">
        <v>102</v>
      </c>
      <c r="D478" s="166">
        <v>746</v>
      </c>
      <c r="E478" s="166">
        <v>70</v>
      </c>
      <c r="F478" s="167">
        <v>4</v>
      </c>
      <c r="G478" s="168">
        <f t="shared" si="44"/>
        <v>5902</v>
      </c>
      <c r="H478" s="166">
        <f t="shared" si="45"/>
        <v>10</v>
      </c>
      <c r="I478" s="166">
        <f t="shared" si="46"/>
        <v>18650</v>
      </c>
      <c r="J478" s="147">
        <v>22</v>
      </c>
      <c r="K478" s="147">
        <v>3</v>
      </c>
      <c r="L478" s="147" t="s">
        <v>657</v>
      </c>
      <c r="M478" s="147">
        <v>15</v>
      </c>
      <c r="N478" s="147">
        <v>1</v>
      </c>
      <c r="O478" s="147" t="s">
        <v>655</v>
      </c>
      <c r="P478" s="147">
        <v>102</v>
      </c>
      <c r="Q478" s="156">
        <v>736</v>
      </c>
      <c r="R478" s="157">
        <v>0</v>
      </c>
      <c r="S478" s="158" t="s">
        <v>409</v>
      </c>
      <c r="T478" s="155" t="s">
        <v>403</v>
      </c>
      <c r="U478" s="163"/>
      <c r="V478" s="147"/>
    </row>
    <row r="479" spans="1:22">
      <c r="A479" s="166">
        <v>57</v>
      </c>
      <c r="B479" s="167">
        <v>8</v>
      </c>
      <c r="C479" s="167">
        <v>102</v>
      </c>
      <c r="D479" s="166">
        <v>852</v>
      </c>
      <c r="E479" s="166">
        <v>80</v>
      </c>
      <c r="F479" s="167">
        <v>5</v>
      </c>
      <c r="G479" s="168">
        <f t="shared" si="44"/>
        <v>5902</v>
      </c>
      <c r="H479" s="166">
        <f t="shared" si="45"/>
        <v>12</v>
      </c>
      <c r="I479" s="166">
        <f t="shared" si="46"/>
        <v>21300</v>
      </c>
      <c r="J479" s="147">
        <v>22</v>
      </c>
      <c r="K479" s="147">
        <v>3</v>
      </c>
      <c r="L479" s="147" t="s">
        <v>657</v>
      </c>
      <c r="M479" s="147">
        <v>15</v>
      </c>
      <c r="N479" s="147">
        <v>1</v>
      </c>
      <c r="O479" s="147" t="s">
        <v>655</v>
      </c>
      <c r="P479" s="147">
        <v>102</v>
      </c>
      <c r="Q479" s="156">
        <v>833</v>
      </c>
      <c r="R479" s="157">
        <v>0</v>
      </c>
      <c r="S479" s="158" t="s">
        <v>409</v>
      </c>
      <c r="T479" s="155" t="s">
        <v>403</v>
      </c>
      <c r="U479" s="163"/>
      <c r="V479" s="147"/>
    </row>
    <row r="480" spans="1:22">
      <c r="A480" s="166">
        <v>57</v>
      </c>
      <c r="B480" s="167">
        <v>9</v>
      </c>
      <c r="C480" s="167">
        <v>102</v>
      </c>
      <c r="D480" s="166">
        <v>959</v>
      </c>
      <c r="E480" s="166">
        <v>90</v>
      </c>
      <c r="F480" s="167">
        <v>5</v>
      </c>
      <c r="G480" s="168">
        <f t="shared" si="44"/>
        <v>5902</v>
      </c>
      <c r="H480" s="166">
        <f t="shared" si="45"/>
        <v>15</v>
      </c>
      <c r="I480" s="166">
        <f t="shared" si="46"/>
        <v>23975</v>
      </c>
      <c r="J480" s="147">
        <v>22</v>
      </c>
      <c r="K480" s="147">
        <v>3</v>
      </c>
      <c r="L480" s="147" t="s">
        <v>657</v>
      </c>
      <c r="M480" s="147">
        <v>15</v>
      </c>
      <c r="N480" s="147">
        <v>1</v>
      </c>
      <c r="O480" s="147" t="s">
        <v>655</v>
      </c>
      <c r="P480" s="147">
        <v>102</v>
      </c>
      <c r="Q480" s="156">
        <v>942</v>
      </c>
      <c r="R480" s="157">
        <v>0</v>
      </c>
      <c r="S480" s="158" t="s">
        <v>409</v>
      </c>
      <c r="T480" s="155" t="s">
        <v>403</v>
      </c>
      <c r="U480" s="163"/>
      <c r="V480" s="147"/>
    </row>
    <row r="481" spans="1:22">
      <c r="A481" s="166">
        <v>57</v>
      </c>
      <c r="B481" s="167">
        <v>10</v>
      </c>
      <c r="C481" s="167">
        <v>102</v>
      </c>
      <c r="D481" s="166">
        <v>1065</v>
      </c>
      <c r="E481" s="166">
        <v>90</v>
      </c>
      <c r="F481" s="167">
        <v>6</v>
      </c>
      <c r="G481" s="168">
        <f t="shared" si="44"/>
        <v>5902</v>
      </c>
      <c r="H481" s="166">
        <f t="shared" si="45"/>
        <v>18</v>
      </c>
      <c r="I481" s="166">
        <f t="shared" si="46"/>
        <v>26625</v>
      </c>
      <c r="J481" s="147">
        <v>22</v>
      </c>
      <c r="K481" s="147">
        <v>3</v>
      </c>
      <c r="L481" s="147" t="s">
        <v>657</v>
      </c>
      <c r="M481" s="147">
        <v>15</v>
      </c>
      <c r="N481" s="147">
        <v>1</v>
      </c>
      <c r="O481" s="147" t="s">
        <v>655</v>
      </c>
      <c r="P481" s="147">
        <v>102</v>
      </c>
      <c r="Q481" s="156">
        <v>1065</v>
      </c>
      <c r="R481" s="157">
        <v>0</v>
      </c>
      <c r="S481" s="158" t="s">
        <v>409</v>
      </c>
      <c r="T481" s="155" t="s">
        <v>403</v>
      </c>
      <c r="U481" s="163"/>
      <c r="V481" s="147"/>
    </row>
    <row r="482" spans="1:22">
      <c r="A482" s="159">
        <v>58</v>
      </c>
      <c r="B482" s="160">
        <v>1</v>
      </c>
      <c r="C482" s="160">
        <v>102</v>
      </c>
      <c r="D482" s="159">
        <v>107</v>
      </c>
      <c r="E482" s="159">
        <v>10</v>
      </c>
      <c r="F482" s="160">
        <v>1</v>
      </c>
      <c r="G482" s="161">
        <f t="shared" si="44"/>
        <v>5902</v>
      </c>
      <c r="H482" s="159">
        <f t="shared" si="45"/>
        <v>1</v>
      </c>
      <c r="I482" s="159">
        <f t="shared" si="46"/>
        <v>2675</v>
      </c>
      <c r="J482" s="147">
        <v>22</v>
      </c>
      <c r="K482" s="147">
        <v>3</v>
      </c>
      <c r="L482" s="147" t="s">
        <v>657</v>
      </c>
      <c r="M482" s="147">
        <v>24</v>
      </c>
      <c r="N482" s="147">
        <v>1</v>
      </c>
      <c r="O482" s="147" t="s">
        <v>655</v>
      </c>
      <c r="P482" s="147">
        <v>102</v>
      </c>
      <c r="Q482" s="156">
        <v>426</v>
      </c>
      <c r="R482" s="157">
        <v>0</v>
      </c>
      <c r="S482" s="158" t="s">
        <v>409</v>
      </c>
      <c r="T482" s="155" t="s">
        <v>411</v>
      </c>
      <c r="U482" s="163"/>
      <c r="V482" s="147"/>
    </row>
    <row r="483" spans="1:22">
      <c r="A483" s="159">
        <v>58</v>
      </c>
      <c r="B483" s="160">
        <v>2</v>
      </c>
      <c r="C483" s="160">
        <v>102</v>
      </c>
      <c r="D483" s="159">
        <v>213</v>
      </c>
      <c r="E483" s="159">
        <v>20</v>
      </c>
      <c r="F483" s="160">
        <v>2</v>
      </c>
      <c r="G483" s="161">
        <f t="shared" si="44"/>
        <v>5902</v>
      </c>
      <c r="H483" s="159">
        <f t="shared" si="45"/>
        <v>2</v>
      </c>
      <c r="I483" s="159">
        <f t="shared" si="46"/>
        <v>5325</v>
      </c>
      <c r="J483" s="147">
        <v>22</v>
      </c>
      <c r="K483" s="147">
        <v>3</v>
      </c>
      <c r="L483" s="147" t="s">
        <v>657</v>
      </c>
      <c r="M483" s="147">
        <v>24</v>
      </c>
      <c r="N483" s="147">
        <v>1</v>
      </c>
      <c r="O483" s="147" t="s">
        <v>655</v>
      </c>
      <c r="P483" s="147">
        <v>102</v>
      </c>
      <c r="Q483" s="156">
        <v>445</v>
      </c>
      <c r="R483" s="157">
        <v>0</v>
      </c>
      <c r="S483" s="158" t="s">
        <v>409</v>
      </c>
      <c r="T483" s="155" t="s">
        <v>411</v>
      </c>
      <c r="U483" s="163"/>
      <c r="V483" s="147"/>
    </row>
    <row r="484" spans="1:22">
      <c r="A484" s="159">
        <v>58</v>
      </c>
      <c r="B484" s="160">
        <v>3</v>
      </c>
      <c r="C484" s="160">
        <v>102</v>
      </c>
      <c r="D484" s="159">
        <v>320</v>
      </c>
      <c r="E484" s="159">
        <v>30</v>
      </c>
      <c r="F484" s="160">
        <v>2</v>
      </c>
      <c r="G484" s="161">
        <f t="shared" si="44"/>
        <v>5902</v>
      </c>
      <c r="H484" s="159">
        <f t="shared" si="45"/>
        <v>3</v>
      </c>
      <c r="I484" s="159">
        <f t="shared" si="46"/>
        <v>8000</v>
      </c>
      <c r="J484" s="147">
        <v>22</v>
      </c>
      <c r="K484" s="147">
        <v>3</v>
      </c>
      <c r="L484" s="147" t="s">
        <v>657</v>
      </c>
      <c r="M484" s="147">
        <v>24</v>
      </c>
      <c r="N484" s="147">
        <v>1</v>
      </c>
      <c r="O484" s="147" t="s">
        <v>655</v>
      </c>
      <c r="P484" s="147">
        <v>102</v>
      </c>
      <c r="Q484" s="156">
        <v>477</v>
      </c>
      <c r="R484" s="157">
        <v>0</v>
      </c>
      <c r="S484" s="158" t="s">
        <v>409</v>
      </c>
      <c r="T484" s="155" t="s">
        <v>411</v>
      </c>
      <c r="U484" s="163"/>
      <c r="V484" s="147"/>
    </row>
    <row r="485" spans="1:22">
      <c r="A485" s="159">
        <v>58</v>
      </c>
      <c r="B485" s="160">
        <v>4</v>
      </c>
      <c r="C485" s="160">
        <v>102</v>
      </c>
      <c r="D485" s="159">
        <v>426</v>
      </c>
      <c r="E485" s="159">
        <v>40</v>
      </c>
      <c r="F485" s="160">
        <v>3</v>
      </c>
      <c r="G485" s="161">
        <f t="shared" si="44"/>
        <v>5902</v>
      </c>
      <c r="H485" s="159">
        <f t="shared" si="45"/>
        <v>4</v>
      </c>
      <c r="I485" s="159">
        <f t="shared" si="46"/>
        <v>10650</v>
      </c>
      <c r="J485" s="147">
        <v>22</v>
      </c>
      <c r="K485" s="147">
        <v>3</v>
      </c>
      <c r="L485" s="147" t="s">
        <v>657</v>
      </c>
      <c r="M485" s="147">
        <v>24</v>
      </c>
      <c r="N485" s="147">
        <v>1</v>
      </c>
      <c r="O485" s="147" t="s">
        <v>655</v>
      </c>
      <c r="P485" s="147">
        <v>102</v>
      </c>
      <c r="Q485" s="156">
        <v>523</v>
      </c>
      <c r="R485" s="157">
        <v>0</v>
      </c>
      <c r="S485" s="158" t="s">
        <v>409</v>
      </c>
      <c r="T485" s="155" t="s">
        <v>411</v>
      </c>
      <c r="U485" s="163"/>
      <c r="V485" s="147"/>
    </row>
    <row r="486" spans="1:22">
      <c r="A486" s="159">
        <v>58</v>
      </c>
      <c r="B486" s="160">
        <v>5</v>
      </c>
      <c r="C486" s="160">
        <v>102</v>
      </c>
      <c r="D486" s="159">
        <v>533</v>
      </c>
      <c r="E486" s="159">
        <v>50</v>
      </c>
      <c r="F486" s="160">
        <v>3</v>
      </c>
      <c r="G486" s="161">
        <f t="shared" si="44"/>
        <v>5902</v>
      </c>
      <c r="H486" s="159">
        <f t="shared" si="45"/>
        <v>6</v>
      </c>
      <c r="I486" s="159">
        <f t="shared" si="46"/>
        <v>13325</v>
      </c>
      <c r="J486" s="147">
        <v>22</v>
      </c>
      <c r="K486" s="147">
        <v>3</v>
      </c>
      <c r="L486" s="147" t="s">
        <v>657</v>
      </c>
      <c r="M486" s="147">
        <v>24</v>
      </c>
      <c r="N486" s="147">
        <v>1</v>
      </c>
      <c r="O486" s="147" t="s">
        <v>655</v>
      </c>
      <c r="P486" s="147">
        <v>102</v>
      </c>
      <c r="Q486" s="156">
        <v>581</v>
      </c>
      <c r="R486" s="157">
        <v>0</v>
      </c>
      <c r="S486" s="158" t="s">
        <v>409</v>
      </c>
      <c r="T486" s="155" t="s">
        <v>411</v>
      </c>
      <c r="U486" s="163"/>
      <c r="V486" s="147"/>
    </row>
    <row r="487" spans="1:22">
      <c r="A487" s="159">
        <v>58</v>
      </c>
      <c r="B487" s="160">
        <v>6</v>
      </c>
      <c r="C487" s="160">
        <v>102</v>
      </c>
      <c r="D487" s="159">
        <v>639</v>
      </c>
      <c r="E487" s="159">
        <v>60</v>
      </c>
      <c r="F487" s="160">
        <v>4</v>
      </c>
      <c r="G487" s="161">
        <f t="shared" si="44"/>
        <v>5902</v>
      </c>
      <c r="H487" s="159">
        <f t="shared" si="45"/>
        <v>8</v>
      </c>
      <c r="I487" s="159">
        <f t="shared" si="46"/>
        <v>15975</v>
      </c>
      <c r="J487" s="147">
        <v>22</v>
      </c>
      <c r="K487" s="147">
        <v>3</v>
      </c>
      <c r="L487" s="147" t="s">
        <v>657</v>
      </c>
      <c r="M487" s="147">
        <v>24</v>
      </c>
      <c r="N487" s="147">
        <v>1</v>
      </c>
      <c r="O487" s="147" t="s">
        <v>655</v>
      </c>
      <c r="P487" s="147">
        <v>102</v>
      </c>
      <c r="Q487" s="156">
        <v>652</v>
      </c>
      <c r="R487" s="157">
        <v>0</v>
      </c>
      <c r="S487" s="158" t="s">
        <v>409</v>
      </c>
      <c r="T487" s="155" t="s">
        <v>411</v>
      </c>
      <c r="U487" s="163"/>
      <c r="V487" s="147"/>
    </row>
    <row r="488" spans="1:22">
      <c r="A488" s="159">
        <v>58</v>
      </c>
      <c r="B488" s="160">
        <v>7</v>
      </c>
      <c r="C488" s="160">
        <v>102</v>
      </c>
      <c r="D488" s="159">
        <v>746</v>
      </c>
      <c r="E488" s="159">
        <v>70</v>
      </c>
      <c r="F488" s="160">
        <v>4</v>
      </c>
      <c r="G488" s="161">
        <f t="shared" si="44"/>
        <v>5902</v>
      </c>
      <c r="H488" s="159">
        <f t="shared" si="45"/>
        <v>10</v>
      </c>
      <c r="I488" s="159">
        <f t="shared" si="46"/>
        <v>18650</v>
      </c>
      <c r="J488" s="147">
        <v>22</v>
      </c>
      <c r="K488" s="147">
        <v>3</v>
      </c>
      <c r="L488" s="147" t="s">
        <v>657</v>
      </c>
      <c r="M488" s="147">
        <v>24</v>
      </c>
      <c r="N488" s="147">
        <v>1</v>
      </c>
      <c r="O488" s="147" t="s">
        <v>655</v>
      </c>
      <c r="P488" s="147">
        <v>102</v>
      </c>
      <c r="Q488" s="156">
        <v>736</v>
      </c>
      <c r="R488" s="157">
        <v>0</v>
      </c>
      <c r="S488" s="158" t="s">
        <v>409</v>
      </c>
      <c r="T488" s="155" t="s">
        <v>411</v>
      </c>
      <c r="U488" s="163"/>
      <c r="V488" s="147"/>
    </row>
    <row r="489" spans="1:22">
      <c r="A489" s="159">
        <v>58</v>
      </c>
      <c r="B489" s="160">
        <v>8</v>
      </c>
      <c r="C489" s="160">
        <v>102</v>
      </c>
      <c r="D489" s="159">
        <v>852</v>
      </c>
      <c r="E489" s="159">
        <v>80</v>
      </c>
      <c r="F489" s="160">
        <v>5</v>
      </c>
      <c r="G489" s="161">
        <f t="shared" si="44"/>
        <v>5902</v>
      </c>
      <c r="H489" s="159">
        <f t="shared" si="45"/>
        <v>12</v>
      </c>
      <c r="I489" s="159">
        <f t="shared" si="46"/>
        <v>21300</v>
      </c>
      <c r="J489" s="147">
        <v>22</v>
      </c>
      <c r="K489" s="147">
        <v>3</v>
      </c>
      <c r="L489" s="147" t="s">
        <v>657</v>
      </c>
      <c r="M489" s="147">
        <v>24</v>
      </c>
      <c r="N489" s="147">
        <v>1</v>
      </c>
      <c r="O489" s="147" t="s">
        <v>655</v>
      </c>
      <c r="P489" s="147">
        <v>102</v>
      </c>
      <c r="Q489" s="156">
        <v>833</v>
      </c>
      <c r="R489" s="157">
        <v>0</v>
      </c>
      <c r="S489" s="158" t="s">
        <v>409</v>
      </c>
      <c r="T489" s="155" t="s">
        <v>411</v>
      </c>
      <c r="U489" s="163"/>
      <c r="V489" s="147"/>
    </row>
    <row r="490" spans="1:22">
      <c r="A490" s="159">
        <v>58</v>
      </c>
      <c r="B490" s="160">
        <v>9</v>
      </c>
      <c r="C490" s="160">
        <v>102</v>
      </c>
      <c r="D490" s="159">
        <v>959</v>
      </c>
      <c r="E490" s="159">
        <v>90</v>
      </c>
      <c r="F490" s="160">
        <v>5</v>
      </c>
      <c r="G490" s="161">
        <f t="shared" si="44"/>
        <v>5902</v>
      </c>
      <c r="H490" s="159">
        <f t="shared" si="45"/>
        <v>15</v>
      </c>
      <c r="I490" s="159">
        <f t="shared" si="46"/>
        <v>23975</v>
      </c>
      <c r="J490" s="147">
        <v>22</v>
      </c>
      <c r="K490" s="147">
        <v>3</v>
      </c>
      <c r="L490" s="147" t="s">
        <v>657</v>
      </c>
      <c r="M490" s="147">
        <v>24</v>
      </c>
      <c r="N490" s="147">
        <v>1</v>
      </c>
      <c r="O490" s="147" t="s">
        <v>655</v>
      </c>
      <c r="P490" s="147">
        <v>102</v>
      </c>
      <c r="Q490" s="156">
        <v>942</v>
      </c>
      <c r="R490" s="157">
        <v>0</v>
      </c>
      <c r="S490" s="158" t="s">
        <v>409</v>
      </c>
      <c r="T490" s="155" t="s">
        <v>411</v>
      </c>
      <c r="U490" s="163"/>
      <c r="V490" s="147"/>
    </row>
    <row r="491" spans="1:22">
      <c r="A491" s="159">
        <v>58</v>
      </c>
      <c r="B491" s="160">
        <v>10</v>
      </c>
      <c r="C491" s="160">
        <v>102</v>
      </c>
      <c r="D491" s="159">
        <v>1065</v>
      </c>
      <c r="E491" s="159">
        <v>90</v>
      </c>
      <c r="F491" s="160">
        <v>6</v>
      </c>
      <c r="G491" s="161">
        <f t="shared" si="44"/>
        <v>5902</v>
      </c>
      <c r="H491" s="159">
        <f t="shared" si="45"/>
        <v>18</v>
      </c>
      <c r="I491" s="159">
        <f t="shared" si="46"/>
        <v>26625</v>
      </c>
      <c r="J491" s="147">
        <v>22</v>
      </c>
      <c r="K491" s="147">
        <v>3</v>
      </c>
      <c r="L491" s="147" t="s">
        <v>657</v>
      </c>
      <c r="M491" s="147">
        <v>24</v>
      </c>
      <c r="N491" s="147">
        <v>1</v>
      </c>
      <c r="O491" s="147" t="s">
        <v>655</v>
      </c>
      <c r="P491" s="147">
        <v>102</v>
      </c>
      <c r="Q491" s="156">
        <v>1065</v>
      </c>
      <c r="R491" s="157">
        <v>0</v>
      </c>
      <c r="S491" s="158" t="s">
        <v>409</v>
      </c>
      <c r="T491" s="155" t="s">
        <v>411</v>
      </c>
      <c r="U491" s="163"/>
      <c r="V491" s="147"/>
    </row>
    <row r="492" spans="1:22">
      <c r="A492" s="166">
        <v>62</v>
      </c>
      <c r="B492" s="167">
        <v>1</v>
      </c>
      <c r="C492" s="167">
        <v>102</v>
      </c>
      <c r="D492" s="166">
        <v>102</v>
      </c>
      <c r="E492" s="166">
        <v>10</v>
      </c>
      <c r="F492" s="167">
        <v>1</v>
      </c>
      <c r="G492" s="168">
        <f t="shared" si="44"/>
        <v>5902</v>
      </c>
      <c r="H492" s="166">
        <f t="shared" si="45"/>
        <v>1</v>
      </c>
      <c r="I492" s="166">
        <f t="shared" si="46"/>
        <v>2550</v>
      </c>
      <c r="J492" s="147">
        <v>24</v>
      </c>
      <c r="K492" s="147">
        <v>1</v>
      </c>
      <c r="L492" s="147" t="s">
        <v>655</v>
      </c>
      <c r="M492" s="147">
        <v>1</v>
      </c>
      <c r="N492" s="147">
        <v>1</v>
      </c>
      <c r="O492" s="147" t="s">
        <v>655</v>
      </c>
      <c r="P492" s="147">
        <v>102</v>
      </c>
      <c r="Q492" s="156">
        <v>405</v>
      </c>
      <c r="R492" s="157">
        <v>0</v>
      </c>
      <c r="S492" s="158" t="s">
        <v>411</v>
      </c>
      <c r="T492" s="155" t="s">
        <v>391</v>
      </c>
      <c r="U492" s="163"/>
      <c r="V492" s="147"/>
    </row>
    <row r="493" spans="1:22">
      <c r="A493" s="166">
        <v>62</v>
      </c>
      <c r="B493" s="167">
        <v>2</v>
      </c>
      <c r="C493" s="167">
        <v>102</v>
      </c>
      <c r="D493" s="166">
        <v>203</v>
      </c>
      <c r="E493" s="166">
        <v>20</v>
      </c>
      <c r="F493" s="167">
        <v>2</v>
      </c>
      <c r="G493" s="168">
        <f t="shared" si="44"/>
        <v>5902</v>
      </c>
      <c r="H493" s="166">
        <f t="shared" si="45"/>
        <v>2</v>
      </c>
      <c r="I493" s="166">
        <f t="shared" si="46"/>
        <v>5075</v>
      </c>
      <c r="J493" s="147">
        <v>24</v>
      </c>
      <c r="K493" s="147">
        <v>1</v>
      </c>
      <c r="L493" s="147" t="s">
        <v>655</v>
      </c>
      <c r="M493" s="147">
        <v>1</v>
      </c>
      <c r="N493" s="147">
        <v>1</v>
      </c>
      <c r="O493" s="147" t="s">
        <v>655</v>
      </c>
      <c r="P493" s="147">
        <v>102</v>
      </c>
      <c r="Q493" s="156">
        <v>423</v>
      </c>
      <c r="R493" s="157">
        <v>0</v>
      </c>
      <c r="S493" s="158" t="s">
        <v>411</v>
      </c>
      <c r="T493" s="155" t="s">
        <v>391</v>
      </c>
      <c r="U493" s="163"/>
      <c r="V493" s="147"/>
    </row>
    <row r="494" spans="1:22">
      <c r="A494" s="166">
        <v>62</v>
      </c>
      <c r="B494" s="167">
        <v>3</v>
      </c>
      <c r="C494" s="167">
        <v>102</v>
      </c>
      <c r="D494" s="166">
        <v>304</v>
      </c>
      <c r="E494" s="166">
        <v>30</v>
      </c>
      <c r="F494" s="167">
        <v>2</v>
      </c>
      <c r="G494" s="168">
        <f t="shared" si="44"/>
        <v>5902</v>
      </c>
      <c r="H494" s="166">
        <f t="shared" si="45"/>
        <v>3</v>
      </c>
      <c r="I494" s="166">
        <f t="shared" si="46"/>
        <v>7600</v>
      </c>
      <c r="J494" s="147">
        <v>24</v>
      </c>
      <c r="K494" s="147">
        <v>1</v>
      </c>
      <c r="L494" s="147" t="s">
        <v>655</v>
      </c>
      <c r="M494" s="147">
        <v>1</v>
      </c>
      <c r="N494" s="147">
        <v>1</v>
      </c>
      <c r="O494" s="147" t="s">
        <v>655</v>
      </c>
      <c r="P494" s="147">
        <v>102</v>
      </c>
      <c r="Q494" s="156">
        <v>454</v>
      </c>
      <c r="R494" s="157">
        <v>0</v>
      </c>
      <c r="S494" s="158" t="s">
        <v>411</v>
      </c>
      <c r="T494" s="155" t="s">
        <v>391</v>
      </c>
      <c r="U494" s="163"/>
      <c r="V494" s="147"/>
    </row>
    <row r="495" spans="1:22">
      <c r="A495" s="166">
        <v>62</v>
      </c>
      <c r="B495" s="167">
        <v>4</v>
      </c>
      <c r="C495" s="167">
        <v>102</v>
      </c>
      <c r="D495" s="166">
        <v>405</v>
      </c>
      <c r="E495" s="166">
        <v>40</v>
      </c>
      <c r="F495" s="167">
        <v>3</v>
      </c>
      <c r="G495" s="168">
        <f t="shared" si="44"/>
        <v>5902</v>
      </c>
      <c r="H495" s="166">
        <f t="shared" si="45"/>
        <v>4</v>
      </c>
      <c r="I495" s="166">
        <f t="shared" si="46"/>
        <v>10125</v>
      </c>
      <c r="J495" s="147">
        <v>24</v>
      </c>
      <c r="K495" s="147">
        <v>1</v>
      </c>
      <c r="L495" s="147" t="s">
        <v>655</v>
      </c>
      <c r="M495" s="147">
        <v>1</v>
      </c>
      <c r="N495" s="147">
        <v>1</v>
      </c>
      <c r="O495" s="147" t="s">
        <v>655</v>
      </c>
      <c r="P495" s="147">
        <v>102</v>
      </c>
      <c r="Q495" s="156">
        <v>497</v>
      </c>
      <c r="R495" s="157">
        <v>0</v>
      </c>
      <c r="S495" s="158" t="s">
        <v>411</v>
      </c>
      <c r="T495" s="155" t="s">
        <v>391</v>
      </c>
      <c r="U495" s="163"/>
      <c r="V495" s="147"/>
    </row>
    <row r="496" spans="1:22">
      <c r="A496" s="166">
        <v>62</v>
      </c>
      <c r="B496" s="167">
        <v>5</v>
      </c>
      <c r="C496" s="167">
        <v>102</v>
      </c>
      <c r="D496" s="166">
        <v>506</v>
      </c>
      <c r="E496" s="166">
        <v>50</v>
      </c>
      <c r="F496" s="167">
        <v>3</v>
      </c>
      <c r="G496" s="168">
        <f t="shared" si="44"/>
        <v>5902</v>
      </c>
      <c r="H496" s="166">
        <f t="shared" si="45"/>
        <v>6</v>
      </c>
      <c r="I496" s="166">
        <f t="shared" si="46"/>
        <v>12650</v>
      </c>
      <c r="J496" s="147">
        <v>24</v>
      </c>
      <c r="K496" s="147">
        <v>1</v>
      </c>
      <c r="L496" s="147" t="s">
        <v>655</v>
      </c>
      <c r="M496" s="147">
        <v>1</v>
      </c>
      <c r="N496" s="147">
        <v>1</v>
      </c>
      <c r="O496" s="147" t="s">
        <v>655</v>
      </c>
      <c r="P496" s="147">
        <v>102</v>
      </c>
      <c r="Q496" s="156">
        <v>552</v>
      </c>
      <c r="R496" s="157">
        <v>0</v>
      </c>
      <c r="S496" s="158" t="s">
        <v>411</v>
      </c>
      <c r="T496" s="155" t="s">
        <v>391</v>
      </c>
      <c r="U496" s="163"/>
      <c r="V496" s="147"/>
    </row>
    <row r="497" spans="1:22">
      <c r="A497" s="166">
        <v>62</v>
      </c>
      <c r="B497" s="167">
        <v>6</v>
      </c>
      <c r="C497" s="167">
        <v>102</v>
      </c>
      <c r="D497" s="166">
        <v>608</v>
      </c>
      <c r="E497" s="166">
        <v>60</v>
      </c>
      <c r="F497" s="167">
        <v>4</v>
      </c>
      <c r="G497" s="168">
        <f t="shared" si="44"/>
        <v>5902</v>
      </c>
      <c r="H497" s="166">
        <f t="shared" si="45"/>
        <v>8</v>
      </c>
      <c r="I497" s="166">
        <f t="shared" si="46"/>
        <v>15200</v>
      </c>
      <c r="J497" s="147">
        <v>24</v>
      </c>
      <c r="K497" s="147">
        <v>1</v>
      </c>
      <c r="L497" s="147" t="s">
        <v>655</v>
      </c>
      <c r="M497" s="147">
        <v>1</v>
      </c>
      <c r="N497" s="147">
        <v>1</v>
      </c>
      <c r="O497" s="147" t="s">
        <v>655</v>
      </c>
      <c r="P497" s="147">
        <v>102</v>
      </c>
      <c r="Q497" s="156">
        <v>619</v>
      </c>
      <c r="R497" s="157">
        <v>0</v>
      </c>
      <c r="S497" s="158" t="s">
        <v>411</v>
      </c>
      <c r="T497" s="155" t="s">
        <v>391</v>
      </c>
      <c r="U497" s="163"/>
      <c r="V497" s="147"/>
    </row>
    <row r="498" spans="1:22">
      <c r="A498" s="166">
        <v>62</v>
      </c>
      <c r="B498" s="167">
        <v>7</v>
      </c>
      <c r="C498" s="167">
        <v>102</v>
      </c>
      <c r="D498" s="166">
        <v>709</v>
      </c>
      <c r="E498" s="166">
        <v>70</v>
      </c>
      <c r="F498" s="167">
        <v>4</v>
      </c>
      <c r="G498" s="168">
        <f t="shared" si="44"/>
        <v>5902</v>
      </c>
      <c r="H498" s="166">
        <f t="shared" si="45"/>
        <v>10</v>
      </c>
      <c r="I498" s="166">
        <f t="shared" si="46"/>
        <v>17725</v>
      </c>
      <c r="J498" s="147">
        <v>24</v>
      </c>
      <c r="K498" s="147">
        <v>1</v>
      </c>
      <c r="L498" s="147" t="s">
        <v>655</v>
      </c>
      <c r="M498" s="147">
        <v>1</v>
      </c>
      <c r="N498" s="147">
        <v>1</v>
      </c>
      <c r="O498" s="147" t="s">
        <v>655</v>
      </c>
      <c r="P498" s="147">
        <v>102</v>
      </c>
      <c r="Q498" s="156">
        <v>699</v>
      </c>
      <c r="R498" s="157">
        <v>0</v>
      </c>
      <c r="S498" s="158" t="s">
        <v>411</v>
      </c>
      <c r="T498" s="155" t="s">
        <v>391</v>
      </c>
      <c r="U498" s="163"/>
      <c r="V498" s="147"/>
    </row>
    <row r="499" spans="1:22">
      <c r="A499" s="166">
        <v>62</v>
      </c>
      <c r="B499" s="167">
        <v>8</v>
      </c>
      <c r="C499" s="167">
        <v>102</v>
      </c>
      <c r="D499" s="166">
        <v>810</v>
      </c>
      <c r="E499" s="166">
        <v>80</v>
      </c>
      <c r="F499" s="167">
        <v>5</v>
      </c>
      <c r="G499" s="168">
        <f t="shared" si="44"/>
        <v>5902</v>
      </c>
      <c r="H499" s="166">
        <f t="shared" si="45"/>
        <v>12</v>
      </c>
      <c r="I499" s="166">
        <f t="shared" si="46"/>
        <v>20250</v>
      </c>
      <c r="J499" s="147">
        <v>24</v>
      </c>
      <c r="K499" s="147">
        <v>1</v>
      </c>
      <c r="L499" s="147" t="s">
        <v>655</v>
      </c>
      <c r="M499" s="147">
        <v>1</v>
      </c>
      <c r="N499" s="147">
        <v>1</v>
      </c>
      <c r="O499" s="147" t="s">
        <v>655</v>
      </c>
      <c r="P499" s="147">
        <v>102</v>
      </c>
      <c r="Q499" s="156">
        <v>791</v>
      </c>
      <c r="R499" s="157">
        <v>0</v>
      </c>
      <c r="S499" s="158" t="s">
        <v>411</v>
      </c>
      <c r="T499" s="155" t="s">
        <v>391</v>
      </c>
      <c r="U499" s="163"/>
      <c r="V499" s="147"/>
    </row>
    <row r="500" spans="1:22">
      <c r="A500" s="166">
        <v>62</v>
      </c>
      <c r="B500" s="167">
        <v>9</v>
      </c>
      <c r="C500" s="167">
        <v>102</v>
      </c>
      <c r="D500" s="166">
        <v>911</v>
      </c>
      <c r="E500" s="166">
        <v>90</v>
      </c>
      <c r="F500" s="167">
        <v>5</v>
      </c>
      <c r="G500" s="168">
        <f t="shared" si="44"/>
        <v>5902</v>
      </c>
      <c r="H500" s="166">
        <f t="shared" si="45"/>
        <v>15</v>
      </c>
      <c r="I500" s="166">
        <f t="shared" si="46"/>
        <v>22775</v>
      </c>
      <c r="J500" s="147">
        <v>24</v>
      </c>
      <c r="K500" s="147">
        <v>1</v>
      </c>
      <c r="L500" s="147" t="s">
        <v>655</v>
      </c>
      <c r="M500" s="147">
        <v>1</v>
      </c>
      <c r="N500" s="147">
        <v>1</v>
      </c>
      <c r="O500" s="147" t="s">
        <v>655</v>
      </c>
      <c r="P500" s="147">
        <v>102</v>
      </c>
      <c r="Q500" s="156">
        <v>896</v>
      </c>
      <c r="R500" s="157">
        <v>0</v>
      </c>
      <c r="S500" s="158" t="s">
        <v>411</v>
      </c>
      <c r="T500" s="155" t="s">
        <v>391</v>
      </c>
      <c r="U500" s="163"/>
      <c r="V500" s="147"/>
    </row>
    <row r="501" spans="1:22">
      <c r="A501" s="166">
        <v>62</v>
      </c>
      <c r="B501" s="167">
        <v>10</v>
      </c>
      <c r="C501" s="167">
        <v>102</v>
      </c>
      <c r="D501" s="166">
        <v>1012</v>
      </c>
      <c r="E501" s="166">
        <v>90</v>
      </c>
      <c r="F501" s="167">
        <v>6</v>
      </c>
      <c r="G501" s="168">
        <f t="shared" si="44"/>
        <v>5902</v>
      </c>
      <c r="H501" s="166">
        <f t="shared" si="45"/>
        <v>18</v>
      </c>
      <c r="I501" s="166">
        <f t="shared" si="46"/>
        <v>25300</v>
      </c>
      <c r="J501" s="147">
        <v>24</v>
      </c>
      <c r="K501" s="147">
        <v>1</v>
      </c>
      <c r="L501" s="147" t="s">
        <v>655</v>
      </c>
      <c r="M501" s="147">
        <v>1</v>
      </c>
      <c r="N501" s="147">
        <v>1</v>
      </c>
      <c r="O501" s="147" t="s">
        <v>655</v>
      </c>
      <c r="P501" s="147">
        <v>102</v>
      </c>
      <c r="Q501" s="156">
        <v>1012</v>
      </c>
      <c r="R501" s="157">
        <v>0</v>
      </c>
      <c r="S501" s="158" t="s">
        <v>411</v>
      </c>
      <c r="T501" s="155" t="s">
        <v>391</v>
      </c>
      <c r="U501" s="163"/>
      <c r="V501" s="147"/>
    </row>
    <row r="502" spans="1:22">
      <c r="A502" s="159">
        <v>63</v>
      </c>
      <c r="B502" s="160">
        <v>1</v>
      </c>
      <c r="C502" s="160">
        <v>101</v>
      </c>
      <c r="D502" s="159">
        <v>83</v>
      </c>
      <c r="E502" s="159">
        <v>10</v>
      </c>
      <c r="F502" s="160">
        <v>1</v>
      </c>
      <c r="G502" s="161">
        <f t="shared" si="44"/>
        <v>5902</v>
      </c>
      <c r="H502" s="159">
        <f t="shared" si="45"/>
        <v>1</v>
      </c>
      <c r="I502" s="159">
        <f t="shared" si="46"/>
        <v>2075</v>
      </c>
      <c r="J502" s="147">
        <v>24</v>
      </c>
      <c r="K502" s="147">
        <v>1</v>
      </c>
      <c r="L502" s="147" t="s">
        <v>655</v>
      </c>
      <c r="M502" s="147">
        <v>9</v>
      </c>
      <c r="N502" s="147">
        <v>2</v>
      </c>
      <c r="O502" s="147" t="s">
        <v>656</v>
      </c>
      <c r="P502" s="147">
        <v>101</v>
      </c>
      <c r="Q502" s="156">
        <v>331</v>
      </c>
      <c r="R502" s="157">
        <v>0</v>
      </c>
      <c r="S502" s="158" t="s">
        <v>411</v>
      </c>
      <c r="T502" s="155" t="s">
        <v>397</v>
      </c>
      <c r="U502" s="163"/>
      <c r="V502" s="147"/>
    </row>
    <row r="503" spans="1:22">
      <c r="A503" s="159">
        <v>63</v>
      </c>
      <c r="B503" s="160">
        <v>2</v>
      </c>
      <c r="C503" s="160">
        <v>101</v>
      </c>
      <c r="D503" s="159">
        <v>166</v>
      </c>
      <c r="E503" s="159">
        <v>20</v>
      </c>
      <c r="F503" s="160">
        <v>2</v>
      </c>
      <c r="G503" s="161">
        <f t="shared" si="44"/>
        <v>5902</v>
      </c>
      <c r="H503" s="159">
        <f t="shared" si="45"/>
        <v>2</v>
      </c>
      <c r="I503" s="159">
        <f t="shared" si="46"/>
        <v>4150</v>
      </c>
      <c r="J503" s="147">
        <v>24</v>
      </c>
      <c r="K503" s="147">
        <v>1</v>
      </c>
      <c r="L503" s="147" t="s">
        <v>655</v>
      </c>
      <c r="M503" s="147">
        <v>9</v>
      </c>
      <c r="N503" s="147">
        <v>2</v>
      </c>
      <c r="O503" s="147" t="s">
        <v>656</v>
      </c>
      <c r="P503" s="147">
        <v>101</v>
      </c>
      <c r="Q503" s="156">
        <v>347</v>
      </c>
      <c r="R503" s="157">
        <v>0</v>
      </c>
      <c r="S503" s="158" t="s">
        <v>411</v>
      </c>
      <c r="T503" s="155" t="s">
        <v>397</v>
      </c>
      <c r="U503" s="163"/>
      <c r="V503" s="147"/>
    </row>
    <row r="504" spans="1:22">
      <c r="A504" s="159">
        <v>63</v>
      </c>
      <c r="B504" s="160">
        <v>3</v>
      </c>
      <c r="C504" s="160">
        <v>101</v>
      </c>
      <c r="D504" s="159">
        <v>249</v>
      </c>
      <c r="E504" s="159">
        <v>30</v>
      </c>
      <c r="F504" s="160">
        <v>2</v>
      </c>
      <c r="G504" s="161">
        <f t="shared" si="44"/>
        <v>5902</v>
      </c>
      <c r="H504" s="159">
        <f t="shared" si="45"/>
        <v>3</v>
      </c>
      <c r="I504" s="159">
        <f t="shared" si="46"/>
        <v>6225</v>
      </c>
      <c r="J504" s="147">
        <v>24</v>
      </c>
      <c r="K504" s="147">
        <v>1</v>
      </c>
      <c r="L504" s="147" t="s">
        <v>655</v>
      </c>
      <c r="M504" s="147">
        <v>9</v>
      </c>
      <c r="N504" s="147">
        <v>2</v>
      </c>
      <c r="O504" s="147" t="s">
        <v>656</v>
      </c>
      <c r="P504" s="147">
        <v>101</v>
      </c>
      <c r="Q504" s="156">
        <v>372</v>
      </c>
      <c r="R504" s="157">
        <v>0</v>
      </c>
      <c r="S504" s="158" t="s">
        <v>411</v>
      </c>
      <c r="T504" s="155" t="s">
        <v>397</v>
      </c>
      <c r="U504" s="163"/>
      <c r="V504" s="147"/>
    </row>
    <row r="505" spans="1:22">
      <c r="A505" s="159">
        <v>63</v>
      </c>
      <c r="B505" s="160">
        <v>4</v>
      </c>
      <c r="C505" s="160">
        <v>101</v>
      </c>
      <c r="D505" s="159">
        <v>332</v>
      </c>
      <c r="E505" s="159">
        <v>40</v>
      </c>
      <c r="F505" s="160">
        <v>3</v>
      </c>
      <c r="G505" s="161">
        <f t="shared" si="44"/>
        <v>5902</v>
      </c>
      <c r="H505" s="159">
        <f t="shared" si="45"/>
        <v>4</v>
      </c>
      <c r="I505" s="159">
        <f t="shared" si="46"/>
        <v>8300</v>
      </c>
      <c r="J505" s="147">
        <v>24</v>
      </c>
      <c r="K505" s="147">
        <v>1</v>
      </c>
      <c r="L505" s="147" t="s">
        <v>655</v>
      </c>
      <c r="M505" s="147">
        <v>9</v>
      </c>
      <c r="N505" s="147">
        <v>2</v>
      </c>
      <c r="O505" s="147" t="s">
        <v>656</v>
      </c>
      <c r="P505" s="147">
        <v>101</v>
      </c>
      <c r="Q505" s="156">
        <v>407</v>
      </c>
      <c r="R505" s="157">
        <v>0</v>
      </c>
      <c r="S505" s="158" t="s">
        <v>411</v>
      </c>
      <c r="T505" s="155" t="s">
        <v>397</v>
      </c>
      <c r="U505" s="163"/>
      <c r="V505" s="147"/>
    </row>
    <row r="506" spans="1:22">
      <c r="A506" s="159">
        <v>63</v>
      </c>
      <c r="B506" s="160">
        <v>5</v>
      </c>
      <c r="C506" s="160">
        <v>101</v>
      </c>
      <c r="D506" s="159">
        <v>415</v>
      </c>
      <c r="E506" s="159">
        <v>50</v>
      </c>
      <c r="F506" s="160">
        <v>3</v>
      </c>
      <c r="G506" s="161">
        <f t="shared" si="44"/>
        <v>5902</v>
      </c>
      <c r="H506" s="159">
        <f t="shared" si="45"/>
        <v>6</v>
      </c>
      <c r="I506" s="159">
        <f t="shared" si="46"/>
        <v>10375</v>
      </c>
      <c r="J506" s="147">
        <v>24</v>
      </c>
      <c r="K506" s="147">
        <v>1</v>
      </c>
      <c r="L506" s="147" t="s">
        <v>655</v>
      </c>
      <c r="M506" s="147">
        <v>9</v>
      </c>
      <c r="N506" s="147">
        <v>2</v>
      </c>
      <c r="O506" s="147" t="s">
        <v>656</v>
      </c>
      <c r="P506" s="147">
        <v>101</v>
      </c>
      <c r="Q506" s="156">
        <v>452</v>
      </c>
      <c r="R506" s="157">
        <v>0</v>
      </c>
      <c r="S506" s="158" t="s">
        <v>411</v>
      </c>
      <c r="T506" s="155" t="s">
        <v>397</v>
      </c>
      <c r="U506" s="163"/>
      <c r="V506" s="147"/>
    </row>
    <row r="507" spans="1:22">
      <c r="A507" s="159">
        <v>63</v>
      </c>
      <c r="B507" s="160">
        <v>6</v>
      </c>
      <c r="C507" s="160">
        <v>101</v>
      </c>
      <c r="D507" s="159">
        <v>498</v>
      </c>
      <c r="E507" s="159">
        <v>60</v>
      </c>
      <c r="F507" s="160">
        <v>4</v>
      </c>
      <c r="G507" s="161">
        <f t="shared" si="44"/>
        <v>5902</v>
      </c>
      <c r="H507" s="159">
        <f t="shared" si="45"/>
        <v>8</v>
      </c>
      <c r="I507" s="159">
        <f t="shared" si="46"/>
        <v>12450</v>
      </c>
      <c r="J507" s="147">
        <v>24</v>
      </c>
      <c r="K507" s="147">
        <v>1</v>
      </c>
      <c r="L507" s="147" t="s">
        <v>655</v>
      </c>
      <c r="M507" s="147">
        <v>9</v>
      </c>
      <c r="N507" s="147">
        <v>2</v>
      </c>
      <c r="O507" s="147" t="s">
        <v>656</v>
      </c>
      <c r="P507" s="147">
        <v>101</v>
      </c>
      <c r="Q507" s="156">
        <v>507</v>
      </c>
      <c r="R507" s="157">
        <v>0</v>
      </c>
      <c r="S507" s="158" t="s">
        <v>411</v>
      </c>
      <c r="T507" s="155" t="s">
        <v>397</v>
      </c>
      <c r="U507" s="163"/>
      <c r="V507" s="147"/>
    </row>
    <row r="508" spans="1:22">
      <c r="A508" s="159">
        <v>63</v>
      </c>
      <c r="B508" s="160">
        <v>7</v>
      </c>
      <c r="C508" s="160">
        <v>101</v>
      </c>
      <c r="D508" s="159">
        <v>581</v>
      </c>
      <c r="E508" s="159">
        <v>70</v>
      </c>
      <c r="F508" s="160">
        <v>4</v>
      </c>
      <c r="G508" s="161">
        <f t="shared" si="44"/>
        <v>5902</v>
      </c>
      <c r="H508" s="159">
        <f t="shared" si="45"/>
        <v>10</v>
      </c>
      <c r="I508" s="159">
        <f t="shared" si="46"/>
        <v>14525</v>
      </c>
      <c r="J508" s="147">
        <v>24</v>
      </c>
      <c r="K508" s="147">
        <v>1</v>
      </c>
      <c r="L508" s="147" t="s">
        <v>655</v>
      </c>
      <c r="M508" s="147">
        <v>9</v>
      </c>
      <c r="N508" s="147">
        <v>2</v>
      </c>
      <c r="O508" s="147" t="s">
        <v>656</v>
      </c>
      <c r="P508" s="147">
        <v>101</v>
      </c>
      <c r="Q508" s="156">
        <v>573</v>
      </c>
      <c r="R508" s="157">
        <v>0</v>
      </c>
      <c r="S508" s="158" t="s">
        <v>411</v>
      </c>
      <c r="T508" s="155" t="s">
        <v>397</v>
      </c>
      <c r="U508" s="163"/>
      <c r="V508" s="147"/>
    </row>
    <row r="509" spans="1:22">
      <c r="A509" s="159">
        <v>63</v>
      </c>
      <c r="B509" s="160">
        <v>8</v>
      </c>
      <c r="C509" s="160">
        <v>101</v>
      </c>
      <c r="D509" s="159">
        <v>664</v>
      </c>
      <c r="E509" s="159">
        <v>80</v>
      </c>
      <c r="F509" s="160">
        <v>5</v>
      </c>
      <c r="G509" s="161">
        <f t="shared" si="44"/>
        <v>5902</v>
      </c>
      <c r="H509" s="159">
        <f t="shared" si="45"/>
        <v>12</v>
      </c>
      <c r="I509" s="159">
        <f t="shared" si="46"/>
        <v>16600</v>
      </c>
      <c r="J509" s="147">
        <v>24</v>
      </c>
      <c r="K509" s="147">
        <v>1</v>
      </c>
      <c r="L509" s="147" t="s">
        <v>655</v>
      </c>
      <c r="M509" s="147">
        <v>9</v>
      </c>
      <c r="N509" s="147">
        <v>2</v>
      </c>
      <c r="O509" s="147" t="s">
        <v>656</v>
      </c>
      <c r="P509" s="147">
        <v>101</v>
      </c>
      <c r="Q509" s="156">
        <v>648</v>
      </c>
      <c r="R509" s="157">
        <v>0</v>
      </c>
      <c r="S509" s="158" t="s">
        <v>411</v>
      </c>
      <c r="T509" s="155" t="s">
        <v>397</v>
      </c>
      <c r="U509" s="163"/>
      <c r="V509" s="147"/>
    </row>
    <row r="510" spans="1:22">
      <c r="A510" s="159">
        <v>63</v>
      </c>
      <c r="B510" s="160">
        <v>9</v>
      </c>
      <c r="C510" s="160">
        <v>101</v>
      </c>
      <c r="D510" s="159">
        <v>747</v>
      </c>
      <c r="E510" s="159">
        <v>90</v>
      </c>
      <c r="F510" s="160">
        <v>5</v>
      </c>
      <c r="G510" s="161">
        <f t="shared" si="44"/>
        <v>5902</v>
      </c>
      <c r="H510" s="159">
        <f t="shared" si="45"/>
        <v>15</v>
      </c>
      <c r="I510" s="159">
        <f t="shared" si="46"/>
        <v>18675</v>
      </c>
      <c r="J510" s="147">
        <v>24</v>
      </c>
      <c r="K510" s="147">
        <v>1</v>
      </c>
      <c r="L510" s="147" t="s">
        <v>655</v>
      </c>
      <c r="M510" s="147">
        <v>9</v>
      </c>
      <c r="N510" s="147">
        <v>2</v>
      </c>
      <c r="O510" s="147" t="s">
        <v>656</v>
      </c>
      <c r="P510" s="147">
        <v>101</v>
      </c>
      <c r="Q510" s="156">
        <v>734</v>
      </c>
      <c r="R510" s="157">
        <v>0</v>
      </c>
      <c r="S510" s="158" t="s">
        <v>411</v>
      </c>
      <c r="T510" s="155" t="s">
        <v>397</v>
      </c>
      <c r="U510" s="163"/>
      <c r="V510" s="147"/>
    </row>
    <row r="511" spans="1:22">
      <c r="A511" s="159">
        <v>63</v>
      </c>
      <c r="B511" s="160">
        <v>10</v>
      </c>
      <c r="C511" s="160">
        <v>101</v>
      </c>
      <c r="D511" s="159">
        <v>829</v>
      </c>
      <c r="E511" s="159">
        <v>90</v>
      </c>
      <c r="F511" s="160">
        <v>6</v>
      </c>
      <c r="G511" s="161">
        <f t="shared" si="44"/>
        <v>5902</v>
      </c>
      <c r="H511" s="159">
        <f t="shared" si="45"/>
        <v>18</v>
      </c>
      <c r="I511" s="159">
        <f t="shared" si="46"/>
        <v>20725</v>
      </c>
      <c r="J511" s="147">
        <v>24</v>
      </c>
      <c r="K511" s="147">
        <v>1</v>
      </c>
      <c r="L511" s="147" t="s">
        <v>655</v>
      </c>
      <c r="M511" s="147">
        <v>9</v>
      </c>
      <c r="N511" s="147">
        <v>2</v>
      </c>
      <c r="O511" s="147" t="s">
        <v>656</v>
      </c>
      <c r="P511" s="147">
        <v>101</v>
      </c>
      <c r="Q511" s="156">
        <v>829</v>
      </c>
      <c r="R511" s="157">
        <v>0</v>
      </c>
      <c r="S511" s="158" t="s">
        <v>411</v>
      </c>
      <c r="T511" s="155" t="s">
        <v>397</v>
      </c>
      <c r="U511" s="163"/>
      <c r="V511" s="147"/>
    </row>
    <row r="512" spans="1:22">
      <c r="A512" s="166">
        <v>64</v>
      </c>
      <c r="B512" s="167">
        <v>1</v>
      </c>
      <c r="C512" s="167">
        <v>104</v>
      </c>
      <c r="D512" s="166">
        <v>1731</v>
      </c>
      <c r="E512" s="166">
        <v>10</v>
      </c>
      <c r="F512" s="167">
        <v>1</v>
      </c>
      <c r="G512" s="168">
        <f t="shared" si="44"/>
        <v>5902</v>
      </c>
      <c r="H512" s="166">
        <f t="shared" si="45"/>
        <v>1</v>
      </c>
      <c r="I512" s="166">
        <f t="shared" si="46"/>
        <v>1731</v>
      </c>
      <c r="J512" s="147">
        <v>24</v>
      </c>
      <c r="K512" s="147">
        <v>1</v>
      </c>
      <c r="L512" s="147" t="s">
        <v>655</v>
      </c>
      <c r="M512" s="147">
        <v>18</v>
      </c>
      <c r="N512" s="147">
        <v>3</v>
      </c>
      <c r="O512" s="147" t="s">
        <v>657</v>
      </c>
      <c r="P512" s="147">
        <v>104</v>
      </c>
      <c r="Q512" s="156">
        <v>6921</v>
      </c>
      <c r="R512" s="157">
        <v>0</v>
      </c>
      <c r="S512" s="158" t="s">
        <v>411</v>
      </c>
      <c r="T512" s="155" t="s">
        <v>406</v>
      </c>
      <c r="U512" s="163"/>
      <c r="V512" s="147"/>
    </row>
    <row r="513" spans="1:22">
      <c r="A513" s="166">
        <v>64</v>
      </c>
      <c r="B513" s="167">
        <v>2</v>
      </c>
      <c r="C513" s="167">
        <v>104</v>
      </c>
      <c r="D513" s="166">
        <v>3461</v>
      </c>
      <c r="E513" s="166">
        <v>20</v>
      </c>
      <c r="F513" s="167">
        <v>2</v>
      </c>
      <c r="G513" s="168">
        <f t="shared" si="44"/>
        <v>5902</v>
      </c>
      <c r="H513" s="166">
        <f t="shared" si="45"/>
        <v>2</v>
      </c>
      <c r="I513" s="166">
        <f t="shared" si="46"/>
        <v>3461</v>
      </c>
      <c r="J513" s="147">
        <v>24</v>
      </c>
      <c r="K513" s="147">
        <v>1</v>
      </c>
      <c r="L513" s="147" t="s">
        <v>655</v>
      </c>
      <c r="M513" s="147">
        <v>18</v>
      </c>
      <c r="N513" s="147">
        <v>3</v>
      </c>
      <c r="O513" s="147" t="s">
        <v>657</v>
      </c>
      <c r="P513" s="147">
        <v>104</v>
      </c>
      <c r="Q513" s="156">
        <v>7236</v>
      </c>
      <c r="R513" s="157">
        <v>0</v>
      </c>
      <c r="S513" s="158" t="s">
        <v>411</v>
      </c>
      <c r="T513" s="155" t="s">
        <v>406</v>
      </c>
      <c r="U513" s="163"/>
      <c r="V513" s="147"/>
    </row>
    <row r="514" spans="1:22">
      <c r="A514" s="166">
        <v>64</v>
      </c>
      <c r="B514" s="167">
        <v>3</v>
      </c>
      <c r="C514" s="167">
        <v>104</v>
      </c>
      <c r="D514" s="166">
        <v>5192</v>
      </c>
      <c r="E514" s="166">
        <v>30</v>
      </c>
      <c r="F514" s="167">
        <v>2</v>
      </c>
      <c r="G514" s="168">
        <f t="shared" ref="G514:G577" si="47">VLOOKUP(B514,AA$2:AC$11,2,FALSE)</f>
        <v>5902</v>
      </c>
      <c r="H514" s="166">
        <f t="shared" ref="H514:H577" si="48">VLOOKUP(B514,AA$2:AC$11,3,FALSE)</f>
        <v>3</v>
      </c>
      <c r="I514" s="166">
        <f t="shared" si="46"/>
        <v>5192</v>
      </c>
      <c r="J514" s="147">
        <v>24</v>
      </c>
      <c r="K514" s="147">
        <v>1</v>
      </c>
      <c r="L514" s="147" t="s">
        <v>655</v>
      </c>
      <c r="M514" s="147">
        <v>18</v>
      </c>
      <c r="N514" s="147">
        <v>3</v>
      </c>
      <c r="O514" s="147" t="s">
        <v>657</v>
      </c>
      <c r="P514" s="147">
        <v>104</v>
      </c>
      <c r="Q514" s="156">
        <v>7760</v>
      </c>
      <c r="R514" s="157">
        <v>0</v>
      </c>
      <c r="S514" s="158" t="s">
        <v>411</v>
      </c>
      <c r="T514" s="155" t="s">
        <v>406</v>
      </c>
      <c r="U514" s="163"/>
      <c r="V514" s="147"/>
    </row>
    <row r="515" spans="1:22">
      <c r="A515" s="166">
        <v>64</v>
      </c>
      <c r="B515" s="167">
        <v>4</v>
      </c>
      <c r="C515" s="167">
        <v>104</v>
      </c>
      <c r="D515" s="166">
        <v>6922</v>
      </c>
      <c r="E515" s="166">
        <v>40</v>
      </c>
      <c r="F515" s="167">
        <v>3</v>
      </c>
      <c r="G515" s="168">
        <f t="shared" si="47"/>
        <v>5902</v>
      </c>
      <c r="H515" s="166">
        <f t="shared" si="48"/>
        <v>4</v>
      </c>
      <c r="I515" s="166">
        <f t="shared" ref="I515:I578" si="49">INT(IF(C515=104,D515,D515*25))</f>
        <v>6922</v>
      </c>
      <c r="J515" s="147">
        <v>24</v>
      </c>
      <c r="K515" s="147">
        <v>1</v>
      </c>
      <c r="L515" s="147" t="s">
        <v>655</v>
      </c>
      <c r="M515" s="147">
        <v>18</v>
      </c>
      <c r="N515" s="147">
        <v>3</v>
      </c>
      <c r="O515" s="147" t="s">
        <v>657</v>
      </c>
      <c r="P515" s="147">
        <v>104</v>
      </c>
      <c r="Q515" s="156">
        <v>8494</v>
      </c>
      <c r="R515" s="157">
        <v>0</v>
      </c>
      <c r="S515" s="158" t="s">
        <v>411</v>
      </c>
      <c r="T515" s="155" t="s">
        <v>406</v>
      </c>
      <c r="U515" s="163"/>
      <c r="V515" s="147"/>
    </row>
    <row r="516" spans="1:22">
      <c r="A516" s="166">
        <v>64</v>
      </c>
      <c r="B516" s="167">
        <v>5</v>
      </c>
      <c r="C516" s="167">
        <v>104</v>
      </c>
      <c r="D516" s="166">
        <v>8652</v>
      </c>
      <c r="E516" s="166">
        <v>50</v>
      </c>
      <c r="F516" s="167">
        <v>3</v>
      </c>
      <c r="G516" s="168">
        <f t="shared" si="47"/>
        <v>5902</v>
      </c>
      <c r="H516" s="166">
        <f t="shared" si="48"/>
        <v>6</v>
      </c>
      <c r="I516" s="166">
        <f t="shared" si="49"/>
        <v>8652</v>
      </c>
      <c r="J516" s="147">
        <v>24</v>
      </c>
      <c r="K516" s="147">
        <v>1</v>
      </c>
      <c r="L516" s="147" t="s">
        <v>655</v>
      </c>
      <c r="M516" s="147">
        <v>18</v>
      </c>
      <c r="N516" s="147">
        <v>3</v>
      </c>
      <c r="O516" s="147" t="s">
        <v>657</v>
      </c>
      <c r="P516" s="147">
        <v>104</v>
      </c>
      <c r="Q516" s="156">
        <v>9438</v>
      </c>
      <c r="R516" s="157">
        <v>0</v>
      </c>
      <c r="S516" s="158" t="s">
        <v>411</v>
      </c>
      <c r="T516" s="155" t="s">
        <v>406</v>
      </c>
      <c r="U516" s="163"/>
      <c r="V516" s="147"/>
    </row>
    <row r="517" spans="1:22">
      <c r="A517" s="166">
        <v>64</v>
      </c>
      <c r="B517" s="167">
        <v>6</v>
      </c>
      <c r="C517" s="167">
        <v>104</v>
      </c>
      <c r="D517" s="166">
        <v>10383</v>
      </c>
      <c r="E517" s="166">
        <v>60</v>
      </c>
      <c r="F517" s="167">
        <v>4</v>
      </c>
      <c r="G517" s="168">
        <f t="shared" si="47"/>
        <v>5902</v>
      </c>
      <c r="H517" s="166">
        <f t="shared" si="48"/>
        <v>8</v>
      </c>
      <c r="I517" s="166">
        <f t="shared" si="49"/>
        <v>10383</v>
      </c>
      <c r="J517" s="147">
        <v>24</v>
      </c>
      <c r="K517" s="147">
        <v>1</v>
      </c>
      <c r="L517" s="147" t="s">
        <v>655</v>
      </c>
      <c r="M517" s="147">
        <v>18</v>
      </c>
      <c r="N517" s="147">
        <v>3</v>
      </c>
      <c r="O517" s="147" t="s">
        <v>657</v>
      </c>
      <c r="P517" s="147">
        <v>104</v>
      </c>
      <c r="Q517" s="156">
        <v>10592</v>
      </c>
      <c r="R517" s="157">
        <v>0</v>
      </c>
      <c r="S517" s="158" t="s">
        <v>411</v>
      </c>
      <c r="T517" s="155" t="s">
        <v>406</v>
      </c>
      <c r="U517" s="163"/>
      <c r="V517" s="147"/>
    </row>
    <row r="518" spans="1:22">
      <c r="A518" s="166">
        <v>64</v>
      </c>
      <c r="B518" s="167">
        <v>7</v>
      </c>
      <c r="C518" s="167">
        <v>104</v>
      </c>
      <c r="D518" s="166">
        <v>12113</v>
      </c>
      <c r="E518" s="166">
        <v>70</v>
      </c>
      <c r="F518" s="167">
        <v>4</v>
      </c>
      <c r="G518" s="168">
        <f t="shared" si="47"/>
        <v>5902</v>
      </c>
      <c r="H518" s="166">
        <f t="shared" si="48"/>
        <v>10</v>
      </c>
      <c r="I518" s="166">
        <f t="shared" si="49"/>
        <v>12113</v>
      </c>
      <c r="J518" s="147">
        <v>24</v>
      </c>
      <c r="K518" s="147">
        <v>1</v>
      </c>
      <c r="L518" s="147" t="s">
        <v>655</v>
      </c>
      <c r="M518" s="147">
        <v>18</v>
      </c>
      <c r="N518" s="147">
        <v>3</v>
      </c>
      <c r="O518" s="147" t="s">
        <v>657</v>
      </c>
      <c r="P518" s="147">
        <v>104</v>
      </c>
      <c r="Q518" s="156">
        <v>11955</v>
      </c>
      <c r="R518" s="157">
        <v>0</v>
      </c>
      <c r="S518" s="158" t="s">
        <v>411</v>
      </c>
      <c r="T518" s="155" t="s">
        <v>406</v>
      </c>
      <c r="U518" s="163"/>
      <c r="V518" s="147"/>
    </row>
    <row r="519" spans="1:22">
      <c r="A519" s="166">
        <v>64</v>
      </c>
      <c r="B519" s="167">
        <v>8</v>
      </c>
      <c r="C519" s="167">
        <v>104</v>
      </c>
      <c r="D519" s="166">
        <v>13844</v>
      </c>
      <c r="E519" s="166">
        <v>80</v>
      </c>
      <c r="F519" s="167">
        <v>5</v>
      </c>
      <c r="G519" s="168">
        <f t="shared" si="47"/>
        <v>5902</v>
      </c>
      <c r="H519" s="166">
        <f t="shared" si="48"/>
        <v>12</v>
      </c>
      <c r="I519" s="166">
        <f t="shared" si="49"/>
        <v>13844</v>
      </c>
      <c r="J519" s="147">
        <v>24</v>
      </c>
      <c r="K519" s="147">
        <v>1</v>
      </c>
      <c r="L519" s="147" t="s">
        <v>655</v>
      </c>
      <c r="M519" s="147">
        <v>18</v>
      </c>
      <c r="N519" s="147">
        <v>3</v>
      </c>
      <c r="O519" s="147" t="s">
        <v>657</v>
      </c>
      <c r="P519" s="147">
        <v>104</v>
      </c>
      <c r="Q519" s="156">
        <v>13528</v>
      </c>
      <c r="R519" s="157">
        <v>0</v>
      </c>
      <c r="S519" s="158" t="s">
        <v>411</v>
      </c>
      <c r="T519" s="155" t="s">
        <v>406</v>
      </c>
      <c r="U519" s="163"/>
      <c r="V519" s="147"/>
    </row>
    <row r="520" spans="1:22">
      <c r="A520" s="166">
        <v>64</v>
      </c>
      <c r="B520" s="167">
        <v>9</v>
      </c>
      <c r="C520" s="167">
        <v>104</v>
      </c>
      <c r="D520" s="166">
        <v>15574</v>
      </c>
      <c r="E520" s="166">
        <v>90</v>
      </c>
      <c r="F520" s="167">
        <v>5</v>
      </c>
      <c r="G520" s="168">
        <f t="shared" si="47"/>
        <v>5902</v>
      </c>
      <c r="H520" s="166">
        <f t="shared" si="48"/>
        <v>15</v>
      </c>
      <c r="I520" s="166">
        <f t="shared" si="49"/>
        <v>15574</v>
      </c>
      <c r="J520" s="147">
        <v>24</v>
      </c>
      <c r="K520" s="147">
        <v>1</v>
      </c>
      <c r="L520" s="147" t="s">
        <v>655</v>
      </c>
      <c r="M520" s="147">
        <v>18</v>
      </c>
      <c r="N520" s="147">
        <v>3</v>
      </c>
      <c r="O520" s="147" t="s">
        <v>657</v>
      </c>
      <c r="P520" s="147">
        <v>104</v>
      </c>
      <c r="Q520" s="156">
        <v>15311</v>
      </c>
      <c r="R520" s="157">
        <v>0</v>
      </c>
      <c r="S520" s="158" t="s">
        <v>411</v>
      </c>
      <c r="T520" s="155" t="s">
        <v>406</v>
      </c>
      <c r="U520" s="163"/>
      <c r="V520" s="147"/>
    </row>
    <row r="521" spans="1:22">
      <c r="A521" s="166">
        <v>64</v>
      </c>
      <c r="B521" s="167">
        <v>10</v>
      </c>
      <c r="C521" s="167">
        <v>104</v>
      </c>
      <c r="D521" s="166">
        <v>17304</v>
      </c>
      <c r="E521" s="166">
        <v>90</v>
      </c>
      <c r="F521" s="167">
        <v>6</v>
      </c>
      <c r="G521" s="168">
        <f t="shared" si="47"/>
        <v>5902</v>
      </c>
      <c r="H521" s="166">
        <f t="shared" si="48"/>
        <v>18</v>
      </c>
      <c r="I521" s="166">
        <f t="shared" si="49"/>
        <v>17304</v>
      </c>
      <c r="J521" s="147">
        <v>24</v>
      </c>
      <c r="K521" s="147">
        <v>1</v>
      </c>
      <c r="L521" s="147" t="s">
        <v>655</v>
      </c>
      <c r="M521" s="147">
        <v>18</v>
      </c>
      <c r="N521" s="147">
        <v>3</v>
      </c>
      <c r="O521" s="147" t="s">
        <v>657</v>
      </c>
      <c r="P521" s="147">
        <v>104</v>
      </c>
      <c r="Q521" s="156">
        <v>17304</v>
      </c>
      <c r="R521" s="157">
        <v>0</v>
      </c>
      <c r="S521" s="158" t="s">
        <v>411</v>
      </c>
      <c r="T521" s="155" t="s">
        <v>406</v>
      </c>
      <c r="U521" s="163"/>
      <c r="V521" s="147"/>
    </row>
    <row r="522" spans="1:22">
      <c r="A522" s="159">
        <v>65</v>
      </c>
      <c r="B522" s="160">
        <v>1</v>
      </c>
      <c r="C522" s="160">
        <v>102</v>
      </c>
      <c r="D522" s="159">
        <v>83</v>
      </c>
      <c r="E522" s="159">
        <v>10</v>
      </c>
      <c r="F522" s="160">
        <v>1</v>
      </c>
      <c r="G522" s="161">
        <f t="shared" si="47"/>
        <v>5902</v>
      </c>
      <c r="H522" s="159">
        <f t="shared" si="48"/>
        <v>1</v>
      </c>
      <c r="I522" s="159">
        <f t="shared" si="49"/>
        <v>2075</v>
      </c>
      <c r="J522" s="147">
        <v>25</v>
      </c>
      <c r="K522" s="147">
        <v>2</v>
      </c>
      <c r="L522" s="147" t="s">
        <v>656</v>
      </c>
      <c r="M522" s="147">
        <v>1</v>
      </c>
      <c r="N522" s="147">
        <v>1</v>
      </c>
      <c r="O522" s="147" t="s">
        <v>655</v>
      </c>
      <c r="P522" s="147">
        <v>102</v>
      </c>
      <c r="Q522" s="156">
        <v>331</v>
      </c>
      <c r="R522" s="157">
        <v>0</v>
      </c>
      <c r="S522" s="158" t="s">
        <v>412</v>
      </c>
      <c r="T522" s="155" t="s">
        <v>391</v>
      </c>
      <c r="U522" s="163"/>
      <c r="V522" s="147"/>
    </row>
    <row r="523" spans="1:22">
      <c r="A523" s="159">
        <v>65</v>
      </c>
      <c r="B523" s="160">
        <v>2</v>
      </c>
      <c r="C523" s="160">
        <v>102</v>
      </c>
      <c r="D523" s="159">
        <v>166</v>
      </c>
      <c r="E523" s="159">
        <v>20</v>
      </c>
      <c r="F523" s="160">
        <v>2</v>
      </c>
      <c r="G523" s="161">
        <f t="shared" si="47"/>
        <v>5902</v>
      </c>
      <c r="H523" s="159">
        <f t="shared" si="48"/>
        <v>2</v>
      </c>
      <c r="I523" s="159">
        <f t="shared" si="49"/>
        <v>4150</v>
      </c>
      <c r="J523" s="147">
        <v>25</v>
      </c>
      <c r="K523" s="147">
        <v>2</v>
      </c>
      <c r="L523" s="147" t="s">
        <v>656</v>
      </c>
      <c r="M523" s="147">
        <v>1</v>
      </c>
      <c r="N523" s="147">
        <v>1</v>
      </c>
      <c r="O523" s="147" t="s">
        <v>655</v>
      </c>
      <c r="P523" s="147">
        <v>102</v>
      </c>
      <c r="Q523" s="156">
        <v>346</v>
      </c>
      <c r="R523" s="157">
        <v>0</v>
      </c>
      <c r="S523" s="158" t="s">
        <v>412</v>
      </c>
      <c r="T523" s="155" t="s">
        <v>391</v>
      </c>
      <c r="U523" s="163"/>
      <c r="V523" s="147"/>
    </row>
    <row r="524" spans="1:22">
      <c r="A524" s="159">
        <v>65</v>
      </c>
      <c r="B524" s="160">
        <v>3</v>
      </c>
      <c r="C524" s="160">
        <v>102</v>
      </c>
      <c r="D524" s="159">
        <v>249</v>
      </c>
      <c r="E524" s="159">
        <v>30</v>
      </c>
      <c r="F524" s="160">
        <v>2</v>
      </c>
      <c r="G524" s="161">
        <f t="shared" si="47"/>
        <v>5902</v>
      </c>
      <c r="H524" s="159">
        <f t="shared" si="48"/>
        <v>3</v>
      </c>
      <c r="I524" s="159">
        <f t="shared" si="49"/>
        <v>6225</v>
      </c>
      <c r="J524" s="147">
        <v>25</v>
      </c>
      <c r="K524" s="147">
        <v>2</v>
      </c>
      <c r="L524" s="147" t="s">
        <v>656</v>
      </c>
      <c r="M524" s="147">
        <v>1</v>
      </c>
      <c r="N524" s="147">
        <v>1</v>
      </c>
      <c r="O524" s="147" t="s">
        <v>655</v>
      </c>
      <c r="P524" s="147">
        <v>102</v>
      </c>
      <c r="Q524" s="156">
        <v>371</v>
      </c>
      <c r="R524" s="157">
        <v>0</v>
      </c>
      <c r="S524" s="158" t="s">
        <v>412</v>
      </c>
      <c r="T524" s="155" t="s">
        <v>391</v>
      </c>
      <c r="U524" s="163"/>
      <c r="V524" s="147"/>
    </row>
    <row r="525" spans="1:22">
      <c r="A525" s="159">
        <v>65</v>
      </c>
      <c r="B525" s="160">
        <v>4</v>
      </c>
      <c r="C525" s="160">
        <v>102</v>
      </c>
      <c r="D525" s="159">
        <v>332</v>
      </c>
      <c r="E525" s="159">
        <v>40</v>
      </c>
      <c r="F525" s="160">
        <v>3</v>
      </c>
      <c r="G525" s="161">
        <f t="shared" si="47"/>
        <v>5902</v>
      </c>
      <c r="H525" s="159">
        <f t="shared" si="48"/>
        <v>4</v>
      </c>
      <c r="I525" s="159">
        <f t="shared" si="49"/>
        <v>8300</v>
      </c>
      <c r="J525" s="147">
        <v>25</v>
      </c>
      <c r="K525" s="147">
        <v>2</v>
      </c>
      <c r="L525" s="147" t="s">
        <v>656</v>
      </c>
      <c r="M525" s="147">
        <v>1</v>
      </c>
      <c r="N525" s="147">
        <v>1</v>
      </c>
      <c r="O525" s="147" t="s">
        <v>655</v>
      </c>
      <c r="P525" s="147">
        <v>102</v>
      </c>
      <c r="Q525" s="156">
        <v>406</v>
      </c>
      <c r="R525" s="157">
        <v>0</v>
      </c>
      <c r="S525" s="158" t="s">
        <v>412</v>
      </c>
      <c r="T525" s="155" t="s">
        <v>391</v>
      </c>
      <c r="U525" s="163"/>
      <c r="V525" s="147"/>
    </row>
    <row r="526" spans="1:22">
      <c r="A526" s="159">
        <v>65</v>
      </c>
      <c r="B526" s="160">
        <v>5</v>
      </c>
      <c r="C526" s="160">
        <v>102</v>
      </c>
      <c r="D526" s="159">
        <v>414</v>
      </c>
      <c r="E526" s="159">
        <v>50</v>
      </c>
      <c r="F526" s="160">
        <v>3</v>
      </c>
      <c r="G526" s="161">
        <f t="shared" si="47"/>
        <v>5902</v>
      </c>
      <c r="H526" s="159">
        <f t="shared" si="48"/>
        <v>6</v>
      </c>
      <c r="I526" s="159">
        <f t="shared" si="49"/>
        <v>10350</v>
      </c>
      <c r="J526" s="147">
        <v>25</v>
      </c>
      <c r="K526" s="147">
        <v>2</v>
      </c>
      <c r="L526" s="147" t="s">
        <v>656</v>
      </c>
      <c r="M526" s="147">
        <v>1</v>
      </c>
      <c r="N526" s="147">
        <v>1</v>
      </c>
      <c r="O526" s="147" t="s">
        <v>655</v>
      </c>
      <c r="P526" s="147">
        <v>102</v>
      </c>
      <c r="Q526" s="156">
        <v>451</v>
      </c>
      <c r="R526" s="157">
        <v>0</v>
      </c>
      <c r="S526" s="158" t="s">
        <v>412</v>
      </c>
      <c r="T526" s="155" t="s">
        <v>391</v>
      </c>
      <c r="U526" s="163"/>
      <c r="V526" s="147"/>
    </row>
    <row r="527" spans="1:22">
      <c r="A527" s="159">
        <v>65</v>
      </c>
      <c r="B527" s="160">
        <v>6</v>
      </c>
      <c r="C527" s="160">
        <v>102</v>
      </c>
      <c r="D527" s="159">
        <v>497</v>
      </c>
      <c r="E527" s="159">
        <v>60</v>
      </c>
      <c r="F527" s="160">
        <v>4</v>
      </c>
      <c r="G527" s="161">
        <f t="shared" si="47"/>
        <v>5902</v>
      </c>
      <c r="H527" s="159">
        <f t="shared" si="48"/>
        <v>8</v>
      </c>
      <c r="I527" s="159">
        <f t="shared" si="49"/>
        <v>12425</v>
      </c>
      <c r="J527" s="147">
        <v>25</v>
      </c>
      <c r="K527" s="147">
        <v>2</v>
      </c>
      <c r="L527" s="147" t="s">
        <v>656</v>
      </c>
      <c r="M527" s="147">
        <v>1</v>
      </c>
      <c r="N527" s="147">
        <v>1</v>
      </c>
      <c r="O527" s="147" t="s">
        <v>655</v>
      </c>
      <c r="P527" s="147">
        <v>102</v>
      </c>
      <c r="Q527" s="156">
        <v>506</v>
      </c>
      <c r="R527" s="157">
        <v>0</v>
      </c>
      <c r="S527" s="158" t="s">
        <v>412</v>
      </c>
      <c r="T527" s="155" t="s">
        <v>391</v>
      </c>
      <c r="U527" s="163"/>
      <c r="V527" s="147"/>
    </row>
    <row r="528" spans="1:22">
      <c r="A528" s="159">
        <v>65</v>
      </c>
      <c r="B528" s="160">
        <v>7</v>
      </c>
      <c r="C528" s="160">
        <v>102</v>
      </c>
      <c r="D528" s="159">
        <v>580</v>
      </c>
      <c r="E528" s="159">
        <v>70</v>
      </c>
      <c r="F528" s="160">
        <v>4</v>
      </c>
      <c r="G528" s="161">
        <f t="shared" si="47"/>
        <v>5902</v>
      </c>
      <c r="H528" s="159">
        <f t="shared" si="48"/>
        <v>10</v>
      </c>
      <c r="I528" s="159">
        <f t="shared" si="49"/>
        <v>14500</v>
      </c>
      <c r="J528" s="147">
        <v>25</v>
      </c>
      <c r="K528" s="147">
        <v>2</v>
      </c>
      <c r="L528" s="147" t="s">
        <v>656</v>
      </c>
      <c r="M528" s="147">
        <v>1</v>
      </c>
      <c r="N528" s="147">
        <v>1</v>
      </c>
      <c r="O528" s="147" t="s">
        <v>655</v>
      </c>
      <c r="P528" s="147">
        <v>102</v>
      </c>
      <c r="Q528" s="156">
        <v>572</v>
      </c>
      <c r="R528" s="157">
        <v>0</v>
      </c>
      <c r="S528" s="158" t="s">
        <v>412</v>
      </c>
      <c r="T528" s="155" t="s">
        <v>391</v>
      </c>
      <c r="U528" s="163"/>
      <c r="V528" s="147"/>
    </row>
    <row r="529" spans="1:22">
      <c r="A529" s="159">
        <v>65</v>
      </c>
      <c r="B529" s="160">
        <v>8</v>
      </c>
      <c r="C529" s="160">
        <v>102</v>
      </c>
      <c r="D529" s="159">
        <v>663</v>
      </c>
      <c r="E529" s="159">
        <v>80</v>
      </c>
      <c r="F529" s="160">
        <v>5</v>
      </c>
      <c r="G529" s="161">
        <f t="shared" si="47"/>
        <v>5902</v>
      </c>
      <c r="H529" s="159">
        <f t="shared" si="48"/>
        <v>12</v>
      </c>
      <c r="I529" s="159">
        <f t="shared" si="49"/>
        <v>16575</v>
      </c>
      <c r="J529" s="147">
        <v>25</v>
      </c>
      <c r="K529" s="147">
        <v>2</v>
      </c>
      <c r="L529" s="147" t="s">
        <v>656</v>
      </c>
      <c r="M529" s="147">
        <v>1</v>
      </c>
      <c r="N529" s="147">
        <v>1</v>
      </c>
      <c r="O529" s="147" t="s">
        <v>655</v>
      </c>
      <c r="P529" s="147">
        <v>102</v>
      </c>
      <c r="Q529" s="156">
        <v>647</v>
      </c>
      <c r="R529" s="157">
        <v>0</v>
      </c>
      <c r="S529" s="158" t="s">
        <v>412</v>
      </c>
      <c r="T529" s="155" t="s">
        <v>391</v>
      </c>
      <c r="U529" s="163"/>
      <c r="V529" s="147"/>
    </row>
    <row r="530" spans="1:22">
      <c r="A530" s="159">
        <v>65</v>
      </c>
      <c r="B530" s="160">
        <v>9</v>
      </c>
      <c r="C530" s="160">
        <v>102</v>
      </c>
      <c r="D530" s="159">
        <v>746</v>
      </c>
      <c r="E530" s="159">
        <v>90</v>
      </c>
      <c r="F530" s="160">
        <v>5</v>
      </c>
      <c r="G530" s="161">
        <f t="shared" si="47"/>
        <v>5902</v>
      </c>
      <c r="H530" s="159">
        <f t="shared" si="48"/>
        <v>15</v>
      </c>
      <c r="I530" s="159">
        <f t="shared" si="49"/>
        <v>18650</v>
      </c>
      <c r="J530" s="147">
        <v>25</v>
      </c>
      <c r="K530" s="147">
        <v>2</v>
      </c>
      <c r="L530" s="147" t="s">
        <v>656</v>
      </c>
      <c r="M530" s="147">
        <v>1</v>
      </c>
      <c r="N530" s="147">
        <v>1</v>
      </c>
      <c r="O530" s="147" t="s">
        <v>655</v>
      </c>
      <c r="P530" s="147">
        <v>102</v>
      </c>
      <c r="Q530" s="156">
        <v>732</v>
      </c>
      <c r="R530" s="157">
        <v>0</v>
      </c>
      <c r="S530" s="158" t="s">
        <v>412</v>
      </c>
      <c r="T530" s="155" t="s">
        <v>391</v>
      </c>
      <c r="U530" s="163"/>
      <c r="V530" s="147"/>
    </row>
    <row r="531" spans="1:22">
      <c r="A531" s="159">
        <v>65</v>
      </c>
      <c r="B531" s="160">
        <v>10</v>
      </c>
      <c r="C531" s="160">
        <v>102</v>
      </c>
      <c r="D531" s="159">
        <v>828</v>
      </c>
      <c r="E531" s="159">
        <v>90</v>
      </c>
      <c r="F531" s="160">
        <v>6</v>
      </c>
      <c r="G531" s="161">
        <f t="shared" si="47"/>
        <v>5902</v>
      </c>
      <c r="H531" s="159">
        <f t="shared" si="48"/>
        <v>18</v>
      </c>
      <c r="I531" s="159">
        <f t="shared" si="49"/>
        <v>20700</v>
      </c>
      <c r="J531" s="147">
        <v>25</v>
      </c>
      <c r="K531" s="147">
        <v>2</v>
      </c>
      <c r="L531" s="147" t="s">
        <v>656</v>
      </c>
      <c r="M531" s="147">
        <v>1</v>
      </c>
      <c r="N531" s="147">
        <v>1</v>
      </c>
      <c r="O531" s="147" t="s">
        <v>655</v>
      </c>
      <c r="P531" s="147">
        <v>102</v>
      </c>
      <c r="Q531" s="156">
        <v>828</v>
      </c>
      <c r="R531" s="157">
        <v>0</v>
      </c>
      <c r="S531" s="158" t="s">
        <v>412</v>
      </c>
      <c r="T531" s="155" t="s">
        <v>391</v>
      </c>
      <c r="U531" s="163"/>
      <c r="V531" s="147"/>
    </row>
    <row r="532" spans="1:22">
      <c r="A532" s="166">
        <v>66</v>
      </c>
      <c r="B532" s="167">
        <v>1</v>
      </c>
      <c r="C532" s="167">
        <v>101</v>
      </c>
      <c r="D532" s="166">
        <v>102</v>
      </c>
      <c r="E532" s="166">
        <v>10</v>
      </c>
      <c r="F532" s="167">
        <v>1</v>
      </c>
      <c r="G532" s="168">
        <f t="shared" si="47"/>
        <v>5902</v>
      </c>
      <c r="H532" s="166">
        <f t="shared" si="48"/>
        <v>1</v>
      </c>
      <c r="I532" s="166">
        <f t="shared" si="49"/>
        <v>2550</v>
      </c>
      <c r="J532" s="147">
        <v>25</v>
      </c>
      <c r="K532" s="147">
        <v>2</v>
      </c>
      <c r="L532" s="147" t="s">
        <v>656</v>
      </c>
      <c r="M532" s="147">
        <v>5</v>
      </c>
      <c r="N532" s="147">
        <v>2</v>
      </c>
      <c r="O532" s="147" t="s">
        <v>656</v>
      </c>
      <c r="P532" s="147">
        <v>101</v>
      </c>
      <c r="Q532" s="156">
        <v>406</v>
      </c>
      <c r="R532" s="157">
        <v>0</v>
      </c>
      <c r="S532" s="158" t="s">
        <v>412</v>
      </c>
      <c r="T532" s="155" t="s">
        <v>395</v>
      </c>
      <c r="U532" s="163"/>
      <c r="V532" s="147"/>
    </row>
    <row r="533" spans="1:22">
      <c r="A533" s="166">
        <v>66</v>
      </c>
      <c r="B533" s="167">
        <v>2</v>
      </c>
      <c r="C533" s="167">
        <v>101</v>
      </c>
      <c r="D533" s="166">
        <v>203</v>
      </c>
      <c r="E533" s="166">
        <v>20</v>
      </c>
      <c r="F533" s="167">
        <v>2</v>
      </c>
      <c r="G533" s="168">
        <f t="shared" si="47"/>
        <v>5902</v>
      </c>
      <c r="H533" s="166">
        <f t="shared" si="48"/>
        <v>2</v>
      </c>
      <c r="I533" s="166">
        <f t="shared" si="49"/>
        <v>5075</v>
      </c>
      <c r="J533" s="147">
        <v>25</v>
      </c>
      <c r="K533" s="147">
        <v>2</v>
      </c>
      <c r="L533" s="147" t="s">
        <v>656</v>
      </c>
      <c r="M533" s="147">
        <v>5</v>
      </c>
      <c r="N533" s="147">
        <v>2</v>
      </c>
      <c r="O533" s="147" t="s">
        <v>656</v>
      </c>
      <c r="P533" s="147">
        <v>101</v>
      </c>
      <c r="Q533" s="156">
        <v>424</v>
      </c>
      <c r="R533" s="157">
        <v>0</v>
      </c>
      <c r="S533" s="158" t="s">
        <v>412</v>
      </c>
      <c r="T533" s="155" t="s">
        <v>395</v>
      </c>
      <c r="U533" s="163"/>
      <c r="V533" s="147"/>
    </row>
    <row r="534" spans="1:22">
      <c r="A534" s="166">
        <v>66</v>
      </c>
      <c r="B534" s="167">
        <v>3</v>
      </c>
      <c r="C534" s="167">
        <v>101</v>
      </c>
      <c r="D534" s="166">
        <v>305</v>
      </c>
      <c r="E534" s="166">
        <v>30</v>
      </c>
      <c r="F534" s="167">
        <v>2</v>
      </c>
      <c r="G534" s="168">
        <f t="shared" si="47"/>
        <v>5902</v>
      </c>
      <c r="H534" s="166">
        <f t="shared" si="48"/>
        <v>3</v>
      </c>
      <c r="I534" s="166">
        <f t="shared" si="49"/>
        <v>7625</v>
      </c>
      <c r="J534" s="147">
        <v>25</v>
      </c>
      <c r="K534" s="147">
        <v>2</v>
      </c>
      <c r="L534" s="147" t="s">
        <v>656</v>
      </c>
      <c r="M534" s="147">
        <v>5</v>
      </c>
      <c r="N534" s="147">
        <v>2</v>
      </c>
      <c r="O534" s="147" t="s">
        <v>656</v>
      </c>
      <c r="P534" s="147">
        <v>101</v>
      </c>
      <c r="Q534" s="156">
        <v>455</v>
      </c>
      <c r="R534" s="157">
        <v>0</v>
      </c>
      <c r="S534" s="158" t="s">
        <v>412</v>
      </c>
      <c r="T534" s="155" t="s">
        <v>395</v>
      </c>
      <c r="U534" s="163"/>
      <c r="V534" s="147"/>
    </row>
    <row r="535" spans="1:22">
      <c r="A535" s="166">
        <v>66</v>
      </c>
      <c r="B535" s="167">
        <v>4</v>
      </c>
      <c r="C535" s="167">
        <v>101</v>
      </c>
      <c r="D535" s="166">
        <v>406</v>
      </c>
      <c r="E535" s="166">
        <v>40</v>
      </c>
      <c r="F535" s="167">
        <v>3</v>
      </c>
      <c r="G535" s="168">
        <f t="shared" si="47"/>
        <v>5902</v>
      </c>
      <c r="H535" s="166">
        <f t="shared" si="48"/>
        <v>4</v>
      </c>
      <c r="I535" s="166">
        <f t="shared" si="49"/>
        <v>10150</v>
      </c>
      <c r="J535" s="147">
        <v>25</v>
      </c>
      <c r="K535" s="147">
        <v>2</v>
      </c>
      <c r="L535" s="147" t="s">
        <v>656</v>
      </c>
      <c r="M535" s="147">
        <v>5</v>
      </c>
      <c r="N535" s="147">
        <v>2</v>
      </c>
      <c r="O535" s="147" t="s">
        <v>656</v>
      </c>
      <c r="P535" s="147">
        <v>101</v>
      </c>
      <c r="Q535" s="156">
        <v>498</v>
      </c>
      <c r="R535" s="157">
        <v>0</v>
      </c>
      <c r="S535" s="158" t="s">
        <v>412</v>
      </c>
      <c r="T535" s="155" t="s">
        <v>395</v>
      </c>
      <c r="U535" s="163"/>
      <c r="V535" s="147"/>
    </row>
    <row r="536" spans="1:22">
      <c r="A536" s="166">
        <v>66</v>
      </c>
      <c r="B536" s="167">
        <v>5</v>
      </c>
      <c r="C536" s="167">
        <v>101</v>
      </c>
      <c r="D536" s="166">
        <v>508</v>
      </c>
      <c r="E536" s="166">
        <v>50</v>
      </c>
      <c r="F536" s="167">
        <v>3</v>
      </c>
      <c r="G536" s="168">
        <f t="shared" si="47"/>
        <v>5902</v>
      </c>
      <c r="H536" s="166">
        <f t="shared" si="48"/>
        <v>6</v>
      </c>
      <c r="I536" s="166">
        <f t="shared" si="49"/>
        <v>12700</v>
      </c>
      <c r="J536" s="147">
        <v>25</v>
      </c>
      <c r="K536" s="147">
        <v>2</v>
      </c>
      <c r="L536" s="147" t="s">
        <v>656</v>
      </c>
      <c r="M536" s="147">
        <v>5</v>
      </c>
      <c r="N536" s="147">
        <v>2</v>
      </c>
      <c r="O536" s="147" t="s">
        <v>656</v>
      </c>
      <c r="P536" s="147">
        <v>101</v>
      </c>
      <c r="Q536" s="156">
        <v>553</v>
      </c>
      <c r="R536" s="157">
        <v>0</v>
      </c>
      <c r="S536" s="158" t="s">
        <v>412</v>
      </c>
      <c r="T536" s="155" t="s">
        <v>395</v>
      </c>
      <c r="U536" s="163"/>
      <c r="V536" s="147"/>
    </row>
    <row r="537" spans="1:22">
      <c r="A537" s="166">
        <v>66</v>
      </c>
      <c r="B537" s="167">
        <v>6</v>
      </c>
      <c r="C537" s="167">
        <v>101</v>
      </c>
      <c r="D537" s="166">
        <v>609</v>
      </c>
      <c r="E537" s="166">
        <v>60</v>
      </c>
      <c r="F537" s="167">
        <v>4</v>
      </c>
      <c r="G537" s="168">
        <f t="shared" si="47"/>
        <v>5902</v>
      </c>
      <c r="H537" s="166">
        <f t="shared" si="48"/>
        <v>8</v>
      </c>
      <c r="I537" s="166">
        <f t="shared" si="49"/>
        <v>15225</v>
      </c>
      <c r="J537" s="147">
        <v>25</v>
      </c>
      <c r="K537" s="147">
        <v>2</v>
      </c>
      <c r="L537" s="147" t="s">
        <v>656</v>
      </c>
      <c r="M537" s="147">
        <v>5</v>
      </c>
      <c r="N537" s="147">
        <v>2</v>
      </c>
      <c r="O537" s="147" t="s">
        <v>656</v>
      </c>
      <c r="P537" s="147">
        <v>101</v>
      </c>
      <c r="Q537" s="156">
        <v>621</v>
      </c>
      <c r="R537" s="157">
        <v>0</v>
      </c>
      <c r="S537" s="158" t="s">
        <v>412</v>
      </c>
      <c r="T537" s="155" t="s">
        <v>395</v>
      </c>
      <c r="U537" s="163"/>
      <c r="V537" s="147"/>
    </row>
    <row r="538" spans="1:22">
      <c r="A538" s="166">
        <v>66</v>
      </c>
      <c r="B538" s="167">
        <v>7</v>
      </c>
      <c r="C538" s="167">
        <v>101</v>
      </c>
      <c r="D538" s="166">
        <v>711</v>
      </c>
      <c r="E538" s="166">
        <v>70</v>
      </c>
      <c r="F538" s="167">
        <v>4</v>
      </c>
      <c r="G538" s="168">
        <f t="shared" si="47"/>
        <v>5902</v>
      </c>
      <c r="H538" s="166">
        <f t="shared" si="48"/>
        <v>10</v>
      </c>
      <c r="I538" s="166">
        <f t="shared" si="49"/>
        <v>17775</v>
      </c>
      <c r="J538" s="147">
        <v>25</v>
      </c>
      <c r="K538" s="147">
        <v>2</v>
      </c>
      <c r="L538" s="147" t="s">
        <v>656</v>
      </c>
      <c r="M538" s="147">
        <v>5</v>
      </c>
      <c r="N538" s="147">
        <v>2</v>
      </c>
      <c r="O538" s="147" t="s">
        <v>656</v>
      </c>
      <c r="P538" s="147">
        <v>101</v>
      </c>
      <c r="Q538" s="156">
        <v>701</v>
      </c>
      <c r="R538" s="157">
        <v>0</v>
      </c>
      <c r="S538" s="158" t="s">
        <v>412</v>
      </c>
      <c r="T538" s="155" t="s">
        <v>395</v>
      </c>
      <c r="U538" s="163"/>
      <c r="V538" s="147"/>
    </row>
    <row r="539" spans="1:22">
      <c r="A539" s="166">
        <v>66</v>
      </c>
      <c r="B539" s="167">
        <v>8</v>
      </c>
      <c r="C539" s="167">
        <v>101</v>
      </c>
      <c r="D539" s="166">
        <v>812</v>
      </c>
      <c r="E539" s="166">
        <v>80</v>
      </c>
      <c r="F539" s="167">
        <v>5</v>
      </c>
      <c r="G539" s="168">
        <f t="shared" si="47"/>
        <v>5902</v>
      </c>
      <c r="H539" s="166">
        <f t="shared" si="48"/>
        <v>12</v>
      </c>
      <c r="I539" s="166">
        <f t="shared" si="49"/>
        <v>20300</v>
      </c>
      <c r="J539" s="147">
        <v>25</v>
      </c>
      <c r="K539" s="147">
        <v>2</v>
      </c>
      <c r="L539" s="147" t="s">
        <v>656</v>
      </c>
      <c r="M539" s="147">
        <v>5</v>
      </c>
      <c r="N539" s="147">
        <v>2</v>
      </c>
      <c r="O539" s="147" t="s">
        <v>656</v>
      </c>
      <c r="P539" s="147">
        <v>101</v>
      </c>
      <c r="Q539" s="156">
        <v>793</v>
      </c>
      <c r="R539" s="157">
        <v>0</v>
      </c>
      <c r="S539" s="158" t="s">
        <v>412</v>
      </c>
      <c r="T539" s="155" t="s">
        <v>395</v>
      </c>
      <c r="U539" s="163"/>
      <c r="V539" s="147"/>
    </row>
    <row r="540" spans="1:22">
      <c r="A540" s="166">
        <v>66</v>
      </c>
      <c r="B540" s="167">
        <v>9</v>
      </c>
      <c r="C540" s="167">
        <v>101</v>
      </c>
      <c r="D540" s="166">
        <v>914</v>
      </c>
      <c r="E540" s="166">
        <v>90</v>
      </c>
      <c r="F540" s="167">
        <v>5</v>
      </c>
      <c r="G540" s="168">
        <f t="shared" si="47"/>
        <v>5902</v>
      </c>
      <c r="H540" s="166">
        <f t="shared" si="48"/>
        <v>15</v>
      </c>
      <c r="I540" s="166">
        <f t="shared" si="49"/>
        <v>22850</v>
      </c>
      <c r="J540" s="147">
        <v>25</v>
      </c>
      <c r="K540" s="147">
        <v>2</v>
      </c>
      <c r="L540" s="147" t="s">
        <v>656</v>
      </c>
      <c r="M540" s="147">
        <v>5</v>
      </c>
      <c r="N540" s="147">
        <v>2</v>
      </c>
      <c r="O540" s="147" t="s">
        <v>656</v>
      </c>
      <c r="P540" s="147">
        <v>101</v>
      </c>
      <c r="Q540" s="156">
        <v>898</v>
      </c>
      <c r="R540" s="157">
        <v>0</v>
      </c>
      <c r="S540" s="158" t="s">
        <v>412</v>
      </c>
      <c r="T540" s="155" t="s">
        <v>395</v>
      </c>
      <c r="U540" s="163"/>
      <c r="V540" s="147"/>
    </row>
    <row r="541" spans="1:22">
      <c r="A541" s="166">
        <v>66</v>
      </c>
      <c r="B541" s="167">
        <v>10</v>
      </c>
      <c r="C541" s="167">
        <v>101</v>
      </c>
      <c r="D541" s="166">
        <v>1015</v>
      </c>
      <c r="E541" s="166">
        <v>90</v>
      </c>
      <c r="F541" s="167">
        <v>6</v>
      </c>
      <c r="G541" s="168">
        <f t="shared" si="47"/>
        <v>5902</v>
      </c>
      <c r="H541" s="166">
        <f t="shared" si="48"/>
        <v>18</v>
      </c>
      <c r="I541" s="166">
        <f t="shared" si="49"/>
        <v>25375</v>
      </c>
      <c r="J541" s="147">
        <v>25</v>
      </c>
      <c r="K541" s="147">
        <v>2</v>
      </c>
      <c r="L541" s="147" t="s">
        <v>656</v>
      </c>
      <c r="M541" s="147">
        <v>5</v>
      </c>
      <c r="N541" s="147">
        <v>2</v>
      </c>
      <c r="O541" s="147" t="s">
        <v>656</v>
      </c>
      <c r="P541" s="147">
        <v>101</v>
      </c>
      <c r="Q541" s="156">
        <v>1015</v>
      </c>
      <c r="R541" s="157">
        <v>0</v>
      </c>
      <c r="S541" s="158" t="s">
        <v>412</v>
      </c>
      <c r="T541" s="155" t="s">
        <v>395</v>
      </c>
      <c r="U541" s="163"/>
      <c r="V541" s="147"/>
    </row>
    <row r="542" spans="1:22">
      <c r="A542" s="159">
        <v>67</v>
      </c>
      <c r="B542" s="160">
        <v>1</v>
      </c>
      <c r="C542" s="160">
        <v>101</v>
      </c>
      <c r="D542" s="159">
        <v>102</v>
      </c>
      <c r="E542" s="159">
        <v>10</v>
      </c>
      <c r="F542" s="160">
        <v>1</v>
      </c>
      <c r="G542" s="161">
        <f t="shared" si="47"/>
        <v>5902</v>
      </c>
      <c r="H542" s="159">
        <f t="shared" si="48"/>
        <v>1</v>
      </c>
      <c r="I542" s="159">
        <f t="shared" si="49"/>
        <v>2550</v>
      </c>
      <c r="J542" s="147">
        <v>25</v>
      </c>
      <c r="K542" s="147">
        <v>2</v>
      </c>
      <c r="L542" s="147" t="s">
        <v>656</v>
      </c>
      <c r="M542" s="147">
        <v>9</v>
      </c>
      <c r="N542" s="147">
        <v>2</v>
      </c>
      <c r="O542" s="147" t="s">
        <v>656</v>
      </c>
      <c r="P542" s="147">
        <v>101</v>
      </c>
      <c r="Q542" s="156">
        <v>406</v>
      </c>
      <c r="R542" s="157">
        <v>0</v>
      </c>
      <c r="S542" s="158" t="s">
        <v>412</v>
      </c>
      <c r="T542" s="155" t="s">
        <v>397</v>
      </c>
      <c r="U542" s="163"/>
      <c r="V542" s="147"/>
    </row>
    <row r="543" spans="1:22">
      <c r="A543" s="159">
        <v>67</v>
      </c>
      <c r="B543" s="160">
        <v>2</v>
      </c>
      <c r="C543" s="160">
        <v>101</v>
      </c>
      <c r="D543" s="159">
        <v>203</v>
      </c>
      <c r="E543" s="159">
        <v>20</v>
      </c>
      <c r="F543" s="160">
        <v>2</v>
      </c>
      <c r="G543" s="161">
        <f t="shared" si="47"/>
        <v>5902</v>
      </c>
      <c r="H543" s="159">
        <f t="shared" si="48"/>
        <v>2</v>
      </c>
      <c r="I543" s="159">
        <f t="shared" si="49"/>
        <v>5075</v>
      </c>
      <c r="J543" s="147">
        <v>25</v>
      </c>
      <c r="K543" s="147">
        <v>2</v>
      </c>
      <c r="L543" s="147" t="s">
        <v>656</v>
      </c>
      <c r="M543" s="147">
        <v>9</v>
      </c>
      <c r="N543" s="147">
        <v>2</v>
      </c>
      <c r="O543" s="147" t="s">
        <v>656</v>
      </c>
      <c r="P543" s="147">
        <v>101</v>
      </c>
      <c r="Q543" s="156">
        <v>424</v>
      </c>
      <c r="R543" s="157">
        <v>0</v>
      </c>
      <c r="S543" s="158" t="s">
        <v>412</v>
      </c>
      <c r="T543" s="155" t="s">
        <v>397</v>
      </c>
      <c r="U543" s="163"/>
      <c r="V543" s="147"/>
    </row>
    <row r="544" spans="1:22">
      <c r="A544" s="159">
        <v>67</v>
      </c>
      <c r="B544" s="160">
        <v>3</v>
      </c>
      <c r="C544" s="160">
        <v>101</v>
      </c>
      <c r="D544" s="159">
        <v>305</v>
      </c>
      <c r="E544" s="159">
        <v>30</v>
      </c>
      <c r="F544" s="160">
        <v>2</v>
      </c>
      <c r="G544" s="161">
        <f t="shared" si="47"/>
        <v>5902</v>
      </c>
      <c r="H544" s="159">
        <f t="shared" si="48"/>
        <v>3</v>
      </c>
      <c r="I544" s="159">
        <f t="shared" si="49"/>
        <v>7625</v>
      </c>
      <c r="J544" s="147">
        <v>25</v>
      </c>
      <c r="K544" s="147">
        <v>2</v>
      </c>
      <c r="L544" s="147" t="s">
        <v>656</v>
      </c>
      <c r="M544" s="147">
        <v>9</v>
      </c>
      <c r="N544" s="147">
        <v>2</v>
      </c>
      <c r="O544" s="147" t="s">
        <v>656</v>
      </c>
      <c r="P544" s="147">
        <v>101</v>
      </c>
      <c r="Q544" s="156">
        <v>455</v>
      </c>
      <c r="R544" s="157">
        <v>0</v>
      </c>
      <c r="S544" s="158" t="s">
        <v>412</v>
      </c>
      <c r="T544" s="155" t="s">
        <v>397</v>
      </c>
      <c r="U544" s="163"/>
      <c r="V544" s="147"/>
    </row>
    <row r="545" spans="1:22">
      <c r="A545" s="159">
        <v>67</v>
      </c>
      <c r="B545" s="160">
        <v>4</v>
      </c>
      <c r="C545" s="160">
        <v>101</v>
      </c>
      <c r="D545" s="159">
        <v>406</v>
      </c>
      <c r="E545" s="159">
        <v>40</v>
      </c>
      <c r="F545" s="160">
        <v>3</v>
      </c>
      <c r="G545" s="161">
        <f t="shared" si="47"/>
        <v>5902</v>
      </c>
      <c r="H545" s="159">
        <f t="shared" si="48"/>
        <v>4</v>
      </c>
      <c r="I545" s="159">
        <f t="shared" si="49"/>
        <v>10150</v>
      </c>
      <c r="J545" s="147">
        <v>25</v>
      </c>
      <c r="K545" s="147">
        <v>2</v>
      </c>
      <c r="L545" s="147" t="s">
        <v>656</v>
      </c>
      <c r="M545" s="147">
        <v>9</v>
      </c>
      <c r="N545" s="147">
        <v>2</v>
      </c>
      <c r="O545" s="147" t="s">
        <v>656</v>
      </c>
      <c r="P545" s="147">
        <v>101</v>
      </c>
      <c r="Q545" s="156">
        <v>498</v>
      </c>
      <c r="R545" s="157">
        <v>0</v>
      </c>
      <c r="S545" s="158" t="s">
        <v>412</v>
      </c>
      <c r="T545" s="155" t="s">
        <v>397</v>
      </c>
      <c r="U545" s="163"/>
      <c r="V545" s="147"/>
    </row>
    <row r="546" spans="1:22">
      <c r="A546" s="159">
        <v>67</v>
      </c>
      <c r="B546" s="160">
        <v>5</v>
      </c>
      <c r="C546" s="160">
        <v>101</v>
      </c>
      <c r="D546" s="159">
        <v>508</v>
      </c>
      <c r="E546" s="159">
        <v>50</v>
      </c>
      <c r="F546" s="160">
        <v>3</v>
      </c>
      <c r="G546" s="161">
        <f t="shared" si="47"/>
        <v>5902</v>
      </c>
      <c r="H546" s="159">
        <f t="shared" si="48"/>
        <v>6</v>
      </c>
      <c r="I546" s="159">
        <f t="shared" si="49"/>
        <v>12700</v>
      </c>
      <c r="J546" s="147">
        <v>25</v>
      </c>
      <c r="K546" s="147">
        <v>2</v>
      </c>
      <c r="L546" s="147" t="s">
        <v>656</v>
      </c>
      <c r="M546" s="147">
        <v>9</v>
      </c>
      <c r="N546" s="147">
        <v>2</v>
      </c>
      <c r="O546" s="147" t="s">
        <v>656</v>
      </c>
      <c r="P546" s="147">
        <v>101</v>
      </c>
      <c r="Q546" s="156">
        <v>553</v>
      </c>
      <c r="R546" s="157">
        <v>0</v>
      </c>
      <c r="S546" s="158" t="s">
        <v>412</v>
      </c>
      <c r="T546" s="155" t="s">
        <v>397</v>
      </c>
      <c r="U546" s="163"/>
      <c r="V546" s="147"/>
    </row>
    <row r="547" spans="1:22">
      <c r="A547" s="159">
        <v>67</v>
      </c>
      <c r="B547" s="160">
        <v>6</v>
      </c>
      <c r="C547" s="160">
        <v>101</v>
      </c>
      <c r="D547" s="159">
        <v>609</v>
      </c>
      <c r="E547" s="159">
        <v>60</v>
      </c>
      <c r="F547" s="160">
        <v>4</v>
      </c>
      <c r="G547" s="161">
        <f t="shared" si="47"/>
        <v>5902</v>
      </c>
      <c r="H547" s="159">
        <f t="shared" si="48"/>
        <v>8</v>
      </c>
      <c r="I547" s="159">
        <f t="shared" si="49"/>
        <v>15225</v>
      </c>
      <c r="J547" s="147">
        <v>25</v>
      </c>
      <c r="K547" s="147">
        <v>2</v>
      </c>
      <c r="L547" s="147" t="s">
        <v>656</v>
      </c>
      <c r="M547" s="147">
        <v>9</v>
      </c>
      <c r="N547" s="147">
        <v>2</v>
      </c>
      <c r="O547" s="147" t="s">
        <v>656</v>
      </c>
      <c r="P547" s="147">
        <v>101</v>
      </c>
      <c r="Q547" s="156">
        <v>621</v>
      </c>
      <c r="R547" s="157">
        <v>0</v>
      </c>
      <c r="S547" s="158" t="s">
        <v>412</v>
      </c>
      <c r="T547" s="155" t="s">
        <v>397</v>
      </c>
      <c r="U547" s="163"/>
      <c r="V547" s="147"/>
    </row>
    <row r="548" spans="1:22">
      <c r="A548" s="159">
        <v>67</v>
      </c>
      <c r="B548" s="160">
        <v>7</v>
      </c>
      <c r="C548" s="160">
        <v>101</v>
      </c>
      <c r="D548" s="159">
        <v>711</v>
      </c>
      <c r="E548" s="159">
        <v>70</v>
      </c>
      <c r="F548" s="160">
        <v>4</v>
      </c>
      <c r="G548" s="161">
        <f t="shared" si="47"/>
        <v>5902</v>
      </c>
      <c r="H548" s="159">
        <f t="shared" si="48"/>
        <v>10</v>
      </c>
      <c r="I548" s="159">
        <f t="shared" si="49"/>
        <v>17775</v>
      </c>
      <c r="J548" s="147">
        <v>25</v>
      </c>
      <c r="K548" s="147">
        <v>2</v>
      </c>
      <c r="L548" s="147" t="s">
        <v>656</v>
      </c>
      <c r="M548" s="147">
        <v>9</v>
      </c>
      <c r="N548" s="147">
        <v>2</v>
      </c>
      <c r="O548" s="147" t="s">
        <v>656</v>
      </c>
      <c r="P548" s="147">
        <v>101</v>
      </c>
      <c r="Q548" s="156">
        <v>701</v>
      </c>
      <c r="R548" s="157">
        <v>0</v>
      </c>
      <c r="S548" s="158" t="s">
        <v>412</v>
      </c>
      <c r="T548" s="155" t="s">
        <v>397</v>
      </c>
      <c r="U548" s="163"/>
      <c r="V548" s="147"/>
    </row>
    <row r="549" spans="1:22">
      <c r="A549" s="159">
        <v>67</v>
      </c>
      <c r="B549" s="160">
        <v>8</v>
      </c>
      <c r="C549" s="160">
        <v>101</v>
      </c>
      <c r="D549" s="159">
        <v>812</v>
      </c>
      <c r="E549" s="159">
        <v>80</v>
      </c>
      <c r="F549" s="160">
        <v>5</v>
      </c>
      <c r="G549" s="161">
        <f t="shared" si="47"/>
        <v>5902</v>
      </c>
      <c r="H549" s="159">
        <f t="shared" si="48"/>
        <v>12</v>
      </c>
      <c r="I549" s="159">
        <f t="shared" si="49"/>
        <v>20300</v>
      </c>
      <c r="J549" s="147">
        <v>25</v>
      </c>
      <c r="K549" s="147">
        <v>2</v>
      </c>
      <c r="L549" s="147" t="s">
        <v>656</v>
      </c>
      <c r="M549" s="147">
        <v>9</v>
      </c>
      <c r="N549" s="147">
        <v>2</v>
      </c>
      <c r="O549" s="147" t="s">
        <v>656</v>
      </c>
      <c r="P549" s="147">
        <v>101</v>
      </c>
      <c r="Q549" s="156">
        <v>793</v>
      </c>
      <c r="R549" s="157">
        <v>0</v>
      </c>
      <c r="S549" s="158" t="s">
        <v>412</v>
      </c>
      <c r="T549" s="155" t="s">
        <v>397</v>
      </c>
      <c r="U549" s="163"/>
      <c r="V549" s="147"/>
    </row>
    <row r="550" spans="1:22">
      <c r="A550" s="159">
        <v>67</v>
      </c>
      <c r="B550" s="160">
        <v>9</v>
      </c>
      <c r="C550" s="160">
        <v>101</v>
      </c>
      <c r="D550" s="159">
        <v>914</v>
      </c>
      <c r="E550" s="159">
        <v>90</v>
      </c>
      <c r="F550" s="160">
        <v>5</v>
      </c>
      <c r="G550" s="161">
        <f t="shared" si="47"/>
        <v>5902</v>
      </c>
      <c r="H550" s="159">
        <f t="shared" si="48"/>
        <v>15</v>
      </c>
      <c r="I550" s="159">
        <f t="shared" si="49"/>
        <v>22850</v>
      </c>
      <c r="J550" s="147">
        <v>25</v>
      </c>
      <c r="K550" s="147">
        <v>2</v>
      </c>
      <c r="L550" s="147" t="s">
        <v>656</v>
      </c>
      <c r="M550" s="147">
        <v>9</v>
      </c>
      <c r="N550" s="147">
        <v>2</v>
      </c>
      <c r="O550" s="147" t="s">
        <v>656</v>
      </c>
      <c r="P550" s="147">
        <v>101</v>
      </c>
      <c r="Q550" s="156">
        <v>898</v>
      </c>
      <c r="R550" s="157">
        <v>0</v>
      </c>
      <c r="S550" s="158" t="s">
        <v>412</v>
      </c>
      <c r="T550" s="155" t="s">
        <v>397</v>
      </c>
      <c r="U550" s="163"/>
      <c r="V550" s="147"/>
    </row>
    <row r="551" spans="1:22">
      <c r="A551" s="159">
        <v>67</v>
      </c>
      <c r="B551" s="160">
        <v>10</v>
      </c>
      <c r="C551" s="160">
        <v>101</v>
      </c>
      <c r="D551" s="159">
        <v>1015</v>
      </c>
      <c r="E551" s="159">
        <v>90</v>
      </c>
      <c r="F551" s="160">
        <v>6</v>
      </c>
      <c r="G551" s="161">
        <f t="shared" si="47"/>
        <v>5902</v>
      </c>
      <c r="H551" s="159">
        <f t="shared" si="48"/>
        <v>18</v>
      </c>
      <c r="I551" s="159">
        <f t="shared" si="49"/>
        <v>25375</v>
      </c>
      <c r="J551" s="147">
        <v>25</v>
      </c>
      <c r="K551" s="147">
        <v>2</v>
      </c>
      <c r="L551" s="147" t="s">
        <v>656</v>
      </c>
      <c r="M551" s="147">
        <v>9</v>
      </c>
      <c r="N551" s="147">
        <v>2</v>
      </c>
      <c r="O551" s="147" t="s">
        <v>656</v>
      </c>
      <c r="P551" s="147">
        <v>101</v>
      </c>
      <c r="Q551" s="156">
        <v>1015</v>
      </c>
      <c r="R551" s="157">
        <v>0</v>
      </c>
      <c r="S551" s="158" t="s">
        <v>412</v>
      </c>
      <c r="T551" s="155" t="s">
        <v>397</v>
      </c>
      <c r="U551" s="163"/>
      <c r="V551" s="147"/>
    </row>
    <row r="552" spans="1:22">
      <c r="A552" s="166">
        <v>68</v>
      </c>
      <c r="B552" s="167">
        <v>1</v>
      </c>
      <c r="C552" s="167">
        <v>102</v>
      </c>
      <c r="D552" s="166">
        <v>102</v>
      </c>
      <c r="E552" s="166">
        <v>10</v>
      </c>
      <c r="F552" s="167">
        <v>1</v>
      </c>
      <c r="G552" s="168">
        <f t="shared" si="47"/>
        <v>5902</v>
      </c>
      <c r="H552" s="166">
        <f t="shared" si="48"/>
        <v>1</v>
      </c>
      <c r="I552" s="166">
        <f t="shared" si="49"/>
        <v>2550</v>
      </c>
      <c r="J552" s="147">
        <v>26</v>
      </c>
      <c r="K552" s="147">
        <v>1</v>
      </c>
      <c r="L552" s="147" t="s">
        <v>655</v>
      </c>
      <c r="M552" s="147">
        <v>1</v>
      </c>
      <c r="N552" s="147">
        <v>1</v>
      </c>
      <c r="O552" s="147" t="s">
        <v>655</v>
      </c>
      <c r="P552" s="147">
        <v>102</v>
      </c>
      <c r="Q552" s="156">
        <v>405</v>
      </c>
      <c r="R552" s="157">
        <v>0</v>
      </c>
      <c r="S552" s="158" t="s">
        <v>413</v>
      </c>
      <c r="T552" s="155" t="s">
        <v>391</v>
      </c>
      <c r="U552" s="163"/>
      <c r="V552" s="147"/>
    </row>
    <row r="553" spans="1:22">
      <c r="A553" s="166">
        <v>68</v>
      </c>
      <c r="B553" s="167">
        <v>2</v>
      </c>
      <c r="C553" s="167">
        <v>102</v>
      </c>
      <c r="D553" s="166">
        <v>203</v>
      </c>
      <c r="E553" s="166">
        <v>20</v>
      </c>
      <c r="F553" s="167">
        <v>2</v>
      </c>
      <c r="G553" s="168">
        <f t="shared" si="47"/>
        <v>5902</v>
      </c>
      <c r="H553" s="166">
        <f t="shared" si="48"/>
        <v>2</v>
      </c>
      <c r="I553" s="166">
        <f t="shared" si="49"/>
        <v>5075</v>
      </c>
      <c r="J553" s="147">
        <v>26</v>
      </c>
      <c r="K553" s="147">
        <v>1</v>
      </c>
      <c r="L553" s="147" t="s">
        <v>655</v>
      </c>
      <c r="M553" s="147">
        <v>1</v>
      </c>
      <c r="N553" s="147">
        <v>1</v>
      </c>
      <c r="O553" s="147" t="s">
        <v>655</v>
      </c>
      <c r="P553" s="147">
        <v>102</v>
      </c>
      <c r="Q553" s="156">
        <v>423</v>
      </c>
      <c r="R553" s="157">
        <v>0</v>
      </c>
      <c r="S553" s="158" t="s">
        <v>413</v>
      </c>
      <c r="T553" s="155" t="s">
        <v>391</v>
      </c>
      <c r="U553" s="163"/>
      <c r="V553" s="147"/>
    </row>
    <row r="554" spans="1:22">
      <c r="A554" s="166">
        <v>68</v>
      </c>
      <c r="B554" s="167">
        <v>3</v>
      </c>
      <c r="C554" s="167">
        <v>102</v>
      </c>
      <c r="D554" s="166">
        <v>304</v>
      </c>
      <c r="E554" s="166">
        <v>30</v>
      </c>
      <c r="F554" s="167">
        <v>2</v>
      </c>
      <c r="G554" s="168">
        <f t="shared" si="47"/>
        <v>5902</v>
      </c>
      <c r="H554" s="166">
        <f t="shared" si="48"/>
        <v>3</v>
      </c>
      <c r="I554" s="166">
        <f t="shared" si="49"/>
        <v>7600</v>
      </c>
      <c r="J554" s="147">
        <v>26</v>
      </c>
      <c r="K554" s="147">
        <v>1</v>
      </c>
      <c r="L554" s="147" t="s">
        <v>655</v>
      </c>
      <c r="M554" s="147">
        <v>1</v>
      </c>
      <c r="N554" s="147">
        <v>1</v>
      </c>
      <c r="O554" s="147" t="s">
        <v>655</v>
      </c>
      <c r="P554" s="147">
        <v>102</v>
      </c>
      <c r="Q554" s="156">
        <v>454</v>
      </c>
      <c r="R554" s="157">
        <v>0</v>
      </c>
      <c r="S554" s="158" t="s">
        <v>413</v>
      </c>
      <c r="T554" s="155" t="s">
        <v>391</v>
      </c>
      <c r="U554" s="163"/>
      <c r="V554" s="147"/>
    </row>
    <row r="555" spans="1:22">
      <c r="A555" s="166">
        <v>68</v>
      </c>
      <c r="B555" s="167">
        <v>4</v>
      </c>
      <c r="C555" s="167">
        <v>102</v>
      </c>
      <c r="D555" s="166">
        <v>405</v>
      </c>
      <c r="E555" s="166">
        <v>40</v>
      </c>
      <c r="F555" s="167">
        <v>3</v>
      </c>
      <c r="G555" s="168">
        <f t="shared" si="47"/>
        <v>5902</v>
      </c>
      <c r="H555" s="166">
        <f t="shared" si="48"/>
        <v>4</v>
      </c>
      <c r="I555" s="166">
        <f t="shared" si="49"/>
        <v>10125</v>
      </c>
      <c r="J555" s="147">
        <v>26</v>
      </c>
      <c r="K555" s="147">
        <v>1</v>
      </c>
      <c r="L555" s="147" t="s">
        <v>655</v>
      </c>
      <c r="M555" s="147">
        <v>1</v>
      </c>
      <c r="N555" s="147">
        <v>1</v>
      </c>
      <c r="O555" s="147" t="s">
        <v>655</v>
      </c>
      <c r="P555" s="147">
        <v>102</v>
      </c>
      <c r="Q555" s="156">
        <v>497</v>
      </c>
      <c r="R555" s="157">
        <v>0</v>
      </c>
      <c r="S555" s="158" t="s">
        <v>413</v>
      </c>
      <c r="T555" s="155" t="s">
        <v>391</v>
      </c>
      <c r="U555" s="163"/>
      <c r="V555" s="147"/>
    </row>
    <row r="556" spans="1:22">
      <c r="A556" s="166">
        <v>68</v>
      </c>
      <c r="B556" s="167">
        <v>5</v>
      </c>
      <c r="C556" s="167">
        <v>102</v>
      </c>
      <c r="D556" s="166">
        <v>506</v>
      </c>
      <c r="E556" s="166">
        <v>50</v>
      </c>
      <c r="F556" s="167">
        <v>3</v>
      </c>
      <c r="G556" s="168">
        <f t="shared" si="47"/>
        <v>5902</v>
      </c>
      <c r="H556" s="166">
        <f t="shared" si="48"/>
        <v>6</v>
      </c>
      <c r="I556" s="166">
        <f t="shared" si="49"/>
        <v>12650</v>
      </c>
      <c r="J556" s="147">
        <v>26</v>
      </c>
      <c r="K556" s="147">
        <v>1</v>
      </c>
      <c r="L556" s="147" t="s">
        <v>655</v>
      </c>
      <c r="M556" s="147">
        <v>1</v>
      </c>
      <c r="N556" s="147">
        <v>1</v>
      </c>
      <c r="O556" s="147" t="s">
        <v>655</v>
      </c>
      <c r="P556" s="147">
        <v>102</v>
      </c>
      <c r="Q556" s="156">
        <v>552</v>
      </c>
      <c r="R556" s="157">
        <v>0</v>
      </c>
      <c r="S556" s="158" t="s">
        <v>413</v>
      </c>
      <c r="T556" s="155" t="s">
        <v>391</v>
      </c>
      <c r="U556" s="163"/>
      <c r="V556" s="147"/>
    </row>
    <row r="557" spans="1:22">
      <c r="A557" s="166">
        <v>68</v>
      </c>
      <c r="B557" s="167">
        <v>6</v>
      </c>
      <c r="C557" s="167">
        <v>102</v>
      </c>
      <c r="D557" s="166">
        <v>608</v>
      </c>
      <c r="E557" s="166">
        <v>60</v>
      </c>
      <c r="F557" s="167">
        <v>4</v>
      </c>
      <c r="G557" s="168">
        <f t="shared" si="47"/>
        <v>5902</v>
      </c>
      <c r="H557" s="166">
        <f t="shared" si="48"/>
        <v>8</v>
      </c>
      <c r="I557" s="166">
        <f t="shared" si="49"/>
        <v>15200</v>
      </c>
      <c r="J557" s="147">
        <v>26</v>
      </c>
      <c r="K557" s="147">
        <v>1</v>
      </c>
      <c r="L557" s="147" t="s">
        <v>655</v>
      </c>
      <c r="M557" s="147">
        <v>1</v>
      </c>
      <c r="N557" s="147">
        <v>1</v>
      </c>
      <c r="O557" s="147" t="s">
        <v>655</v>
      </c>
      <c r="P557" s="147">
        <v>102</v>
      </c>
      <c r="Q557" s="156">
        <v>619</v>
      </c>
      <c r="R557" s="157">
        <v>0</v>
      </c>
      <c r="S557" s="158" t="s">
        <v>413</v>
      </c>
      <c r="T557" s="155" t="s">
        <v>391</v>
      </c>
      <c r="U557" s="163"/>
      <c r="V557" s="147"/>
    </row>
    <row r="558" spans="1:22">
      <c r="A558" s="166">
        <v>68</v>
      </c>
      <c r="B558" s="167">
        <v>7</v>
      </c>
      <c r="C558" s="167">
        <v>102</v>
      </c>
      <c r="D558" s="166">
        <v>709</v>
      </c>
      <c r="E558" s="166">
        <v>70</v>
      </c>
      <c r="F558" s="167">
        <v>4</v>
      </c>
      <c r="G558" s="168">
        <f t="shared" si="47"/>
        <v>5902</v>
      </c>
      <c r="H558" s="166">
        <f t="shared" si="48"/>
        <v>10</v>
      </c>
      <c r="I558" s="166">
        <f t="shared" si="49"/>
        <v>17725</v>
      </c>
      <c r="J558" s="147">
        <v>26</v>
      </c>
      <c r="K558" s="147">
        <v>1</v>
      </c>
      <c r="L558" s="147" t="s">
        <v>655</v>
      </c>
      <c r="M558" s="147">
        <v>1</v>
      </c>
      <c r="N558" s="147">
        <v>1</v>
      </c>
      <c r="O558" s="147" t="s">
        <v>655</v>
      </c>
      <c r="P558" s="147">
        <v>102</v>
      </c>
      <c r="Q558" s="156">
        <v>699</v>
      </c>
      <c r="R558" s="157">
        <v>0</v>
      </c>
      <c r="S558" s="158" t="s">
        <v>413</v>
      </c>
      <c r="T558" s="155" t="s">
        <v>391</v>
      </c>
      <c r="U558" s="163"/>
      <c r="V558" s="147"/>
    </row>
    <row r="559" spans="1:22">
      <c r="A559" s="166">
        <v>68</v>
      </c>
      <c r="B559" s="167">
        <v>8</v>
      </c>
      <c r="C559" s="167">
        <v>102</v>
      </c>
      <c r="D559" s="166">
        <v>810</v>
      </c>
      <c r="E559" s="166">
        <v>80</v>
      </c>
      <c r="F559" s="167">
        <v>5</v>
      </c>
      <c r="G559" s="168">
        <f t="shared" si="47"/>
        <v>5902</v>
      </c>
      <c r="H559" s="166">
        <f t="shared" si="48"/>
        <v>12</v>
      </c>
      <c r="I559" s="166">
        <f t="shared" si="49"/>
        <v>20250</v>
      </c>
      <c r="J559" s="147">
        <v>26</v>
      </c>
      <c r="K559" s="147">
        <v>1</v>
      </c>
      <c r="L559" s="147" t="s">
        <v>655</v>
      </c>
      <c r="M559" s="147">
        <v>1</v>
      </c>
      <c r="N559" s="147">
        <v>1</v>
      </c>
      <c r="O559" s="147" t="s">
        <v>655</v>
      </c>
      <c r="P559" s="147">
        <v>102</v>
      </c>
      <c r="Q559" s="156">
        <v>791</v>
      </c>
      <c r="R559" s="157">
        <v>0</v>
      </c>
      <c r="S559" s="158" t="s">
        <v>413</v>
      </c>
      <c r="T559" s="155" t="s">
        <v>391</v>
      </c>
      <c r="U559" s="163"/>
      <c r="V559" s="147"/>
    </row>
    <row r="560" spans="1:22">
      <c r="A560" s="166">
        <v>68</v>
      </c>
      <c r="B560" s="167">
        <v>9</v>
      </c>
      <c r="C560" s="167">
        <v>102</v>
      </c>
      <c r="D560" s="166">
        <v>911</v>
      </c>
      <c r="E560" s="166">
        <v>90</v>
      </c>
      <c r="F560" s="167">
        <v>5</v>
      </c>
      <c r="G560" s="168">
        <f t="shared" si="47"/>
        <v>5902</v>
      </c>
      <c r="H560" s="166">
        <f t="shared" si="48"/>
        <v>15</v>
      </c>
      <c r="I560" s="166">
        <f t="shared" si="49"/>
        <v>22775</v>
      </c>
      <c r="J560" s="147">
        <v>26</v>
      </c>
      <c r="K560" s="147">
        <v>1</v>
      </c>
      <c r="L560" s="147" t="s">
        <v>655</v>
      </c>
      <c r="M560" s="147">
        <v>1</v>
      </c>
      <c r="N560" s="147">
        <v>1</v>
      </c>
      <c r="O560" s="147" t="s">
        <v>655</v>
      </c>
      <c r="P560" s="147">
        <v>102</v>
      </c>
      <c r="Q560" s="156">
        <v>896</v>
      </c>
      <c r="R560" s="157">
        <v>0</v>
      </c>
      <c r="S560" s="158" t="s">
        <v>413</v>
      </c>
      <c r="T560" s="155" t="s">
        <v>391</v>
      </c>
      <c r="U560" s="163"/>
      <c r="V560" s="147"/>
    </row>
    <row r="561" spans="1:22">
      <c r="A561" s="166">
        <v>68</v>
      </c>
      <c r="B561" s="167">
        <v>10</v>
      </c>
      <c r="C561" s="167">
        <v>102</v>
      </c>
      <c r="D561" s="166">
        <v>1012</v>
      </c>
      <c r="E561" s="166">
        <v>90</v>
      </c>
      <c r="F561" s="167">
        <v>6</v>
      </c>
      <c r="G561" s="168">
        <f t="shared" si="47"/>
        <v>5902</v>
      </c>
      <c r="H561" s="166">
        <f t="shared" si="48"/>
        <v>18</v>
      </c>
      <c r="I561" s="166">
        <f t="shared" si="49"/>
        <v>25300</v>
      </c>
      <c r="J561" s="147">
        <v>26</v>
      </c>
      <c r="K561" s="147">
        <v>1</v>
      </c>
      <c r="L561" s="147" t="s">
        <v>655</v>
      </c>
      <c r="M561" s="147">
        <v>1</v>
      </c>
      <c r="N561" s="147">
        <v>1</v>
      </c>
      <c r="O561" s="147" t="s">
        <v>655</v>
      </c>
      <c r="P561" s="147">
        <v>102</v>
      </c>
      <c r="Q561" s="156">
        <v>1012</v>
      </c>
      <c r="R561" s="157">
        <v>0</v>
      </c>
      <c r="S561" s="158" t="s">
        <v>413</v>
      </c>
      <c r="T561" s="155" t="s">
        <v>391</v>
      </c>
      <c r="U561" s="163"/>
      <c r="V561" s="147"/>
    </row>
    <row r="562" spans="1:22">
      <c r="A562" s="159">
        <v>75</v>
      </c>
      <c r="B562" s="160">
        <v>1</v>
      </c>
      <c r="C562" s="160">
        <v>104</v>
      </c>
      <c r="D562" s="159">
        <v>1640</v>
      </c>
      <c r="E562" s="159">
        <v>10</v>
      </c>
      <c r="F562" s="160">
        <v>1</v>
      </c>
      <c r="G562" s="161">
        <f t="shared" si="47"/>
        <v>5902</v>
      </c>
      <c r="H562" s="159">
        <f t="shared" si="48"/>
        <v>1</v>
      </c>
      <c r="I562" s="159">
        <f t="shared" si="49"/>
        <v>1640</v>
      </c>
      <c r="J562" s="147">
        <v>32</v>
      </c>
      <c r="K562" s="147">
        <v>2</v>
      </c>
      <c r="L562" s="147" t="s">
        <v>656</v>
      </c>
      <c r="M562" s="147">
        <v>11</v>
      </c>
      <c r="N562" s="147">
        <v>3</v>
      </c>
      <c r="O562" s="147" t="s">
        <v>657</v>
      </c>
      <c r="P562" s="147">
        <v>104</v>
      </c>
      <c r="Q562" s="156">
        <v>6557</v>
      </c>
      <c r="R562" s="157">
        <v>0</v>
      </c>
      <c r="S562" s="158" t="s">
        <v>658</v>
      </c>
      <c r="T562" s="155" t="s">
        <v>399</v>
      </c>
      <c r="U562" s="163"/>
      <c r="V562" s="147"/>
    </row>
    <row r="563" spans="1:22">
      <c r="A563" s="159">
        <v>75</v>
      </c>
      <c r="B563" s="160">
        <v>2</v>
      </c>
      <c r="C563" s="160">
        <v>104</v>
      </c>
      <c r="D563" s="159">
        <v>3279</v>
      </c>
      <c r="E563" s="159">
        <v>20</v>
      </c>
      <c r="F563" s="160">
        <v>2</v>
      </c>
      <c r="G563" s="161">
        <f t="shared" si="47"/>
        <v>5902</v>
      </c>
      <c r="H563" s="159">
        <f t="shared" si="48"/>
        <v>2</v>
      </c>
      <c r="I563" s="159">
        <f t="shared" si="49"/>
        <v>3279</v>
      </c>
      <c r="J563" s="147">
        <v>32</v>
      </c>
      <c r="K563" s="147">
        <v>2</v>
      </c>
      <c r="L563" s="147" t="s">
        <v>656</v>
      </c>
      <c r="M563" s="147">
        <v>11</v>
      </c>
      <c r="N563" s="147">
        <v>3</v>
      </c>
      <c r="O563" s="147" t="s">
        <v>657</v>
      </c>
      <c r="P563" s="147">
        <v>104</v>
      </c>
      <c r="Q563" s="156">
        <v>6855</v>
      </c>
      <c r="R563" s="157">
        <v>0</v>
      </c>
      <c r="S563" s="158" t="s">
        <v>658</v>
      </c>
      <c r="T563" s="155" t="s">
        <v>399</v>
      </c>
      <c r="U563" s="163"/>
      <c r="V563" s="147"/>
    </row>
    <row r="564" spans="1:22">
      <c r="A564" s="159">
        <v>75</v>
      </c>
      <c r="B564" s="160">
        <v>3</v>
      </c>
      <c r="C564" s="160">
        <v>104</v>
      </c>
      <c r="D564" s="159">
        <v>4919</v>
      </c>
      <c r="E564" s="159">
        <v>30</v>
      </c>
      <c r="F564" s="160">
        <v>2</v>
      </c>
      <c r="G564" s="161">
        <f t="shared" si="47"/>
        <v>5902</v>
      </c>
      <c r="H564" s="159">
        <f t="shared" si="48"/>
        <v>3</v>
      </c>
      <c r="I564" s="159">
        <f t="shared" si="49"/>
        <v>4919</v>
      </c>
      <c r="J564" s="147">
        <v>32</v>
      </c>
      <c r="K564" s="147">
        <v>2</v>
      </c>
      <c r="L564" s="147" t="s">
        <v>656</v>
      </c>
      <c r="M564" s="147">
        <v>11</v>
      </c>
      <c r="N564" s="147">
        <v>3</v>
      </c>
      <c r="O564" s="147" t="s">
        <v>657</v>
      </c>
      <c r="P564" s="147">
        <v>104</v>
      </c>
      <c r="Q564" s="156">
        <v>7352</v>
      </c>
      <c r="R564" s="157">
        <v>0</v>
      </c>
      <c r="S564" s="158" t="s">
        <v>658</v>
      </c>
      <c r="T564" s="155" t="s">
        <v>399</v>
      </c>
      <c r="U564" s="163"/>
      <c r="V564" s="147"/>
    </row>
    <row r="565" spans="1:22">
      <c r="A565" s="159">
        <v>75</v>
      </c>
      <c r="B565" s="160">
        <v>4</v>
      </c>
      <c r="C565" s="160">
        <v>104</v>
      </c>
      <c r="D565" s="159">
        <v>6558</v>
      </c>
      <c r="E565" s="159">
        <v>40</v>
      </c>
      <c r="F565" s="160">
        <v>3</v>
      </c>
      <c r="G565" s="161">
        <f t="shared" si="47"/>
        <v>5902</v>
      </c>
      <c r="H565" s="159">
        <f t="shared" si="48"/>
        <v>4</v>
      </c>
      <c r="I565" s="159">
        <f t="shared" si="49"/>
        <v>6558</v>
      </c>
      <c r="J565" s="147">
        <v>32</v>
      </c>
      <c r="K565" s="147">
        <v>2</v>
      </c>
      <c r="L565" s="147" t="s">
        <v>656</v>
      </c>
      <c r="M565" s="147">
        <v>11</v>
      </c>
      <c r="N565" s="147">
        <v>3</v>
      </c>
      <c r="O565" s="147" t="s">
        <v>657</v>
      </c>
      <c r="P565" s="147">
        <v>104</v>
      </c>
      <c r="Q565" s="156">
        <v>8047</v>
      </c>
      <c r="R565" s="157">
        <v>0</v>
      </c>
      <c r="S565" s="158" t="s">
        <v>658</v>
      </c>
      <c r="T565" s="155" t="s">
        <v>399</v>
      </c>
      <c r="U565" s="163"/>
      <c r="V565" s="147"/>
    </row>
    <row r="566" spans="1:22">
      <c r="A566" s="159">
        <v>75</v>
      </c>
      <c r="B566" s="160">
        <v>5</v>
      </c>
      <c r="C566" s="160">
        <v>104</v>
      </c>
      <c r="D566" s="159">
        <v>8197</v>
      </c>
      <c r="E566" s="159">
        <v>50</v>
      </c>
      <c r="F566" s="160">
        <v>3</v>
      </c>
      <c r="G566" s="161">
        <f t="shared" si="47"/>
        <v>5902</v>
      </c>
      <c r="H566" s="159">
        <f t="shared" si="48"/>
        <v>6</v>
      </c>
      <c r="I566" s="159">
        <f t="shared" si="49"/>
        <v>8197</v>
      </c>
      <c r="J566" s="147">
        <v>32</v>
      </c>
      <c r="K566" s="147">
        <v>2</v>
      </c>
      <c r="L566" s="147" t="s">
        <v>656</v>
      </c>
      <c r="M566" s="147">
        <v>11</v>
      </c>
      <c r="N566" s="147">
        <v>3</v>
      </c>
      <c r="O566" s="147" t="s">
        <v>657</v>
      </c>
      <c r="P566" s="147">
        <v>104</v>
      </c>
      <c r="Q566" s="156">
        <v>8942</v>
      </c>
      <c r="R566" s="157">
        <v>0</v>
      </c>
      <c r="S566" s="158" t="s">
        <v>658</v>
      </c>
      <c r="T566" s="155" t="s">
        <v>399</v>
      </c>
      <c r="U566" s="163"/>
      <c r="V566" s="147"/>
    </row>
    <row r="567" spans="1:22">
      <c r="A567" s="159">
        <v>75</v>
      </c>
      <c r="B567" s="160">
        <v>6</v>
      </c>
      <c r="C567" s="160">
        <v>104</v>
      </c>
      <c r="D567" s="159">
        <v>9837</v>
      </c>
      <c r="E567" s="159">
        <v>60</v>
      </c>
      <c r="F567" s="160">
        <v>4</v>
      </c>
      <c r="G567" s="161">
        <f t="shared" si="47"/>
        <v>5902</v>
      </c>
      <c r="H567" s="159">
        <f t="shared" si="48"/>
        <v>8</v>
      </c>
      <c r="I567" s="159">
        <f t="shared" si="49"/>
        <v>9837</v>
      </c>
      <c r="J567" s="147">
        <v>32</v>
      </c>
      <c r="K567" s="147">
        <v>2</v>
      </c>
      <c r="L567" s="147" t="s">
        <v>656</v>
      </c>
      <c r="M567" s="147">
        <v>11</v>
      </c>
      <c r="N567" s="147">
        <v>3</v>
      </c>
      <c r="O567" s="147" t="s">
        <v>657</v>
      </c>
      <c r="P567" s="147">
        <v>104</v>
      </c>
      <c r="Q567" s="156">
        <v>10035</v>
      </c>
      <c r="R567" s="157">
        <v>0</v>
      </c>
      <c r="S567" s="158" t="s">
        <v>658</v>
      </c>
      <c r="T567" s="155" t="s">
        <v>399</v>
      </c>
      <c r="U567" s="163"/>
      <c r="V567" s="147"/>
    </row>
    <row r="568" spans="1:22">
      <c r="A568" s="159">
        <v>75</v>
      </c>
      <c r="B568" s="160">
        <v>7</v>
      </c>
      <c r="C568" s="160">
        <v>104</v>
      </c>
      <c r="D568" s="159">
        <v>11476</v>
      </c>
      <c r="E568" s="159">
        <v>70</v>
      </c>
      <c r="F568" s="160">
        <v>4</v>
      </c>
      <c r="G568" s="161">
        <f t="shared" si="47"/>
        <v>5902</v>
      </c>
      <c r="H568" s="159">
        <f t="shared" si="48"/>
        <v>10</v>
      </c>
      <c r="I568" s="159">
        <f t="shared" si="49"/>
        <v>11476</v>
      </c>
      <c r="J568" s="147">
        <v>32</v>
      </c>
      <c r="K568" s="147">
        <v>2</v>
      </c>
      <c r="L568" s="147" t="s">
        <v>656</v>
      </c>
      <c r="M568" s="147">
        <v>11</v>
      </c>
      <c r="N568" s="147">
        <v>3</v>
      </c>
      <c r="O568" s="147" t="s">
        <v>657</v>
      </c>
      <c r="P568" s="147">
        <v>104</v>
      </c>
      <c r="Q568" s="156">
        <v>11326</v>
      </c>
      <c r="R568" s="157">
        <v>0</v>
      </c>
      <c r="S568" s="158" t="s">
        <v>658</v>
      </c>
      <c r="T568" s="155" t="s">
        <v>399</v>
      </c>
      <c r="U568" s="163"/>
      <c r="V568" s="147"/>
    </row>
    <row r="569" spans="1:22">
      <c r="A569" s="159">
        <v>75</v>
      </c>
      <c r="B569" s="160">
        <v>8</v>
      </c>
      <c r="C569" s="160">
        <v>104</v>
      </c>
      <c r="D569" s="159">
        <v>13116</v>
      </c>
      <c r="E569" s="159">
        <v>80</v>
      </c>
      <c r="F569" s="160">
        <v>5</v>
      </c>
      <c r="G569" s="161">
        <f t="shared" si="47"/>
        <v>5902</v>
      </c>
      <c r="H569" s="159">
        <f t="shared" si="48"/>
        <v>12</v>
      </c>
      <c r="I569" s="159">
        <f t="shared" si="49"/>
        <v>13116</v>
      </c>
      <c r="J569" s="147">
        <v>32</v>
      </c>
      <c r="K569" s="147">
        <v>2</v>
      </c>
      <c r="L569" s="147" t="s">
        <v>656</v>
      </c>
      <c r="M569" s="147">
        <v>11</v>
      </c>
      <c r="N569" s="147">
        <v>3</v>
      </c>
      <c r="O569" s="147" t="s">
        <v>657</v>
      </c>
      <c r="P569" s="147">
        <v>104</v>
      </c>
      <c r="Q569" s="156">
        <v>12817</v>
      </c>
      <c r="R569" s="157">
        <v>0</v>
      </c>
      <c r="S569" s="158" t="s">
        <v>658</v>
      </c>
      <c r="T569" s="155" t="s">
        <v>399</v>
      </c>
      <c r="U569" s="163"/>
      <c r="V569" s="147"/>
    </row>
    <row r="570" spans="1:22">
      <c r="A570" s="159">
        <v>75</v>
      </c>
      <c r="B570" s="160">
        <v>9</v>
      </c>
      <c r="C570" s="160">
        <v>104</v>
      </c>
      <c r="D570" s="159">
        <v>14755</v>
      </c>
      <c r="E570" s="159">
        <v>90</v>
      </c>
      <c r="F570" s="160">
        <v>5</v>
      </c>
      <c r="G570" s="161">
        <f t="shared" si="47"/>
        <v>5902</v>
      </c>
      <c r="H570" s="159">
        <f t="shared" si="48"/>
        <v>15</v>
      </c>
      <c r="I570" s="159">
        <f t="shared" si="49"/>
        <v>14755</v>
      </c>
      <c r="J570" s="147">
        <v>32</v>
      </c>
      <c r="K570" s="147">
        <v>2</v>
      </c>
      <c r="L570" s="147" t="s">
        <v>656</v>
      </c>
      <c r="M570" s="147">
        <v>11</v>
      </c>
      <c r="N570" s="147">
        <v>3</v>
      </c>
      <c r="O570" s="147" t="s">
        <v>657</v>
      </c>
      <c r="P570" s="147">
        <v>104</v>
      </c>
      <c r="Q570" s="156">
        <v>14506</v>
      </c>
      <c r="R570" s="157">
        <v>0</v>
      </c>
      <c r="S570" s="158" t="s">
        <v>658</v>
      </c>
      <c r="T570" s="155" t="s">
        <v>399</v>
      </c>
      <c r="U570" s="163"/>
      <c r="V570" s="147"/>
    </row>
    <row r="571" spans="1:22">
      <c r="A571" s="159">
        <v>75</v>
      </c>
      <c r="B571" s="160">
        <v>10</v>
      </c>
      <c r="C571" s="160">
        <v>104</v>
      </c>
      <c r="D571" s="159">
        <v>16394</v>
      </c>
      <c r="E571" s="159">
        <v>90</v>
      </c>
      <c r="F571" s="160">
        <v>6</v>
      </c>
      <c r="G571" s="161">
        <f t="shared" si="47"/>
        <v>5902</v>
      </c>
      <c r="H571" s="159">
        <f t="shared" si="48"/>
        <v>18</v>
      </c>
      <c r="I571" s="159">
        <f t="shared" si="49"/>
        <v>16394</v>
      </c>
      <c r="J571" s="147">
        <v>32</v>
      </c>
      <c r="K571" s="147">
        <v>2</v>
      </c>
      <c r="L571" s="147" t="s">
        <v>656</v>
      </c>
      <c r="M571" s="147">
        <v>11</v>
      </c>
      <c r="N571" s="147">
        <v>3</v>
      </c>
      <c r="O571" s="147" t="s">
        <v>657</v>
      </c>
      <c r="P571" s="147">
        <v>104</v>
      </c>
      <c r="Q571" s="156">
        <v>16394</v>
      </c>
      <c r="R571" s="157">
        <v>0</v>
      </c>
      <c r="S571" s="158" t="s">
        <v>658</v>
      </c>
      <c r="T571" s="155" t="s">
        <v>399</v>
      </c>
      <c r="U571" s="163"/>
      <c r="V571" s="147"/>
    </row>
    <row r="572" spans="1:22">
      <c r="A572" s="166">
        <v>76</v>
      </c>
      <c r="B572" s="167">
        <v>1</v>
      </c>
      <c r="C572" s="167">
        <v>102</v>
      </c>
      <c r="D572" s="166">
        <v>96</v>
      </c>
      <c r="E572" s="166">
        <v>10</v>
      </c>
      <c r="F572" s="167">
        <v>1</v>
      </c>
      <c r="G572" s="168">
        <f t="shared" si="47"/>
        <v>5902</v>
      </c>
      <c r="H572" s="166">
        <f t="shared" si="48"/>
        <v>1</v>
      </c>
      <c r="I572" s="166">
        <f t="shared" si="49"/>
        <v>2400</v>
      </c>
      <c r="J572" s="147">
        <v>32</v>
      </c>
      <c r="K572" s="147">
        <v>2</v>
      </c>
      <c r="L572" s="147" t="s">
        <v>656</v>
      </c>
      <c r="M572" s="147">
        <v>10</v>
      </c>
      <c r="N572" s="147">
        <v>1</v>
      </c>
      <c r="O572" s="147" t="s">
        <v>655</v>
      </c>
      <c r="P572" s="147">
        <v>102</v>
      </c>
      <c r="Q572" s="156">
        <v>383</v>
      </c>
      <c r="R572" s="157">
        <v>0</v>
      </c>
      <c r="S572" s="158" t="s">
        <v>658</v>
      </c>
      <c r="T572" s="155" t="s">
        <v>398</v>
      </c>
      <c r="U572" s="163"/>
      <c r="V572" s="147"/>
    </row>
    <row r="573" spans="1:22">
      <c r="A573" s="166">
        <v>76</v>
      </c>
      <c r="B573" s="167">
        <v>2</v>
      </c>
      <c r="C573" s="167">
        <v>102</v>
      </c>
      <c r="D573" s="166">
        <v>192</v>
      </c>
      <c r="E573" s="166">
        <v>20</v>
      </c>
      <c r="F573" s="167">
        <v>2</v>
      </c>
      <c r="G573" s="168">
        <f t="shared" si="47"/>
        <v>5902</v>
      </c>
      <c r="H573" s="166">
        <f t="shared" si="48"/>
        <v>2</v>
      </c>
      <c r="I573" s="166">
        <f t="shared" si="49"/>
        <v>4800</v>
      </c>
      <c r="J573" s="147">
        <v>32</v>
      </c>
      <c r="K573" s="147">
        <v>2</v>
      </c>
      <c r="L573" s="147" t="s">
        <v>656</v>
      </c>
      <c r="M573" s="147">
        <v>10</v>
      </c>
      <c r="N573" s="147">
        <v>1</v>
      </c>
      <c r="O573" s="147" t="s">
        <v>655</v>
      </c>
      <c r="P573" s="147">
        <v>102</v>
      </c>
      <c r="Q573" s="156">
        <v>400</v>
      </c>
      <c r="R573" s="157">
        <v>0</v>
      </c>
      <c r="S573" s="158" t="s">
        <v>658</v>
      </c>
      <c r="T573" s="155" t="s">
        <v>398</v>
      </c>
      <c r="U573" s="163"/>
      <c r="V573" s="147"/>
    </row>
    <row r="574" spans="1:22">
      <c r="A574" s="166">
        <v>76</v>
      </c>
      <c r="B574" s="167">
        <v>3</v>
      </c>
      <c r="C574" s="167">
        <v>102</v>
      </c>
      <c r="D574" s="166">
        <v>288</v>
      </c>
      <c r="E574" s="166">
        <v>30</v>
      </c>
      <c r="F574" s="167">
        <v>2</v>
      </c>
      <c r="G574" s="168">
        <f t="shared" si="47"/>
        <v>5902</v>
      </c>
      <c r="H574" s="166">
        <f t="shared" si="48"/>
        <v>3</v>
      </c>
      <c r="I574" s="166">
        <f t="shared" si="49"/>
        <v>7200</v>
      </c>
      <c r="J574" s="147">
        <v>32</v>
      </c>
      <c r="K574" s="147">
        <v>2</v>
      </c>
      <c r="L574" s="147" t="s">
        <v>656</v>
      </c>
      <c r="M574" s="147">
        <v>10</v>
      </c>
      <c r="N574" s="147">
        <v>1</v>
      </c>
      <c r="O574" s="147" t="s">
        <v>655</v>
      </c>
      <c r="P574" s="147">
        <v>102</v>
      </c>
      <c r="Q574" s="156">
        <v>429</v>
      </c>
      <c r="R574" s="157">
        <v>0</v>
      </c>
      <c r="S574" s="158" t="s">
        <v>658</v>
      </c>
      <c r="T574" s="155" t="s">
        <v>398</v>
      </c>
      <c r="U574" s="163"/>
      <c r="V574" s="147"/>
    </row>
    <row r="575" spans="1:22">
      <c r="A575" s="166">
        <v>76</v>
      </c>
      <c r="B575" s="167">
        <v>4</v>
      </c>
      <c r="C575" s="167">
        <v>102</v>
      </c>
      <c r="D575" s="166">
        <v>383</v>
      </c>
      <c r="E575" s="166">
        <v>40</v>
      </c>
      <c r="F575" s="167">
        <v>3</v>
      </c>
      <c r="G575" s="168">
        <f t="shared" si="47"/>
        <v>5902</v>
      </c>
      <c r="H575" s="166">
        <f t="shared" si="48"/>
        <v>4</v>
      </c>
      <c r="I575" s="166">
        <f t="shared" si="49"/>
        <v>9575</v>
      </c>
      <c r="J575" s="147">
        <v>32</v>
      </c>
      <c r="K575" s="147">
        <v>2</v>
      </c>
      <c r="L575" s="147" t="s">
        <v>656</v>
      </c>
      <c r="M575" s="147">
        <v>10</v>
      </c>
      <c r="N575" s="147">
        <v>1</v>
      </c>
      <c r="O575" s="147" t="s">
        <v>655</v>
      </c>
      <c r="P575" s="147">
        <v>102</v>
      </c>
      <c r="Q575" s="156">
        <v>470</v>
      </c>
      <c r="R575" s="157">
        <v>0</v>
      </c>
      <c r="S575" s="158" t="s">
        <v>658</v>
      </c>
      <c r="T575" s="155" t="s">
        <v>398</v>
      </c>
      <c r="U575" s="163"/>
      <c r="V575" s="147"/>
    </row>
    <row r="576" spans="1:22">
      <c r="A576" s="166">
        <v>76</v>
      </c>
      <c r="B576" s="167">
        <v>5</v>
      </c>
      <c r="C576" s="167">
        <v>102</v>
      </c>
      <c r="D576" s="166">
        <v>479</v>
      </c>
      <c r="E576" s="166">
        <v>50</v>
      </c>
      <c r="F576" s="167">
        <v>3</v>
      </c>
      <c r="G576" s="168">
        <f t="shared" si="47"/>
        <v>5902</v>
      </c>
      <c r="H576" s="166">
        <f t="shared" si="48"/>
        <v>6</v>
      </c>
      <c r="I576" s="166">
        <f t="shared" si="49"/>
        <v>11975</v>
      </c>
      <c r="J576" s="147">
        <v>32</v>
      </c>
      <c r="K576" s="147">
        <v>2</v>
      </c>
      <c r="L576" s="147" t="s">
        <v>656</v>
      </c>
      <c r="M576" s="147">
        <v>10</v>
      </c>
      <c r="N576" s="147">
        <v>1</v>
      </c>
      <c r="O576" s="147" t="s">
        <v>655</v>
      </c>
      <c r="P576" s="147">
        <v>102</v>
      </c>
      <c r="Q576" s="156">
        <v>522</v>
      </c>
      <c r="R576" s="157">
        <v>0</v>
      </c>
      <c r="S576" s="158" t="s">
        <v>658</v>
      </c>
      <c r="T576" s="155" t="s">
        <v>398</v>
      </c>
      <c r="U576" s="163"/>
      <c r="V576" s="147"/>
    </row>
    <row r="577" spans="1:22">
      <c r="A577" s="166">
        <v>76</v>
      </c>
      <c r="B577" s="167">
        <v>6</v>
      </c>
      <c r="C577" s="167">
        <v>102</v>
      </c>
      <c r="D577" s="166">
        <v>575</v>
      </c>
      <c r="E577" s="166">
        <v>60</v>
      </c>
      <c r="F577" s="167">
        <v>4</v>
      </c>
      <c r="G577" s="168">
        <f t="shared" si="47"/>
        <v>5902</v>
      </c>
      <c r="H577" s="166">
        <f t="shared" si="48"/>
        <v>8</v>
      </c>
      <c r="I577" s="166">
        <f t="shared" si="49"/>
        <v>14375</v>
      </c>
      <c r="J577" s="147">
        <v>32</v>
      </c>
      <c r="K577" s="147">
        <v>2</v>
      </c>
      <c r="L577" s="147" t="s">
        <v>656</v>
      </c>
      <c r="M577" s="147">
        <v>10</v>
      </c>
      <c r="N577" s="147">
        <v>1</v>
      </c>
      <c r="O577" s="147" t="s">
        <v>655</v>
      </c>
      <c r="P577" s="147">
        <v>102</v>
      </c>
      <c r="Q577" s="156">
        <v>586</v>
      </c>
      <c r="R577" s="157">
        <v>0</v>
      </c>
      <c r="S577" s="158" t="s">
        <v>658</v>
      </c>
      <c r="T577" s="155" t="s">
        <v>398</v>
      </c>
      <c r="U577" s="163"/>
      <c r="V577" s="147"/>
    </row>
    <row r="578" spans="1:22">
      <c r="A578" s="166">
        <v>76</v>
      </c>
      <c r="B578" s="167">
        <v>7</v>
      </c>
      <c r="C578" s="167">
        <v>102</v>
      </c>
      <c r="D578" s="166">
        <v>670</v>
      </c>
      <c r="E578" s="166">
        <v>70</v>
      </c>
      <c r="F578" s="167">
        <v>4</v>
      </c>
      <c r="G578" s="168">
        <f t="shared" ref="G578:G641" si="50">VLOOKUP(B578,AA$2:AC$11,2,FALSE)</f>
        <v>5902</v>
      </c>
      <c r="H578" s="166">
        <f t="shared" ref="H578:H641" si="51">VLOOKUP(B578,AA$2:AC$11,3,FALSE)</f>
        <v>10</v>
      </c>
      <c r="I578" s="166">
        <f t="shared" si="49"/>
        <v>16750</v>
      </c>
      <c r="J578" s="147">
        <v>32</v>
      </c>
      <c r="K578" s="147">
        <v>2</v>
      </c>
      <c r="L578" s="147" t="s">
        <v>656</v>
      </c>
      <c r="M578" s="147">
        <v>10</v>
      </c>
      <c r="N578" s="147">
        <v>1</v>
      </c>
      <c r="O578" s="147" t="s">
        <v>655</v>
      </c>
      <c r="P578" s="147">
        <v>102</v>
      </c>
      <c r="Q578" s="156">
        <v>661</v>
      </c>
      <c r="R578" s="157">
        <v>0</v>
      </c>
      <c r="S578" s="158" t="s">
        <v>658</v>
      </c>
      <c r="T578" s="155" t="s">
        <v>398</v>
      </c>
      <c r="U578" s="163"/>
      <c r="V578" s="147"/>
    </row>
    <row r="579" spans="1:22">
      <c r="A579" s="166">
        <v>76</v>
      </c>
      <c r="B579" s="167">
        <v>8</v>
      </c>
      <c r="C579" s="167">
        <v>102</v>
      </c>
      <c r="D579" s="166">
        <v>766</v>
      </c>
      <c r="E579" s="166">
        <v>80</v>
      </c>
      <c r="F579" s="167">
        <v>5</v>
      </c>
      <c r="G579" s="168">
        <f t="shared" si="50"/>
        <v>5902</v>
      </c>
      <c r="H579" s="166">
        <f t="shared" si="51"/>
        <v>12</v>
      </c>
      <c r="I579" s="166">
        <f t="shared" ref="I579:I642" si="52">INT(IF(C579=104,D579,D579*25))</f>
        <v>19150</v>
      </c>
      <c r="J579" s="147">
        <v>32</v>
      </c>
      <c r="K579" s="147">
        <v>2</v>
      </c>
      <c r="L579" s="147" t="s">
        <v>656</v>
      </c>
      <c r="M579" s="147">
        <v>10</v>
      </c>
      <c r="N579" s="147">
        <v>1</v>
      </c>
      <c r="O579" s="147" t="s">
        <v>655</v>
      </c>
      <c r="P579" s="147">
        <v>102</v>
      </c>
      <c r="Q579" s="156">
        <v>748</v>
      </c>
      <c r="R579" s="157">
        <v>0</v>
      </c>
      <c r="S579" s="158" t="s">
        <v>658</v>
      </c>
      <c r="T579" s="155" t="s">
        <v>398</v>
      </c>
      <c r="U579" s="163"/>
      <c r="V579" s="147"/>
    </row>
    <row r="580" spans="1:22">
      <c r="A580" s="166">
        <v>76</v>
      </c>
      <c r="B580" s="167">
        <v>9</v>
      </c>
      <c r="C580" s="167">
        <v>102</v>
      </c>
      <c r="D580" s="166">
        <v>862</v>
      </c>
      <c r="E580" s="166">
        <v>90</v>
      </c>
      <c r="F580" s="167">
        <v>5</v>
      </c>
      <c r="G580" s="168">
        <f t="shared" si="50"/>
        <v>5902</v>
      </c>
      <c r="H580" s="166">
        <f t="shared" si="51"/>
        <v>15</v>
      </c>
      <c r="I580" s="166">
        <f t="shared" si="52"/>
        <v>21550</v>
      </c>
      <c r="J580" s="147">
        <v>32</v>
      </c>
      <c r="K580" s="147">
        <v>2</v>
      </c>
      <c r="L580" s="147" t="s">
        <v>656</v>
      </c>
      <c r="M580" s="147">
        <v>10</v>
      </c>
      <c r="N580" s="147">
        <v>1</v>
      </c>
      <c r="O580" s="147" t="s">
        <v>655</v>
      </c>
      <c r="P580" s="147">
        <v>102</v>
      </c>
      <c r="Q580" s="156">
        <v>847</v>
      </c>
      <c r="R580" s="157">
        <v>0</v>
      </c>
      <c r="S580" s="158" t="s">
        <v>658</v>
      </c>
      <c r="T580" s="155" t="s">
        <v>398</v>
      </c>
      <c r="U580" s="163"/>
      <c r="V580" s="147"/>
    </row>
    <row r="581" spans="1:22">
      <c r="A581" s="166">
        <v>76</v>
      </c>
      <c r="B581" s="167">
        <v>10</v>
      </c>
      <c r="C581" s="167">
        <v>102</v>
      </c>
      <c r="D581" s="166">
        <v>957</v>
      </c>
      <c r="E581" s="166">
        <v>90</v>
      </c>
      <c r="F581" s="167">
        <v>6</v>
      </c>
      <c r="G581" s="168">
        <f t="shared" si="50"/>
        <v>5902</v>
      </c>
      <c r="H581" s="166">
        <f t="shared" si="51"/>
        <v>18</v>
      </c>
      <c r="I581" s="166">
        <f t="shared" si="52"/>
        <v>23925</v>
      </c>
      <c r="J581" s="147">
        <v>32</v>
      </c>
      <c r="K581" s="147">
        <v>2</v>
      </c>
      <c r="L581" s="147" t="s">
        <v>656</v>
      </c>
      <c r="M581" s="147">
        <v>10</v>
      </c>
      <c r="N581" s="147">
        <v>1</v>
      </c>
      <c r="O581" s="147" t="s">
        <v>655</v>
      </c>
      <c r="P581" s="147">
        <v>102</v>
      </c>
      <c r="Q581" s="156">
        <v>957</v>
      </c>
      <c r="R581" s="157">
        <v>0</v>
      </c>
      <c r="S581" s="158" t="s">
        <v>658</v>
      </c>
      <c r="T581" s="155" t="s">
        <v>398</v>
      </c>
      <c r="U581" s="163"/>
      <c r="V581" s="147"/>
    </row>
    <row r="582" spans="1:22">
      <c r="A582" s="159">
        <v>77</v>
      </c>
      <c r="B582" s="160">
        <v>1</v>
      </c>
      <c r="C582" s="160">
        <v>101</v>
      </c>
      <c r="D582" s="159">
        <v>118</v>
      </c>
      <c r="E582" s="159">
        <v>10</v>
      </c>
      <c r="F582" s="160">
        <v>1</v>
      </c>
      <c r="G582" s="161">
        <f t="shared" si="50"/>
        <v>5902</v>
      </c>
      <c r="H582" s="159">
        <f t="shared" si="51"/>
        <v>1</v>
      </c>
      <c r="I582" s="159">
        <f t="shared" si="52"/>
        <v>2950</v>
      </c>
      <c r="J582" s="147">
        <v>32</v>
      </c>
      <c r="K582" s="147">
        <v>2</v>
      </c>
      <c r="L582" s="147" t="s">
        <v>656</v>
      </c>
      <c r="M582" s="147">
        <v>20</v>
      </c>
      <c r="N582" s="147">
        <v>2</v>
      </c>
      <c r="O582" s="147" t="s">
        <v>656</v>
      </c>
      <c r="P582" s="147">
        <v>101</v>
      </c>
      <c r="Q582" s="156">
        <v>470</v>
      </c>
      <c r="R582" s="157">
        <v>0</v>
      </c>
      <c r="S582" s="158" t="s">
        <v>658</v>
      </c>
      <c r="T582" s="155" t="s">
        <v>408</v>
      </c>
      <c r="U582" s="163"/>
      <c r="V582" s="147"/>
    </row>
    <row r="583" spans="1:22">
      <c r="A583" s="159">
        <v>77</v>
      </c>
      <c r="B583" s="160">
        <v>2</v>
      </c>
      <c r="C583" s="160">
        <v>101</v>
      </c>
      <c r="D583" s="159">
        <v>235</v>
      </c>
      <c r="E583" s="159">
        <v>20</v>
      </c>
      <c r="F583" s="160">
        <v>2</v>
      </c>
      <c r="G583" s="161">
        <f t="shared" si="50"/>
        <v>5902</v>
      </c>
      <c r="H583" s="159">
        <f t="shared" si="51"/>
        <v>2</v>
      </c>
      <c r="I583" s="159">
        <f t="shared" si="52"/>
        <v>5875</v>
      </c>
      <c r="J583" s="147">
        <v>32</v>
      </c>
      <c r="K583" s="147">
        <v>2</v>
      </c>
      <c r="L583" s="147" t="s">
        <v>656</v>
      </c>
      <c r="M583" s="147">
        <v>20</v>
      </c>
      <c r="N583" s="147">
        <v>2</v>
      </c>
      <c r="O583" s="147" t="s">
        <v>656</v>
      </c>
      <c r="P583" s="147">
        <v>101</v>
      </c>
      <c r="Q583" s="156">
        <v>491</v>
      </c>
      <c r="R583" s="157">
        <v>0</v>
      </c>
      <c r="S583" s="158" t="s">
        <v>658</v>
      </c>
      <c r="T583" s="155" t="s">
        <v>408</v>
      </c>
      <c r="U583" s="163"/>
      <c r="V583" s="147"/>
    </row>
    <row r="584" spans="1:22">
      <c r="A584" s="159">
        <v>77</v>
      </c>
      <c r="B584" s="160">
        <v>3</v>
      </c>
      <c r="C584" s="160">
        <v>101</v>
      </c>
      <c r="D584" s="159">
        <v>353</v>
      </c>
      <c r="E584" s="159">
        <v>30</v>
      </c>
      <c r="F584" s="160">
        <v>2</v>
      </c>
      <c r="G584" s="161">
        <f t="shared" si="50"/>
        <v>5902</v>
      </c>
      <c r="H584" s="159">
        <f t="shared" si="51"/>
        <v>3</v>
      </c>
      <c r="I584" s="159">
        <f t="shared" si="52"/>
        <v>8825</v>
      </c>
      <c r="J584" s="147">
        <v>32</v>
      </c>
      <c r="K584" s="147">
        <v>2</v>
      </c>
      <c r="L584" s="147" t="s">
        <v>656</v>
      </c>
      <c r="M584" s="147">
        <v>20</v>
      </c>
      <c r="N584" s="147">
        <v>2</v>
      </c>
      <c r="O584" s="147" t="s">
        <v>656</v>
      </c>
      <c r="P584" s="147">
        <v>101</v>
      </c>
      <c r="Q584" s="156">
        <v>527</v>
      </c>
      <c r="R584" s="157">
        <v>0</v>
      </c>
      <c r="S584" s="158" t="s">
        <v>658</v>
      </c>
      <c r="T584" s="155" t="s">
        <v>408</v>
      </c>
      <c r="U584" s="163"/>
      <c r="V584" s="147"/>
    </row>
    <row r="585" spans="1:22">
      <c r="A585" s="159">
        <v>77</v>
      </c>
      <c r="B585" s="160">
        <v>4</v>
      </c>
      <c r="C585" s="160">
        <v>101</v>
      </c>
      <c r="D585" s="159">
        <v>470</v>
      </c>
      <c r="E585" s="159">
        <v>40</v>
      </c>
      <c r="F585" s="160">
        <v>3</v>
      </c>
      <c r="G585" s="161">
        <f t="shared" si="50"/>
        <v>5902</v>
      </c>
      <c r="H585" s="159">
        <f t="shared" si="51"/>
        <v>4</v>
      </c>
      <c r="I585" s="159">
        <f t="shared" si="52"/>
        <v>11750</v>
      </c>
      <c r="J585" s="147">
        <v>32</v>
      </c>
      <c r="K585" s="147">
        <v>2</v>
      </c>
      <c r="L585" s="147" t="s">
        <v>656</v>
      </c>
      <c r="M585" s="147">
        <v>20</v>
      </c>
      <c r="N585" s="147">
        <v>2</v>
      </c>
      <c r="O585" s="147" t="s">
        <v>656</v>
      </c>
      <c r="P585" s="147">
        <v>101</v>
      </c>
      <c r="Q585" s="156">
        <v>577</v>
      </c>
      <c r="R585" s="157">
        <v>0</v>
      </c>
      <c r="S585" s="158" t="s">
        <v>658</v>
      </c>
      <c r="T585" s="155" t="s">
        <v>408</v>
      </c>
      <c r="U585" s="163"/>
      <c r="V585" s="147"/>
    </row>
    <row r="586" spans="1:22">
      <c r="A586" s="159">
        <v>77</v>
      </c>
      <c r="B586" s="160">
        <v>5</v>
      </c>
      <c r="C586" s="160">
        <v>101</v>
      </c>
      <c r="D586" s="159">
        <v>588</v>
      </c>
      <c r="E586" s="159">
        <v>50</v>
      </c>
      <c r="F586" s="160">
        <v>3</v>
      </c>
      <c r="G586" s="161">
        <f t="shared" si="50"/>
        <v>5902</v>
      </c>
      <c r="H586" s="159">
        <f t="shared" si="51"/>
        <v>6</v>
      </c>
      <c r="I586" s="159">
        <f t="shared" si="52"/>
        <v>14700</v>
      </c>
      <c r="J586" s="147">
        <v>32</v>
      </c>
      <c r="K586" s="147">
        <v>2</v>
      </c>
      <c r="L586" s="147" t="s">
        <v>656</v>
      </c>
      <c r="M586" s="147">
        <v>20</v>
      </c>
      <c r="N586" s="147">
        <v>2</v>
      </c>
      <c r="O586" s="147" t="s">
        <v>656</v>
      </c>
      <c r="P586" s="147">
        <v>101</v>
      </c>
      <c r="Q586" s="156">
        <v>641</v>
      </c>
      <c r="R586" s="157">
        <v>0</v>
      </c>
      <c r="S586" s="158" t="s">
        <v>658</v>
      </c>
      <c r="T586" s="155" t="s">
        <v>408</v>
      </c>
      <c r="U586" s="163"/>
      <c r="V586" s="147"/>
    </row>
    <row r="587" spans="1:22">
      <c r="A587" s="159">
        <v>77</v>
      </c>
      <c r="B587" s="160">
        <v>6</v>
      </c>
      <c r="C587" s="160">
        <v>101</v>
      </c>
      <c r="D587" s="159">
        <v>705</v>
      </c>
      <c r="E587" s="159">
        <v>60</v>
      </c>
      <c r="F587" s="160">
        <v>4</v>
      </c>
      <c r="G587" s="161">
        <f t="shared" si="50"/>
        <v>5902</v>
      </c>
      <c r="H587" s="159">
        <f t="shared" si="51"/>
        <v>8</v>
      </c>
      <c r="I587" s="159">
        <f t="shared" si="52"/>
        <v>17625</v>
      </c>
      <c r="J587" s="147">
        <v>32</v>
      </c>
      <c r="K587" s="147">
        <v>2</v>
      </c>
      <c r="L587" s="147" t="s">
        <v>656</v>
      </c>
      <c r="M587" s="147">
        <v>20</v>
      </c>
      <c r="N587" s="147">
        <v>2</v>
      </c>
      <c r="O587" s="147" t="s">
        <v>656</v>
      </c>
      <c r="P587" s="147">
        <v>101</v>
      </c>
      <c r="Q587" s="156">
        <v>719</v>
      </c>
      <c r="R587" s="157">
        <v>0</v>
      </c>
      <c r="S587" s="158" t="s">
        <v>658</v>
      </c>
      <c r="T587" s="155" t="s">
        <v>408</v>
      </c>
      <c r="U587" s="163"/>
      <c r="V587" s="147"/>
    </row>
    <row r="588" spans="1:22">
      <c r="A588" s="159">
        <v>77</v>
      </c>
      <c r="B588" s="160">
        <v>7</v>
      </c>
      <c r="C588" s="160">
        <v>101</v>
      </c>
      <c r="D588" s="159">
        <v>823</v>
      </c>
      <c r="E588" s="159">
        <v>70</v>
      </c>
      <c r="F588" s="160">
        <v>4</v>
      </c>
      <c r="G588" s="161">
        <f t="shared" si="50"/>
        <v>5902</v>
      </c>
      <c r="H588" s="159">
        <f t="shared" si="51"/>
        <v>10</v>
      </c>
      <c r="I588" s="159">
        <f t="shared" si="52"/>
        <v>20575</v>
      </c>
      <c r="J588" s="147">
        <v>32</v>
      </c>
      <c r="K588" s="147">
        <v>2</v>
      </c>
      <c r="L588" s="147" t="s">
        <v>656</v>
      </c>
      <c r="M588" s="147">
        <v>20</v>
      </c>
      <c r="N588" s="147">
        <v>2</v>
      </c>
      <c r="O588" s="147" t="s">
        <v>656</v>
      </c>
      <c r="P588" s="147">
        <v>101</v>
      </c>
      <c r="Q588" s="156">
        <v>812</v>
      </c>
      <c r="R588" s="157">
        <v>0</v>
      </c>
      <c r="S588" s="158" t="s">
        <v>658</v>
      </c>
      <c r="T588" s="155" t="s">
        <v>408</v>
      </c>
      <c r="U588" s="163"/>
      <c r="V588" s="147"/>
    </row>
    <row r="589" spans="1:22">
      <c r="A589" s="159">
        <v>77</v>
      </c>
      <c r="B589" s="160">
        <v>8</v>
      </c>
      <c r="C589" s="160">
        <v>101</v>
      </c>
      <c r="D589" s="159">
        <v>940</v>
      </c>
      <c r="E589" s="159">
        <v>80</v>
      </c>
      <c r="F589" s="160">
        <v>5</v>
      </c>
      <c r="G589" s="161">
        <f t="shared" si="50"/>
        <v>5902</v>
      </c>
      <c r="H589" s="159">
        <f t="shared" si="51"/>
        <v>12</v>
      </c>
      <c r="I589" s="159">
        <f t="shared" si="52"/>
        <v>23500</v>
      </c>
      <c r="J589" s="147">
        <v>32</v>
      </c>
      <c r="K589" s="147">
        <v>2</v>
      </c>
      <c r="L589" s="147" t="s">
        <v>656</v>
      </c>
      <c r="M589" s="147">
        <v>20</v>
      </c>
      <c r="N589" s="147">
        <v>2</v>
      </c>
      <c r="O589" s="147" t="s">
        <v>656</v>
      </c>
      <c r="P589" s="147">
        <v>101</v>
      </c>
      <c r="Q589" s="156">
        <v>918</v>
      </c>
      <c r="R589" s="157">
        <v>0</v>
      </c>
      <c r="S589" s="158" t="s">
        <v>658</v>
      </c>
      <c r="T589" s="155" t="s">
        <v>408</v>
      </c>
      <c r="U589" s="163"/>
      <c r="V589" s="147"/>
    </row>
    <row r="590" spans="1:22">
      <c r="A590" s="159">
        <v>77</v>
      </c>
      <c r="B590" s="160">
        <v>9</v>
      </c>
      <c r="C590" s="160">
        <v>101</v>
      </c>
      <c r="D590" s="159">
        <v>1058</v>
      </c>
      <c r="E590" s="159">
        <v>90</v>
      </c>
      <c r="F590" s="160">
        <v>5</v>
      </c>
      <c r="G590" s="161">
        <f t="shared" si="50"/>
        <v>5902</v>
      </c>
      <c r="H590" s="159">
        <f t="shared" si="51"/>
        <v>15</v>
      </c>
      <c r="I590" s="159">
        <f t="shared" si="52"/>
        <v>26450</v>
      </c>
      <c r="J590" s="147">
        <v>32</v>
      </c>
      <c r="K590" s="147">
        <v>2</v>
      </c>
      <c r="L590" s="147" t="s">
        <v>656</v>
      </c>
      <c r="M590" s="147">
        <v>20</v>
      </c>
      <c r="N590" s="147">
        <v>2</v>
      </c>
      <c r="O590" s="147" t="s">
        <v>656</v>
      </c>
      <c r="P590" s="147">
        <v>101</v>
      </c>
      <c r="Q590" s="156">
        <v>1040</v>
      </c>
      <c r="R590" s="157">
        <v>0</v>
      </c>
      <c r="S590" s="158" t="s">
        <v>658</v>
      </c>
      <c r="T590" s="155" t="s">
        <v>408</v>
      </c>
      <c r="U590" s="163"/>
      <c r="V590" s="147"/>
    </row>
    <row r="591" spans="1:22">
      <c r="A591" s="159">
        <v>77</v>
      </c>
      <c r="B591" s="160">
        <v>10</v>
      </c>
      <c r="C591" s="160">
        <v>101</v>
      </c>
      <c r="D591" s="159">
        <v>1175</v>
      </c>
      <c r="E591" s="159">
        <v>90</v>
      </c>
      <c r="F591" s="160">
        <v>6</v>
      </c>
      <c r="G591" s="161">
        <f t="shared" si="50"/>
        <v>5902</v>
      </c>
      <c r="H591" s="159">
        <f t="shared" si="51"/>
        <v>18</v>
      </c>
      <c r="I591" s="159">
        <f t="shared" si="52"/>
        <v>29375</v>
      </c>
      <c r="J591" s="147">
        <v>32</v>
      </c>
      <c r="K591" s="147">
        <v>2</v>
      </c>
      <c r="L591" s="147" t="s">
        <v>656</v>
      </c>
      <c r="M591" s="147">
        <v>20</v>
      </c>
      <c r="N591" s="147">
        <v>2</v>
      </c>
      <c r="O591" s="147" t="s">
        <v>656</v>
      </c>
      <c r="P591" s="147">
        <v>101</v>
      </c>
      <c r="Q591" s="156">
        <v>1175</v>
      </c>
      <c r="R591" s="157">
        <v>0</v>
      </c>
      <c r="S591" s="158" t="s">
        <v>658</v>
      </c>
      <c r="T591" s="155" t="s">
        <v>408</v>
      </c>
      <c r="U591" s="163"/>
      <c r="V591" s="147"/>
    </row>
    <row r="592" spans="1:22">
      <c r="A592" s="166">
        <v>78</v>
      </c>
      <c r="B592" s="167">
        <v>1</v>
      </c>
      <c r="C592" s="167">
        <v>101</v>
      </c>
      <c r="D592" s="166">
        <v>118</v>
      </c>
      <c r="E592" s="166">
        <v>10</v>
      </c>
      <c r="F592" s="167">
        <v>1</v>
      </c>
      <c r="G592" s="168">
        <f t="shared" si="50"/>
        <v>5902</v>
      </c>
      <c r="H592" s="166">
        <f t="shared" si="51"/>
        <v>1</v>
      </c>
      <c r="I592" s="166">
        <f t="shared" si="52"/>
        <v>2950</v>
      </c>
      <c r="J592" s="147">
        <v>32</v>
      </c>
      <c r="K592" s="147">
        <v>2</v>
      </c>
      <c r="L592" s="147" t="s">
        <v>656</v>
      </c>
      <c r="M592" s="147">
        <v>30</v>
      </c>
      <c r="N592" s="147">
        <v>2</v>
      </c>
      <c r="O592" s="147" t="s">
        <v>656</v>
      </c>
      <c r="P592" s="147">
        <v>101</v>
      </c>
      <c r="Q592" s="156">
        <v>470</v>
      </c>
      <c r="R592" s="157">
        <v>0</v>
      </c>
      <c r="S592" s="158" t="s">
        <v>658</v>
      </c>
      <c r="T592" s="155" t="s">
        <v>469</v>
      </c>
      <c r="U592" s="163"/>
      <c r="V592" s="147"/>
    </row>
    <row r="593" spans="1:22">
      <c r="A593" s="166">
        <v>78</v>
      </c>
      <c r="B593" s="167">
        <v>2</v>
      </c>
      <c r="C593" s="167">
        <v>101</v>
      </c>
      <c r="D593" s="166">
        <v>235</v>
      </c>
      <c r="E593" s="166">
        <v>20</v>
      </c>
      <c r="F593" s="167">
        <v>2</v>
      </c>
      <c r="G593" s="168">
        <f t="shared" si="50"/>
        <v>5902</v>
      </c>
      <c r="H593" s="166">
        <f t="shared" si="51"/>
        <v>2</v>
      </c>
      <c r="I593" s="166">
        <f t="shared" si="52"/>
        <v>5875</v>
      </c>
      <c r="J593" s="147">
        <v>32</v>
      </c>
      <c r="K593" s="147">
        <v>2</v>
      </c>
      <c r="L593" s="147" t="s">
        <v>656</v>
      </c>
      <c r="M593" s="147">
        <v>30</v>
      </c>
      <c r="N593" s="147">
        <v>2</v>
      </c>
      <c r="O593" s="147" t="s">
        <v>656</v>
      </c>
      <c r="P593" s="147">
        <v>101</v>
      </c>
      <c r="Q593" s="156">
        <v>491</v>
      </c>
      <c r="R593" s="157">
        <v>0</v>
      </c>
      <c r="S593" s="158" t="s">
        <v>658</v>
      </c>
      <c r="T593" s="155" t="s">
        <v>469</v>
      </c>
      <c r="U593" s="163"/>
      <c r="V593" s="147"/>
    </row>
    <row r="594" spans="1:22">
      <c r="A594" s="166">
        <v>78</v>
      </c>
      <c r="B594" s="167">
        <v>3</v>
      </c>
      <c r="C594" s="167">
        <v>101</v>
      </c>
      <c r="D594" s="166">
        <v>353</v>
      </c>
      <c r="E594" s="166">
        <v>30</v>
      </c>
      <c r="F594" s="167">
        <v>2</v>
      </c>
      <c r="G594" s="168">
        <f t="shared" si="50"/>
        <v>5902</v>
      </c>
      <c r="H594" s="166">
        <f t="shared" si="51"/>
        <v>3</v>
      </c>
      <c r="I594" s="166">
        <f t="shared" si="52"/>
        <v>8825</v>
      </c>
      <c r="J594" s="147">
        <v>32</v>
      </c>
      <c r="K594" s="147">
        <v>2</v>
      </c>
      <c r="L594" s="147" t="s">
        <v>656</v>
      </c>
      <c r="M594" s="147">
        <v>30</v>
      </c>
      <c r="N594" s="147">
        <v>2</v>
      </c>
      <c r="O594" s="147" t="s">
        <v>656</v>
      </c>
      <c r="P594" s="147">
        <v>101</v>
      </c>
      <c r="Q594" s="156">
        <v>527</v>
      </c>
      <c r="R594" s="157">
        <v>0</v>
      </c>
      <c r="S594" s="158" t="s">
        <v>658</v>
      </c>
      <c r="T594" s="155" t="s">
        <v>469</v>
      </c>
      <c r="U594" s="163"/>
      <c r="V594" s="147"/>
    </row>
    <row r="595" spans="1:22">
      <c r="A595" s="166">
        <v>78</v>
      </c>
      <c r="B595" s="167">
        <v>4</v>
      </c>
      <c r="C595" s="167">
        <v>101</v>
      </c>
      <c r="D595" s="166">
        <v>470</v>
      </c>
      <c r="E595" s="166">
        <v>40</v>
      </c>
      <c r="F595" s="167">
        <v>3</v>
      </c>
      <c r="G595" s="168">
        <f t="shared" si="50"/>
        <v>5902</v>
      </c>
      <c r="H595" s="166">
        <f t="shared" si="51"/>
        <v>4</v>
      </c>
      <c r="I595" s="166">
        <f t="shared" si="52"/>
        <v>11750</v>
      </c>
      <c r="J595" s="147">
        <v>32</v>
      </c>
      <c r="K595" s="147">
        <v>2</v>
      </c>
      <c r="L595" s="147" t="s">
        <v>656</v>
      </c>
      <c r="M595" s="147">
        <v>30</v>
      </c>
      <c r="N595" s="147">
        <v>2</v>
      </c>
      <c r="O595" s="147" t="s">
        <v>656</v>
      </c>
      <c r="P595" s="147">
        <v>101</v>
      </c>
      <c r="Q595" s="156">
        <v>577</v>
      </c>
      <c r="R595" s="157">
        <v>0</v>
      </c>
      <c r="S595" s="158" t="s">
        <v>658</v>
      </c>
      <c r="T595" s="155" t="s">
        <v>469</v>
      </c>
      <c r="U595" s="163"/>
      <c r="V595" s="147"/>
    </row>
    <row r="596" spans="1:22">
      <c r="A596" s="166">
        <v>78</v>
      </c>
      <c r="B596" s="167">
        <v>5</v>
      </c>
      <c r="C596" s="167">
        <v>101</v>
      </c>
      <c r="D596" s="166">
        <v>588</v>
      </c>
      <c r="E596" s="166">
        <v>50</v>
      </c>
      <c r="F596" s="167">
        <v>3</v>
      </c>
      <c r="G596" s="168">
        <f t="shared" si="50"/>
        <v>5902</v>
      </c>
      <c r="H596" s="166">
        <f t="shared" si="51"/>
        <v>6</v>
      </c>
      <c r="I596" s="166">
        <f t="shared" si="52"/>
        <v>14700</v>
      </c>
      <c r="J596" s="147">
        <v>32</v>
      </c>
      <c r="K596" s="147">
        <v>2</v>
      </c>
      <c r="L596" s="147" t="s">
        <v>656</v>
      </c>
      <c r="M596" s="147">
        <v>30</v>
      </c>
      <c r="N596" s="147">
        <v>2</v>
      </c>
      <c r="O596" s="147" t="s">
        <v>656</v>
      </c>
      <c r="P596" s="147">
        <v>101</v>
      </c>
      <c r="Q596" s="156">
        <v>641</v>
      </c>
      <c r="R596" s="157">
        <v>0</v>
      </c>
      <c r="S596" s="158" t="s">
        <v>658</v>
      </c>
      <c r="T596" s="155" t="s">
        <v>469</v>
      </c>
      <c r="U596" s="163"/>
      <c r="V596" s="147"/>
    </row>
    <row r="597" spans="1:22">
      <c r="A597" s="166">
        <v>78</v>
      </c>
      <c r="B597" s="167">
        <v>6</v>
      </c>
      <c r="C597" s="167">
        <v>101</v>
      </c>
      <c r="D597" s="166">
        <v>705</v>
      </c>
      <c r="E597" s="166">
        <v>60</v>
      </c>
      <c r="F597" s="167">
        <v>4</v>
      </c>
      <c r="G597" s="168">
        <f t="shared" si="50"/>
        <v>5902</v>
      </c>
      <c r="H597" s="166">
        <f t="shared" si="51"/>
        <v>8</v>
      </c>
      <c r="I597" s="166">
        <f t="shared" si="52"/>
        <v>17625</v>
      </c>
      <c r="J597" s="147">
        <v>32</v>
      </c>
      <c r="K597" s="147">
        <v>2</v>
      </c>
      <c r="L597" s="147" t="s">
        <v>656</v>
      </c>
      <c r="M597" s="147">
        <v>30</v>
      </c>
      <c r="N597" s="147">
        <v>2</v>
      </c>
      <c r="O597" s="147" t="s">
        <v>656</v>
      </c>
      <c r="P597" s="147">
        <v>101</v>
      </c>
      <c r="Q597" s="156">
        <v>719</v>
      </c>
      <c r="R597" s="157">
        <v>0</v>
      </c>
      <c r="S597" s="158" t="s">
        <v>658</v>
      </c>
      <c r="T597" s="155" t="s">
        <v>469</v>
      </c>
      <c r="U597" s="163"/>
      <c r="V597" s="147"/>
    </row>
    <row r="598" spans="1:22">
      <c r="A598" s="166">
        <v>78</v>
      </c>
      <c r="B598" s="167">
        <v>7</v>
      </c>
      <c r="C598" s="167">
        <v>101</v>
      </c>
      <c r="D598" s="166">
        <v>823</v>
      </c>
      <c r="E598" s="166">
        <v>70</v>
      </c>
      <c r="F598" s="167">
        <v>4</v>
      </c>
      <c r="G598" s="168">
        <f t="shared" si="50"/>
        <v>5902</v>
      </c>
      <c r="H598" s="166">
        <f t="shared" si="51"/>
        <v>10</v>
      </c>
      <c r="I598" s="166">
        <f t="shared" si="52"/>
        <v>20575</v>
      </c>
      <c r="J598" s="147">
        <v>32</v>
      </c>
      <c r="K598" s="147">
        <v>2</v>
      </c>
      <c r="L598" s="147" t="s">
        <v>656</v>
      </c>
      <c r="M598" s="147">
        <v>30</v>
      </c>
      <c r="N598" s="147">
        <v>2</v>
      </c>
      <c r="O598" s="147" t="s">
        <v>656</v>
      </c>
      <c r="P598" s="147">
        <v>101</v>
      </c>
      <c r="Q598" s="156">
        <v>812</v>
      </c>
      <c r="R598" s="157">
        <v>0</v>
      </c>
      <c r="S598" s="158" t="s">
        <v>658</v>
      </c>
      <c r="T598" s="155" t="s">
        <v>469</v>
      </c>
      <c r="U598" s="163"/>
      <c r="V598" s="147"/>
    </row>
    <row r="599" spans="1:22">
      <c r="A599" s="166">
        <v>78</v>
      </c>
      <c r="B599" s="167">
        <v>8</v>
      </c>
      <c r="C599" s="167">
        <v>101</v>
      </c>
      <c r="D599" s="166">
        <v>940</v>
      </c>
      <c r="E599" s="166">
        <v>80</v>
      </c>
      <c r="F599" s="167">
        <v>5</v>
      </c>
      <c r="G599" s="168">
        <f t="shared" si="50"/>
        <v>5902</v>
      </c>
      <c r="H599" s="166">
        <f t="shared" si="51"/>
        <v>12</v>
      </c>
      <c r="I599" s="166">
        <f t="shared" si="52"/>
        <v>23500</v>
      </c>
      <c r="J599" s="147">
        <v>32</v>
      </c>
      <c r="K599" s="147">
        <v>2</v>
      </c>
      <c r="L599" s="147" t="s">
        <v>656</v>
      </c>
      <c r="M599" s="147">
        <v>30</v>
      </c>
      <c r="N599" s="147">
        <v>2</v>
      </c>
      <c r="O599" s="147" t="s">
        <v>656</v>
      </c>
      <c r="P599" s="147">
        <v>101</v>
      </c>
      <c r="Q599" s="156">
        <v>918</v>
      </c>
      <c r="R599" s="157">
        <v>0</v>
      </c>
      <c r="S599" s="158" t="s">
        <v>658</v>
      </c>
      <c r="T599" s="155" t="s">
        <v>469</v>
      </c>
      <c r="U599" s="163"/>
      <c r="V599" s="147"/>
    </row>
    <row r="600" spans="1:22">
      <c r="A600" s="166">
        <v>78</v>
      </c>
      <c r="B600" s="167">
        <v>9</v>
      </c>
      <c r="C600" s="167">
        <v>101</v>
      </c>
      <c r="D600" s="166">
        <v>1058</v>
      </c>
      <c r="E600" s="166">
        <v>90</v>
      </c>
      <c r="F600" s="167">
        <v>5</v>
      </c>
      <c r="G600" s="168">
        <f t="shared" si="50"/>
        <v>5902</v>
      </c>
      <c r="H600" s="166">
        <f t="shared" si="51"/>
        <v>15</v>
      </c>
      <c r="I600" s="166">
        <f t="shared" si="52"/>
        <v>26450</v>
      </c>
      <c r="J600" s="147">
        <v>32</v>
      </c>
      <c r="K600" s="147">
        <v>2</v>
      </c>
      <c r="L600" s="147" t="s">
        <v>656</v>
      </c>
      <c r="M600" s="147">
        <v>30</v>
      </c>
      <c r="N600" s="147">
        <v>2</v>
      </c>
      <c r="O600" s="147" t="s">
        <v>656</v>
      </c>
      <c r="P600" s="147">
        <v>101</v>
      </c>
      <c r="Q600" s="156">
        <v>1040</v>
      </c>
      <c r="R600" s="157">
        <v>0</v>
      </c>
      <c r="S600" s="158" t="s">
        <v>658</v>
      </c>
      <c r="T600" s="155" t="s">
        <v>469</v>
      </c>
      <c r="U600" s="163"/>
      <c r="V600" s="147"/>
    </row>
    <row r="601" spans="1:22">
      <c r="A601" s="166">
        <v>78</v>
      </c>
      <c r="B601" s="167">
        <v>10</v>
      </c>
      <c r="C601" s="167">
        <v>101</v>
      </c>
      <c r="D601" s="166">
        <v>1175</v>
      </c>
      <c r="E601" s="166">
        <v>90</v>
      </c>
      <c r="F601" s="167">
        <v>6</v>
      </c>
      <c r="G601" s="168">
        <f t="shared" si="50"/>
        <v>5902</v>
      </c>
      <c r="H601" s="166">
        <f t="shared" si="51"/>
        <v>18</v>
      </c>
      <c r="I601" s="166">
        <f t="shared" si="52"/>
        <v>29375</v>
      </c>
      <c r="J601" s="147">
        <v>32</v>
      </c>
      <c r="K601" s="147">
        <v>2</v>
      </c>
      <c r="L601" s="147" t="s">
        <v>656</v>
      </c>
      <c r="M601" s="147">
        <v>30</v>
      </c>
      <c r="N601" s="147">
        <v>2</v>
      </c>
      <c r="O601" s="147" t="s">
        <v>656</v>
      </c>
      <c r="P601" s="147">
        <v>101</v>
      </c>
      <c r="Q601" s="156">
        <v>1175</v>
      </c>
      <c r="R601" s="157">
        <v>0</v>
      </c>
      <c r="S601" s="158" t="s">
        <v>658</v>
      </c>
      <c r="T601" s="155" t="s">
        <v>469</v>
      </c>
      <c r="U601" s="163"/>
      <c r="V601" s="147"/>
    </row>
    <row r="602" spans="1:22">
      <c r="A602" s="159">
        <v>79</v>
      </c>
      <c r="B602" s="160">
        <v>1</v>
      </c>
      <c r="C602" s="160">
        <v>104</v>
      </c>
      <c r="D602" s="159">
        <v>1640</v>
      </c>
      <c r="E602" s="159">
        <v>10</v>
      </c>
      <c r="F602" s="160">
        <v>1</v>
      </c>
      <c r="G602" s="161">
        <f t="shared" si="50"/>
        <v>5902</v>
      </c>
      <c r="H602" s="159">
        <f t="shared" si="51"/>
        <v>1</v>
      </c>
      <c r="I602" s="159">
        <f t="shared" si="52"/>
        <v>1640</v>
      </c>
      <c r="J602" s="147">
        <v>32</v>
      </c>
      <c r="K602" s="147">
        <v>2</v>
      </c>
      <c r="L602" s="147" t="s">
        <v>656</v>
      </c>
      <c r="M602" s="147">
        <v>31</v>
      </c>
      <c r="N602" s="147">
        <v>3</v>
      </c>
      <c r="O602" s="147" t="s">
        <v>657</v>
      </c>
      <c r="P602" s="147">
        <v>104</v>
      </c>
      <c r="Q602" s="156">
        <v>6557</v>
      </c>
      <c r="R602" s="157">
        <v>0</v>
      </c>
      <c r="S602" s="158" t="s">
        <v>658</v>
      </c>
      <c r="T602" s="155" t="s">
        <v>659</v>
      </c>
      <c r="U602" s="163"/>
      <c r="V602" s="147"/>
    </row>
    <row r="603" spans="1:22">
      <c r="A603" s="159">
        <v>79</v>
      </c>
      <c r="B603" s="160">
        <v>2</v>
      </c>
      <c r="C603" s="160">
        <v>104</v>
      </c>
      <c r="D603" s="159">
        <v>3279</v>
      </c>
      <c r="E603" s="159">
        <v>20</v>
      </c>
      <c r="F603" s="160">
        <v>2</v>
      </c>
      <c r="G603" s="161">
        <f t="shared" si="50"/>
        <v>5902</v>
      </c>
      <c r="H603" s="159">
        <f t="shared" si="51"/>
        <v>2</v>
      </c>
      <c r="I603" s="159">
        <f t="shared" si="52"/>
        <v>3279</v>
      </c>
      <c r="J603" s="147">
        <v>32</v>
      </c>
      <c r="K603" s="147">
        <v>2</v>
      </c>
      <c r="L603" s="147" t="s">
        <v>656</v>
      </c>
      <c r="M603" s="147">
        <v>31</v>
      </c>
      <c r="N603" s="147">
        <v>3</v>
      </c>
      <c r="O603" s="147" t="s">
        <v>657</v>
      </c>
      <c r="P603" s="147">
        <v>104</v>
      </c>
      <c r="Q603" s="156">
        <v>6855</v>
      </c>
      <c r="R603" s="157">
        <v>0</v>
      </c>
      <c r="S603" s="158" t="s">
        <v>658</v>
      </c>
      <c r="T603" s="155" t="s">
        <v>659</v>
      </c>
      <c r="U603" s="163"/>
      <c r="V603" s="147"/>
    </row>
    <row r="604" spans="1:22">
      <c r="A604" s="159">
        <v>79</v>
      </c>
      <c r="B604" s="160">
        <v>3</v>
      </c>
      <c r="C604" s="160">
        <v>104</v>
      </c>
      <c r="D604" s="159">
        <v>4919</v>
      </c>
      <c r="E604" s="159">
        <v>30</v>
      </c>
      <c r="F604" s="160">
        <v>2</v>
      </c>
      <c r="G604" s="161">
        <f t="shared" si="50"/>
        <v>5902</v>
      </c>
      <c r="H604" s="159">
        <f t="shared" si="51"/>
        <v>3</v>
      </c>
      <c r="I604" s="159">
        <f t="shared" si="52"/>
        <v>4919</v>
      </c>
      <c r="J604" s="147">
        <v>32</v>
      </c>
      <c r="K604" s="147">
        <v>2</v>
      </c>
      <c r="L604" s="147" t="s">
        <v>656</v>
      </c>
      <c r="M604" s="147">
        <v>31</v>
      </c>
      <c r="N604" s="147">
        <v>3</v>
      </c>
      <c r="O604" s="147" t="s">
        <v>657</v>
      </c>
      <c r="P604" s="147">
        <v>104</v>
      </c>
      <c r="Q604" s="156">
        <v>7352</v>
      </c>
      <c r="R604" s="157">
        <v>0</v>
      </c>
      <c r="S604" s="158" t="s">
        <v>658</v>
      </c>
      <c r="T604" s="155" t="s">
        <v>659</v>
      </c>
      <c r="U604" s="163"/>
      <c r="V604" s="147"/>
    </row>
    <row r="605" spans="1:22">
      <c r="A605" s="159">
        <v>79</v>
      </c>
      <c r="B605" s="160">
        <v>4</v>
      </c>
      <c r="C605" s="160">
        <v>104</v>
      </c>
      <c r="D605" s="159">
        <v>6558</v>
      </c>
      <c r="E605" s="159">
        <v>40</v>
      </c>
      <c r="F605" s="160">
        <v>3</v>
      </c>
      <c r="G605" s="161">
        <f t="shared" si="50"/>
        <v>5902</v>
      </c>
      <c r="H605" s="159">
        <f t="shared" si="51"/>
        <v>4</v>
      </c>
      <c r="I605" s="159">
        <f t="shared" si="52"/>
        <v>6558</v>
      </c>
      <c r="J605" s="147">
        <v>32</v>
      </c>
      <c r="K605" s="147">
        <v>2</v>
      </c>
      <c r="L605" s="147" t="s">
        <v>656</v>
      </c>
      <c r="M605" s="147">
        <v>31</v>
      </c>
      <c r="N605" s="147">
        <v>3</v>
      </c>
      <c r="O605" s="147" t="s">
        <v>657</v>
      </c>
      <c r="P605" s="147">
        <v>104</v>
      </c>
      <c r="Q605" s="156">
        <v>8047</v>
      </c>
      <c r="R605" s="157">
        <v>0</v>
      </c>
      <c r="S605" s="158" t="s">
        <v>658</v>
      </c>
      <c r="T605" s="155" t="s">
        <v>659</v>
      </c>
      <c r="U605" s="163"/>
      <c r="V605" s="147"/>
    </row>
    <row r="606" spans="1:22">
      <c r="A606" s="159">
        <v>79</v>
      </c>
      <c r="B606" s="160">
        <v>5</v>
      </c>
      <c r="C606" s="160">
        <v>104</v>
      </c>
      <c r="D606" s="159">
        <v>8197</v>
      </c>
      <c r="E606" s="159">
        <v>50</v>
      </c>
      <c r="F606" s="160">
        <v>3</v>
      </c>
      <c r="G606" s="161">
        <f t="shared" si="50"/>
        <v>5902</v>
      </c>
      <c r="H606" s="159">
        <f t="shared" si="51"/>
        <v>6</v>
      </c>
      <c r="I606" s="159">
        <f t="shared" si="52"/>
        <v>8197</v>
      </c>
      <c r="J606" s="147">
        <v>32</v>
      </c>
      <c r="K606" s="147">
        <v>2</v>
      </c>
      <c r="L606" s="147" t="s">
        <v>656</v>
      </c>
      <c r="M606" s="147">
        <v>31</v>
      </c>
      <c r="N606" s="147">
        <v>3</v>
      </c>
      <c r="O606" s="147" t="s">
        <v>657</v>
      </c>
      <c r="P606" s="147">
        <v>104</v>
      </c>
      <c r="Q606" s="156">
        <v>8942</v>
      </c>
      <c r="R606" s="157">
        <v>0</v>
      </c>
      <c r="S606" s="158" t="s">
        <v>658</v>
      </c>
      <c r="T606" s="155" t="s">
        <v>659</v>
      </c>
      <c r="U606" s="163"/>
      <c r="V606" s="147"/>
    </row>
    <row r="607" spans="1:22">
      <c r="A607" s="159">
        <v>79</v>
      </c>
      <c r="B607" s="160">
        <v>6</v>
      </c>
      <c r="C607" s="160">
        <v>104</v>
      </c>
      <c r="D607" s="159">
        <v>9837</v>
      </c>
      <c r="E607" s="159">
        <v>60</v>
      </c>
      <c r="F607" s="160">
        <v>4</v>
      </c>
      <c r="G607" s="161">
        <f t="shared" si="50"/>
        <v>5902</v>
      </c>
      <c r="H607" s="159">
        <f t="shared" si="51"/>
        <v>8</v>
      </c>
      <c r="I607" s="159">
        <f t="shared" si="52"/>
        <v>9837</v>
      </c>
      <c r="J607" s="147">
        <v>32</v>
      </c>
      <c r="K607" s="147">
        <v>2</v>
      </c>
      <c r="L607" s="147" t="s">
        <v>656</v>
      </c>
      <c r="M607" s="147">
        <v>31</v>
      </c>
      <c r="N607" s="147">
        <v>3</v>
      </c>
      <c r="O607" s="147" t="s">
        <v>657</v>
      </c>
      <c r="P607" s="147">
        <v>104</v>
      </c>
      <c r="Q607" s="156">
        <v>10035</v>
      </c>
      <c r="R607" s="157">
        <v>0</v>
      </c>
      <c r="S607" s="158" t="s">
        <v>658</v>
      </c>
      <c r="T607" s="155" t="s">
        <v>659</v>
      </c>
      <c r="U607" s="163"/>
      <c r="V607" s="147"/>
    </row>
    <row r="608" spans="1:22">
      <c r="A608" s="159">
        <v>79</v>
      </c>
      <c r="B608" s="160">
        <v>7</v>
      </c>
      <c r="C608" s="160">
        <v>104</v>
      </c>
      <c r="D608" s="159">
        <v>11476</v>
      </c>
      <c r="E608" s="159">
        <v>70</v>
      </c>
      <c r="F608" s="160">
        <v>4</v>
      </c>
      <c r="G608" s="161">
        <f t="shared" si="50"/>
        <v>5902</v>
      </c>
      <c r="H608" s="159">
        <f t="shared" si="51"/>
        <v>10</v>
      </c>
      <c r="I608" s="159">
        <f t="shared" si="52"/>
        <v>11476</v>
      </c>
      <c r="J608" s="147">
        <v>32</v>
      </c>
      <c r="K608" s="147">
        <v>2</v>
      </c>
      <c r="L608" s="147" t="s">
        <v>656</v>
      </c>
      <c r="M608" s="147">
        <v>31</v>
      </c>
      <c r="N608" s="147">
        <v>3</v>
      </c>
      <c r="O608" s="147" t="s">
        <v>657</v>
      </c>
      <c r="P608" s="147">
        <v>104</v>
      </c>
      <c r="Q608" s="156">
        <v>11326</v>
      </c>
      <c r="R608" s="157">
        <v>0</v>
      </c>
      <c r="S608" s="158" t="s">
        <v>658</v>
      </c>
      <c r="T608" s="155" t="s">
        <v>659</v>
      </c>
      <c r="U608" s="163"/>
      <c r="V608" s="147"/>
    </row>
    <row r="609" spans="1:22">
      <c r="A609" s="159">
        <v>79</v>
      </c>
      <c r="B609" s="160">
        <v>8</v>
      </c>
      <c r="C609" s="160">
        <v>104</v>
      </c>
      <c r="D609" s="159">
        <v>13116</v>
      </c>
      <c r="E609" s="159">
        <v>80</v>
      </c>
      <c r="F609" s="160">
        <v>5</v>
      </c>
      <c r="G609" s="161">
        <f t="shared" si="50"/>
        <v>5902</v>
      </c>
      <c r="H609" s="159">
        <f t="shared" si="51"/>
        <v>12</v>
      </c>
      <c r="I609" s="159">
        <f t="shared" si="52"/>
        <v>13116</v>
      </c>
      <c r="J609" s="147">
        <v>32</v>
      </c>
      <c r="K609" s="147">
        <v>2</v>
      </c>
      <c r="L609" s="147" t="s">
        <v>656</v>
      </c>
      <c r="M609" s="147">
        <v>31</v>
      </c>
      <c r="N609" s="147">
        <v>3</v>
      </c>
      <c r="O609" s="147" t="s">
        <v>657</v>
      </c>
      <c r="P609" s="147">
        <v>104</v>
      </c>
      <c r="Q609" s="156">
        <v>12817</v>
      </c>
      <c r="R609" s="157">
        <v>0</v>
      </c>
      <c r="S609" s="158" t="s">
        <v>658</v>
      </c>
      <c r="T609" s="155" t="s">
        <v>659</v>
      </c>
      <c r="U609" s="163"/>
      <c r="V609" s="147"/>
    </row>
    <row r="610" spans="1:22">
      <c r="A610" s="159">
        <v>79</v>
      </c>
      <c r="B610" s="160">
        <v>9</v>
      </c>
      <c r="C610" s="160">
        <v>104</v>
      </c>
      <c r="D610" s="159">
        <v>14755</v>
      </c>
      <c r="E610" s="159">
        <v>90</v>
      </c>
      <c r="F610" s="160">
        <v>5</v>
      </c>
      <c r="G610" s="161">
        <f t="shared" si="50"/>
        <v>5902</v>
      </c>
      <c r="H610" s="159">
        <f t="shared" si="51"/>
        <v>15</v>
      </c>
      <c r="I610" s="159">
        <f t="shared" si="52"/>
        <v>14755</v>
      </c>
      <c r="J610" s="147">
        <v>32</v>
      </c>
      <c r="K610" s="147">
        <v>2</v>
      </c>
      <c r="L610" s="147" t="s">
        <v>656</v>
      </c>
      <c r="M610" s="147">
        <v>31</v>
      </c>
      <c r="N610" s="147">
        <v>3</v>
      </c>
      <c r="O610" s="147" t="s">
        <v>657</v>
      </c>
      <c r="P610" s="147">
        <v>104</v>
      </c>
      <c r="Q610" s="156">
        <v>14506</v>
      </c>
      <c r="R610" s="157">
        <v>0</v>
      </c>
      <c r="S610" s="158" t="s">
        <v>658</v>
      </c>
      <c r="T610" s="155" t="s">
        <v>659</v>
      </c>
      <c r="U610" s="163"/>
      <c r="V610" s="147"/>
    </row>
    <row r="611" spans="1:22">
      <c r="A611" s="159">
        <v>79</v>
      </c>
      <c r="B611" s="160">
        <v>10</v>
      </c>
      <c r="C611" s="160">
        <v>104</v>
      </c>
      <c r="D611" s="159">
        <v>16394</v>
      </c>
      <c r="E611" s="159">
        <v>90</v>
      </c>
      <c r="F611" s="160">
        <v>6</v>
      </c>
      <c r="G611" s="161">
        <f t="shared" si="50"/>
        <v>5902</v>
      </c>
      <c r="H611" s="159">
        <f t="shared" si="51"/>
        <v>18</v>
      </c>
      <c r="I611" s="159">
        <f t="shared" si="52"/>
        <v>16394</v>
      </c>
      <c r="J611" s="147">
        <v>32</v>
      </c>
      <c r="K611" s="147">
        <v>2</v>
      </c>
      <c r="L611" s="147" t="s">
        <v>656</v>
      </c>
      <c r="M611" s="147">
        <v>31</v>
      </c>
      <c r="N611" s="147">
        <v>3</v>
      </c>
      <c r="O611" s="147" t="s">
        <v>657</v>
      </c>
      <c r="P611" s="147">
        <v>104</v>
      </c>
      <c r="Q611" s="156">
        <v>16394</v>
      </c>
      <c r="R611" s="157">
        <v>0</v>
      </c>
      <c r="S611" s="158" t="s">
        <v>658</v>
      </c>
      <c r="T611" s="155" t="s">
        <v>659</v>
      </c>
      <c r="U611" s="163"/>
      <c r="V611" s="147"/>
    </row>
    <row r="612" spans="1:22">
      <c r="A612" s="166">
        <v>80</v>
      </c>
      <c r="B612" s="167">
        <v>1</v>
      </c>
      <c r="C612" s="167">
        <v>101</v>
      </c>
      <c r="D612" s="166">
        <v>83</v>
      </c>
      <c r="E612" s="166">
        <v>10</v>
      </c>
      <c r="F612" s="167">
        <v>1</v>
      </c>
      <c r="G612" s="168">
        <f t="shared" si="50"/>
        <v>5902</v>
      </c>
      <c r="H612" s="166">
        <f t="shared" si="51"/>
        <v>1</v>
      </c>
      <c r="I612" s="166">
        <f t="shared" si="52"/>
        <v>2075</v>
      </c>
      <c r="J612" s="147">
        <v>31</v>
      </c>
      <c r="K612" s="147">
        <v>3</v>
      </c>
      <c r="L612" s="147" t="s">
        <v>657</v>
      </c>
      <c r="M612" s="147">
        <v>30</v>
      </c>
      <c r="N612" s="147">
        <v>2</v>
      </c>
      <c r="O612" s="147" t="s">
        <v>656</v>
      </c>
      <c r="P612" s="147">
        <v>101</v>
      </c>
      <c r="Q612" s="156">
        <v>331</v>
      </c>
      <c r="R612" s="157">
        <v>0</v>
      </c>
      <c r="S612" s="158" t="s">
        <v>659</v>
      </c>
      <c r="T612" s="155" t="s">
        <v>469</v>
      </c>
      <c r="U612" s="163"/>
      <c r="V612" s="147"/>
    </row>
    <row r="613" spans="1:22">
      <c r="A613" s="166">
        <v>80</v>
      </c>
      <c r="B613" s="167">
        <v>2</v>
      </c>
      <c r="C613" s="167">
        <v>101</v>
      </c>
      <c r="D613" s="166">
        <v>166</v>
      </c>
      <c r="E613" s="166">
        <v>20</v>
      </c>
      <c r="F613" s="167">
        <v>2</v>
      </c>
      <c r="G613" s="168">
        <f t="shared" si="50"/>
        <v>5902</v>
      </c>
      <c r="H613" s="166">
        <f t="shared" si="51"/>
        <v>2</v>
      </c>
      <c r="I613" s="166">
        <f t="shared" si="52"/>
        <v>4150</v>
      </c>
      <c r="J613" s="147">
        <v>31</v>
      </c>
      <c r="K613" s="147">
        <v>3</v>
      </c>
      <c r="L613" s="147" t="s">
        <v>657</v>
      </c>
      <c r="M613" s="147">
        <v>30</v>
      </c>
      <c r="N613" s="147">
        <v>2</v>
      </c>
      <c r="O613" s="147" t="s">
        <v>656</v>
      </c>
      <c r="P613" s="147">
        <v>101</v>
      </c>
      <c r="Q613" s="156">
        <v>347</v>
      </c>
      <c r="R613" s="157">
        <v>0</v>
      </c>
      <c r="S613" s="158" t="s">
        <v>659</v>
      </c>
      <c r="T613" s="155" t="s">
        <v>469</v>
      </c>
      <c r="U613" s="163"/>
      <c r="V613" s="147"/>
    </row>
    <row r="614" spans="1:22">
      <c r="A614" s="166">
        <v>80</v>
      </c>
      <c r="B614" s="167">
        <v>3</v>
      </c>
      <c r="C614" s="167">
        <v>101</v>
      </c>
      <c r="D614" s="166">
        <v>249</v>
      </c>
      <c r="E614" s="166">
        <v>30</v>
      </c>
      <c r="F614" s="167">
        <v>2</v>
      </c>
      <c r="G614" s="168">
        <f t="shared" si="50"/>
        <v>5902</v>
      </c>
      <c r="H614" s="166">
        <f t="shared" si="51"/>
        <v>3</v>
      </c>
      <c r="I614" s="166">
        <f t="shared" si="52"/>
        <v>6225</v>
      </c>
      <c r="J614" s="147">
        <v>31</v>
      </c>
      <c r="K614" s="147">
        <v>3</v>
      </c>
      <c r="L614" s="147" t="s">
        <v>657</v>
      </c>
      <c r="M614" s="147">
        <v>30</v>
      </c>
      <c r="N614" s="147">
        <v>2</v>
      </c>
      <c r="O614" s="147" t="s">
        <v>656</v>
      </c>
      <c r="P614" s="147">
        <v>101</v>
      </c>
      <c r="Q614" s="156">
        <v>372</v>
      </c>
      <c r="R614" s="157">
        <v>0</v>
      </c>
      <c r="S614" s="158" t="s">
        <v>659</v>
      </c>
      <c r="T614" s="155" t="s">
        <v>469</v>
      </c>
      <c r="U614" s="163"/>
      <c r="V614" s="147"/>
    </row>
    <row r="615" spans="1:22">
      <c r="A615" s="166">
        <v>80</v>
      </c>
      <c r="B615" s="167">
        <v>4</v>
      </c>
      <c r="C615" s="167">
        <v>101</v>
      </c>
      <c r="D615" s="166">
        <v>332</v>
      </c>
      <c r="E615" s="166">
        <v>40</v>
      </c>
      <c r="F615" s="167">
        <v>3</v>
      </c>
      <c r="G615" s="168">
        <f t="shared" si="50"/>
        <v>5902</v>
      </c>
      <c r="H615" s="166">
        <f t="shared" si="51"/>
        <v>4</v>
      </c>
      <c r="I615" s="166">
        <f t="shared" si="52"/>
        <v>8300</v>
      </c>
      <c r="J615" s="147">
        <v>31</v>
      </c>
      <c r="K615" s="147">
        <v>3</v>
      </c>
      <c r="L615" s="147" t="s">
        <v>657</v>
      </c>
      <c r="M615" s="147">
        <v>30</v>
      </c>
      <c r="N615" s="147">
        <v>2</v>
      </c>
      <c r="O615" s="147" t="s">
        <v>656</v>
      </c>
      <c r="P615" s="147">
        <v>101</v>
      </c>
      <c r="Q615" s="156">
        <v>407</v>
      </c>
      <c r="R615" s="157">
        <v>0</v>
      </c>
      <c r="S615" s="158" t="s">
        <v>659</v>
      </c>
      <c r="T615" s="155" t="s">
        <v>469</v>
      </c>
      <c r="U615" s="163"/>
      <c r="V615" s="147"/>
    </row>
    <row r="616" spans="1:22">
      <c r="A616" s="166">
        <v>80</v>
      </c>
      <c r="B616" s="167">
        <v>5</v>
      </c>
      <c r="C616" s="167">
        <v>101</v>
      </c>
      <c r="D616" s="166">
        <v>415</v>
      </c>
      <c r="E616" s="166">
        <v>50</v>
      </c>
      <c r="F616" s="167">
        <v>3</v>
      </c>
      <c r="G616" s="168">
        <f t="shared" si="50"/>
        <v>5902</v>
      </c>
      <c r="H616" s="166">
        <f t="shared" si="51"/>
        <v>6</v>
      </c>
      <c r="I616" s="166">
        <f t="shared" si="52"/>
        <v>10375</v>
      </c>
      <c r="J616" s="147">
        <v>31</v>
      </c>
      <c r="K616" s="147">
        <v>3</v>
      </c>
      <c r="L616" s="147" t="s">
        <v>657</v>
      </c>
      <c r="M616" s="147">
        <v>30</v>
      </c>
      <c r="N616" s="147">
        <v>2</v>
      </c>
      <c r="O616" s="147" t="s">
        <v>656</v>
      </c>
      <c r="P616" s="147">
        <v>101</v>
      </c>
      <c r="Q616" s="156">
        <v>452</v>
      </c>
      <c r="R616" s="157">
        <v>0</v>
      </c>
      <c r="S616" s="158" t="s">
        <v>659</v>
      </c>
      <c r="T616" s="155" t="s">
        <v>469</v>
      </c>
      <c r="U616" s="163"/>
      <c r="V616" s="147"/>
    </row>
    <row r="617" spans="1:22">
      <c r="A617" s="166">
        <v>80</v>
      </c>
      <c r="B617" s="167">
        <v>6</v>
      </c>
      <c r="C617" s="167">
        <v>101</v>
      </c>
      <c r="D617" s="166">
        <v>498</v>
      </c>
      <c r="E617" s="166">
        <v>60</v>
      </c>
      <c r="F617" s="167">
        <v>4</v>
      </c>
      <c r="G617" s="168">
        <f t="shared" si="50"/>
        <v>5902</v>
      </c>
      <c r="H617" s="166">
        <f t="shared" si="51"/>
        <v>8</v>
      </c>
      <c r="I617" s="166">
        <f t="shared" si="52"/>
        <v>12450</v>
      </c>
      <c r="J617" s="147">
        <v>31</v>
      </c>
      <c r="K617" s="147">
        <v>3</v>
      </c>
      <c r="L617" s="147" t="s">
        <v>657</v>
      </c>
      <c r="M617" s="147">
        <v>30</v>
      </c>
      <c r="N617" s="147">
        <v>2</v>
      </c>
      <c r="O617" s="147" t="s">
        <v>656</v>
      </c>
      <c r="P617" s="147">
        <v>101</v>
      </c>
      <c r="Q617" s="156">
        <v>507</v>
      </c>
      <c r="R617" s="157">
        <v>0</v>
      </c>
      <c r="S617" s="158" t="s">
        <v>659</v>
      </c>
      <c r="T617" s="155" t="s">
        <v>469</v>
      </c>
      <c r="U617" s="163"/>
      <c r="V617" s="147"/>
    </row>
    <row r="618" spans="1:22">
      <c r="A618" s="166">
        <v>80</v>
      </c>
      <c r="B618" s="167">
        <v>7</v>
      </c>
      <c r="C618" s="167">
        <v>101</v>
      </c>
      <c r="D618" s="166">
        <v>581</v>
      </c>
      <c r="E618" s="166">
        <v>70</v>
      </c>
      <c r="F618" s="167">
        <v>4</v>
      </c>
      <c r="G618" s="168">
        <f t="shared" si="50"/>
        <v>5902</v>
      </c>
      <c r="H618" s="166">
        <f t="shared" si="51"/>
        <v>10</v>
      </c>
      <c r="I618" s="166">
        <f t="shared" si="52"/>
        <v>14525</v>
      </c>
      <c r="J618" s="147">
        <v>31</v>
      </c>
      <c r="K618" s="147">
        <v>3</v>
      </c>
      <c r="L618" s="147" t="s">
        <v>657</v>
      </c>
      <c r="M618" s="147">
        <v>30</v>
      </c>
      <c r="N618" s="147">
        <v>2</v>
      </c>
      <c r="O618" s="147" t="s">
        <v>656</v>
      </c>
      <c r="P618" s="147">
        <v>101</v>
      </c>
      <c r="Q618" s="156">
        <v>573</v>
      </c>
      <c r="R618" s="157">
        <v>0</v>
      </c>
      <c r="S618" s="158" t="s">
        <v>659</v>
      </c>
      <c r="T618" s="155" t="s">
        <v>469</v>
      </c>
      <c r="U618" s="163"/>
      <c r="V618" s="147"/>
    </row>
    <row r="619" spans="1:22">
      <c r="A619" s="166">
        <v>80</v>
      </c>
      <c r="B619" s="167">
        <v>8</v>
      </c>
      <c r="C619" s="167">
        <v>101</v>
      </c>
      <c r="D619" s="166">
        <v>664</v>
      </c>
      <c r="E619" s="166">
        <v>80</v>
      </c>
      <c r="F619" s="167">
        <v>5</v>
      </c>
      <c r="G619" s="168">
        <f t="shared" si="50"/>
        <v>5902</v>
      </c>
      <c r="H619" s="166">
        <f t="shared" si="51"/>
        <v>12</v>
      </c>
      <c r="I619" s="166">
        <f t="shared" si="52"/>
        <v>16600</v>
      </c>
      <c r="J619" s="147">
        <v>31</v>
      </c>
      <c r="K619" s="147">
        <v>3</v>
      </c>
      <c r="L619" s="147" t="s">
        <v>657</v>
      </c>
      <c r="M619" s="147">
        <v>30</v>
      </c>
      <c r="N619" s="147">
        <v>2</v>
      </c>
      <c r="O619" s="147" t="s">
        <v>656</v>
      </c>
      <c r="P619" s="147">
        <v>101</v>
      </c>
      <c r="Q619" s="156">
        <v>648</v>
      </c>
      <c r="R619" s="157">
        <v>0</v>
      </c>
      <c r="S619" s="158" t="s">
        <v>659</v>
      </c>
      <c r="T619" s="155" t="s">
        <v>469</v>
      </c>
      <c r="U619" s="163"/>
      <c r="V619" s="147"/>
    </row>
    <row r="620" spans="1:22">
      <c r="A620" s="166">
        <v>80</v>
      </c>
      <c r="B620" s="167">
        <v>9</v>
      </c>
      <c r="C620" s="167">
        <v>101</v>
      </c>
      <c r="D620" s="166">
        <v>747</v>
      </c>
      <c r="E620" s="166">
        <v>90</v>
      </c>
      <c r="F620" s="167">
        <v>5</v>
      </c>
      <c r="G620" s="168">
        <f t="shared" si="50"/>
        <v>5902</v>
      </c>
      <c r="H620" s="166">
        <f t="shared" si="51"/>
        <v>15</v>
      </c>
      <c r="I620" s="166">
        <f t="shared" si="52"/>
        <v>18675</v>
      </c>
      <c r="J620" s="147">
        <v>31</v>
      </c>
      <c r="K620" s="147">
        <v>3</v>
      </c>
      <c r="L620" s="147" t="s">
        <v>657</v>
      </c>
      <c r="M620" s="147">
        <v>30</v>
      </c>
      <c r="N620" s="147">
        <v>2</v>
      </c>
      <c r="O620" s="147" t="s">
        <v>656</v>
      </c>
      <c r="P620" s="147">
        <v>101</v>
      </c>
      <c r="Q620" s="156">
        <v>734</v>
      </c>
      <c r="R620" s="157">
        <v>0</v>
      </c>
      <c r="S620" s="158" t="s">
        <v>659</v>
      </c>
      <c r="T620" s="155" t="s">
        <v>469</v>
      </c>
      <c r="U620" s="163"/>
      <c r="V620" s="147"/>
    </row>
    <row r="621" spans="1:22">
      <c r="A621" s="166">
        <v>80</v>
      </c>
      <c r="B621" s="167">
        <v>10</v>
      </c>
      <c r="C621" s="167">
        <v>101</v>
      </c>
      <c r="D621" s="166">
        <v>829</v>
      </c>
      <c r="E621" s="166">
        <v>90</v>
      </c>
      <c r="F621" s="167">
        <v>6</v>
      </c>
      <c r="G621" s="168">
        <f t="shared" si="50"/>
        <v>5902</v>
      </c>
      <c r="H621" s="166">
        <f t="shared" si="51"/>
        <v>18</v>
      </c>
      <c r="I621" s="166">
        <f t="shared" si="52"/>
        <v>20725</v>
      </c>
      <c r="J621" s="147">
        <v>31</v>
      </c>
      <c r="K621" s="147">
        <v>3</v>
      </c>
      <c r="L621" s="147" t="s">
        <v>657</v>
      </c>
      <c r="M621" s="147">
        <v>30</v>
      </c>
      <c r="N621" s="147">
        <v>2</v>
      </c>
      <c r="O621" s="147" t="s">
        <v>656</v>
      </c>
      <c r="P621" s="147">
        <v>101</v>
      </c>
      <c r="Q621" s="156">
        <v>829</v>
      </c>
      <c r="R621" s="157">
        <v>0</v>
      </c>
      <c r="S621" s="158" t="s">
        <v>659</v>
      </c>
      <c r="T621" s="155" t="s">
        <v>469</v>
      </c>
      <c r="U621" s="163"/>
      <c r="V621" s="147"/>
    </row>
    <row r="622" spans="1:22">
      <c r="A622" s="159">
        <v>81</v>
      </c>
      <c r="B622" s="160">
        <v>1</v>
      </c>
      <c r="C622" s="160">
        <v>102</v>
      </c>
      <c r="D622" s="159">
        <v>92</v>
      </c>
      <c r="E622" s="159">
        <v>10</v>
      </c>
      <c r="F622" s="160">
        <v>1</v>
      </c>
      <c r="G622" s="161">
        <f t="shared" si="50"/>
        <v>5902</v>
      </c>
      <c r="H622" s="159">
        <f t="shared" si="51"/>
        <v>1</v>
      </c>
      <c r="I622" s="159">
        <f t="shared" si="52"/>
        <v>2300</v>
      </c>
      <c r="J622" s="147">
        <v>31</v>
      </c>
      <c r="K622" s="147">
        <v>3</v>
      </c>
      <c r="L622" s="147" t="s">
        <v>657</v>
      </c>
      <c r="M622" s="147">
        <v>10</v>
      </c>
      <c r="N622" s="147">
        <v>1</v>
      </c>
      <c r="O622" s="147" t="s">
        <v>655</v>
      </c>
      <c r="P622" s="147">
        <v>102</v>
      </c>
      <c r="Q622" s="156">
        <v>367</v>
      </c>
      <c r="R622" s="157">
        <v>0</v>
      </c>
      <c r="S622" s="158" t="s">
        <v>659</v>
      </c>
      <c r="T622" s="155" t="s">
        <v>398</v>
      </c>
      <c r="U622" s="163"/>
      <c r="V622" s="147"/>
    </row>
    <row r="623" spans="1:22">
      <c r="A623" s="159">
        <v>81</v>
      </c>
      <c r="B623" s="160">
        <v>2</v>
      </c>
      <c r="C623" s="160">
        <v>102</v>
      </c>
      <c r="D623" s="159">
        <v>184</v>
      </c>
      <c r="E623" s="159">
        <v>20</v>
      </c>
      <c r="F623" s="160">
        <v>2</v>
      </c>
      <c r="G623" s="161">
        <f t="shared" si="50"/>
        <v>5902</v>
      </c>
      <c r="H623" s="159">
        <f t="shared" si="51"/>
        <v>2</v>
      </c>
      <c r="I623" s="159">
        <f t="shared" si="52"/>
        <v>4600</v>
      </c>
      <c r="J623" s="147">
        <v>31</v>
      </c>
      <c r="K623" s="147">
        <v>3</v>
      </c>
      <c r="L623" s="147" t="s">
        <v>657</v>
      </c>
      <c r="M623" s="147">
        <v>10</v>
      </c>
      <c r="N623" s="147">
        <v>1</v>
      </c>
      <c r="O623" s="147" t="s">
        <v>655</v>
      </c>
      <c r="P623" s="147">
        <v>102</v>
      </c>
      <c r="Q623" s="156">
        <v>384</v>
      </c>
      <c r="R623" s="157">
        <v>0</v>
      </c>
      <c r="S623" s="158" t="s">
        <v>659</v>
      </c>
      <c r="T623" s="155" t="s">
        <v>398</v>
      </c>
      <c r="U623" s="163"/>
      <c r="V623" s="147"/>
    </row>
    <row r="624" spans="1:22">
      <c r="A624" s="159">
        <v>81</v>
      </c>
      <c r="B624" s="160">
        <v>3</v>
      </c>
      <c r="C624" s="160">
        <v>102</v>
      </c>
      <c r="D624" s="159">
        <v>276</v>
      </c>
      <c r="E624" s="159">
        <v>30</v>
      </c>
      <c r="F624" s="160">
        <v>2</v>
      </c>
      <c r="G624" s="161">
        <f t="shared" si="50"/>
        <v>5902</v>
      </c>
      <c r="H624" s="159">
        <f t="shared" si="51"/>
        <v>3</v>
      </c>
      <c r="I624" s="159">
        <f t="shared" si="52"/>
        <v>6900</v>
      </c>
      <c r="J624" s="147">
        <v>31</v>
      </c>
      <c r="K624" s="147">
        <v>3</v>
      </c>
      <c r="L624" s="147" t="s">
        <v>657</v>
      </c>
      <c r="M624" s="147">
        <v>10</v>
      </c>
      <c r="N624" s="147">
        <v>1</v>
      </c>
      <c r="O624" s="147" t="s">
        <v>655</v>
      </c>
      <c r="P624" s="147">
        <v>102</v>
      </c>
      <c r="Q624" s="156">
        <v>412</v>
      </c>
      <c r="R624" s="157">
        <v>0</v>
      </c>
      <c r="S624" s="158" t="s">
        <v>659</v>
      </c>
      <c r="T624" s="155" t="s">
        <v>398</v>
      </c>
      <c r="U624" s="163"/>
      <c r="V624" s="147"/>
    </row>
    <row r="625" spans="1:22">
      <c r="A625" s="159">
        <v>81</v>
      </c>
      <c r="B625" s="160">
        <v>4</v>
      </c>
      <c r="C625" s="160">
        <v>102</v>
      </c>
      <c r="D625" s="159">
        <v>368</v>
      </c>
      <c r="E625" s="159">
        <v>40</v>
      </c>
      <c r="F625" s="160">
        <v>3</v>
      </c>
      <c r="G625" s="161">
        <f t="shared" si="50"/>
        <v>5902</v>
      </c>
      <c r="H625" s="159">
        <f t="shared" si="51"/>
        <v>4</v>
      </c>
      <c r="I625" s="159">
        <f t="shared" si="52"/>
        <v>9200</v>
      </c>
      <c r="J625" s="147">
        <v>31</v>
      </c>
      <c r="K625" s="147">
        <v>3</v>
      </c>
      <c r="L625" s="147" t="s">
        <v>657</v>
      </c>
      <c r="M625" s="147">
        <v>10</v>
      </c>
      <c r="N625" s="147">
        <v>1</v>
      </c>
      <c r="O625" s="147" t="s">
        <v>655</v>
      </c>
      <c r="P625" s="147">
        <v>102</v>
      </c>
      <c r="Q625" s="156">
        <v>451</v>
      </c>
      <c r="R625" s="157">
        <v>0</v>
      </c>
      <c r="S625" s="158" t="s">
        <v>659</v>
      </c>
      <c r="T625" s="155" t="s">
        <v>398</v>
      </c>
      <c r="U625" s="163"/>
      <c r="V625" s="147"/>
    </row>
    <row r="626" spans="1:22">
      <c r="A626" s="159">
        <v>81</v>
      </c>
      <c r="B626" s="160">
        <v>5</v>
      </c>
      <c r="C626" s="160">
        <v>102</v>
      </c>
      <c r="D626" s="159">
        <v>460</v>
      </c>
      <c r="E626" s="159">
        <v>50</v>
      </c>
      <c r="F626" s="160">
        <v>3</v>
      </c>
      <c r="G626" s="161">
        <f t="shared" si="50"/>
        <v>5902</v>
      </c>
      <c r="H626" s="159">
        <f t="shared" si="51"/>
        <v>6</v>
      </c>
      <c r="I626" s="159">
        <f t="shared" si="52"/>
        <v>11500</v>
      </c>
      <c r="J626" s="147">
        <v>31</v>
      </c>
      <c r="K626" s="147">
        <v>3</v>
      </c>
      <c r="L626" s="147" t="s">
        <v>657</v>
      </c>
      <c r="M626" s="147">
        <v>10</v>
      </c>
      <c r="N626" s="147">
        <v>1</v>
      </c>
      <c r="O626" s="147" t="s">
        <v>655</v>
      </c>
      <c r="P626" s="147">
        <v>102</v>
      </c>
      <c r="Q626" s="156">
        <v>501</v>
      </c>
      <c r="R626" s="157">
        <v>0</v>
      </c>
      <c r="S626" s="158" t="s">
        <v>659</v>
      </c>
      <c r="T626" s="155" t="s">
        <v>398</v>
      </c>
      <c r="U626" s="163"/>
      <c r="V626" s="147"/>
    </row>
    <row r="627" spans="1:22">
      <c r="A627" s="159">
        <v>81</v>
      </c>
      <c r="B627" s="160">
        <v>6</v>
      </c>
      <c r="C627" s="160">
        <v>102</v>
      </c>
      <c r="D627" s="159">
        <v>552</v>
      </c>
      <c r="E627" s="159">
        <v>60</v>
      </c>
      <c r="F627" s="160">
        <v>4</v>
      </c>
      <c r="G627" s="161">
        <f t="shared" si="50"/>
        <v>5902</v>
      </c>
      <c r="H627" s="159">
        <f t="shared" si="51"/>
        <v>8</v>
      </c>
      <c r="I627" s="159">
        <f t="shared" si="52"/>
        <v>13800</v>
      </c>
      <c r="J627" s="147">
        <v>31</v>
      </c>
      <c r="K627" s="147">
        <v>3</v>
      </c>
      <c r="L627" s="147" t="s">
        <v>657</v>
      </c>
      <c r="M627" s="147">
        <v>10</v>
      </c>
      <c r="N627" s="147">
        <v>1</v>
      </c>
      <c r="O627" s="147" t="s">
        <v>655</v>
      </c>
      <c r="P627" s="147">
        <v>102</v>
      </c>
      <c r="Q627" s="156">
        <v>562</v>
      </c>
      <c r="R627" s="157">
        <v>0</v>
      </c>
      <c r="S627" s="158" t="s">
        <v>659</v>
      </c>
      <c r="T627" s="155" t="s">
        <v>398</v>
      </c>
      <c r="U627" s="163"/>
      <c r="V627" s="147"/>
    </row>
    <row r="628" spans="1:22">
      <c r="A628" s="159">
        <v>81</v>
      </c>
      <c r="B628" s="160">
        <v>7</v>
      </c>
      <c r="C628" s="160">
        <v>102</v>
      </c>
      <c r="D628" s="159">
        <v>644</v>
      </c>
      <c r="E628" s="159">
        <v>70</v>
      </c>
      <c r="F628" s="160">
        <v>4</v>
      </c>
      <c r="G628" s="161">
        <f t="shared" si="50"/>
        <v>5902</v>
      </c>
      <c r="H628" s="159">
        <f t="shared" si="51"/>
        <v>10</v>
      </c>
      <c r="I628" s="159">
        <f t="shared" si="52"/>
        <v>16100</v>
      </c>
      <c r="J628" s="147">
        <v>31</v>
      </c>
      <c r="K628" s="147">
        <v>3</v>
      </c>
      <c r="L628" s="147" t="s">
        <v>657</v>
      </c>
      <c r="M628" s="147">
        <v>10</v>
      </c>
      <c r="N628" s="147">
        <v>1</v>
      </c>
      <c r="O628" s="147" t="s">
        <v>655</v>
      </c>
      <c r="P628" s="147">
        <v>102</v>
      </c>
      <c r="Q628" s="156">
        <v>635</v>
      </c>
      <c r="R628" s="157">
        <v>0</v>
      </c>
      <c r="S628" s="158" t="s">
        <v>659</v>
      </c>
      <c r="T628" s="155" t="s">
        <v>398</v>
      </c>
      <c r="U628" s="163"/>
      <c r="V628" s="147"/>
    </row>
    <row r="629" spans="1:22">
      <c r="A629" s="159">
        <v>81</v>
      </c>
      <c r="B629" s="160">
        <v>8</v>
      </c>
      <c r="C629" s="160">
        <v>102</v>
      </c>
      <c r="D629" s="159">
        <v>736</v>
      </c>
      <c r="E629" s="159">
        <v>80</v>
      </c>
      <c r="F629" s="160">
        <v>5</v>
      </c>
      <c r="G629" s="161">
        <f t="shared" si="50"/>
        <v>5902</v>
      </c>
      <c r="H629" s="159">
        <f t="shared" si="51"/>
        <v>12</v>
      </c>
      <c r="I629" s="159">
        <f t="shared" si="52"/>
        <v>18400</v>
      </c>
      <c r="J629" s="147">
        <v>31</v>
      </c>
      <c r="K629" s="147">
        <v>3</v>
      </c>
      <c r="L629" s="147" t="s">
        <v>657</v>
      </c>
      <c r="M629" s="147">
        <v>10</v>
      </c>
      <c r="N629" s="147">
        <v>1</v>
      </c>
      <c r="O629" s="147" t="s">
        <v>655</v>
      </c>
      <c r="P629" s="147">
        <v>102</v>
      </c>
      <c r="Q629" s="156">
        <v>718</v>
      </c>
      <c r="R629" s="157">
        <v>0</v>
      </c>
      <c r="S629" s="158" t="s">
        <v>659</v>
      </c>
      <c r="T629" s="155" t="s">
        <v>398</v>
      </c>
      <c r="U629" s="163"/>
      <c r="V629" s="147"/>
    </row>
    <row r="630" spans="1:22">
      <c r="A630" s="159">
        <v>81</v>
      </c>
      <c r="B630" s="160">
        <v>9</v>
      </c>
      <c r="C630" s="160">
        <v>102</v>
      </c>
      <c r="D630" s="159">
        <v>828</v>
      </c>
      <c r="E630" s="159">
        <v>90</v>
      </c>
      <c r="F630" s="160">
        <v>5</v>
      </c>
      <c r="G630" s="161">
        <f t="shared" si="50"/>
        <v>5902</v>
      </c>
      <c r="H630" s="159">
        <f t="shared" si="51"/>
        <v>15</v>
      </c>
      <c r="I630" s="159">
        <f t="shared" si="52"/>
        <v>20700</v>
      </c>
      <c r="J630" s="147">
        <v>31</v>
      </c>
      <c r="K630" s="147">
        <v>3</v>
      </c>
      <c r="L630" s="147" t="s">
        <v>657</v>
      </c>
      <c r="M630" s="147">
        <v>10</v>
      </c>
      <c r="N630" s="147">
        <v>1</v>
      </c>
      <c r="O630" s="147" t="s">
        <v>655</v>
      </c>
      <c r="P630" s="147">
        <v>102</v>
      </c>
      <c r="Q630" s="156">
        <v>813</v>
      </c>
      <c r="R630" s="157">
        <v>0</v>
      </c>
      <c r="S630" s="158" t="s">
        <v>659</v>
      </c>
      <c r="T630" s="155" t="s">
        <v>398</v>
      </c>
      <c r="U630" s="163"/>
      <c r="V630" s="147"/>
    </row>
    <row r="631" spans="1:22">
      <c r="A631" s="159">
        <v>81</v>
      </c>
      <c r="B631" s="160">
        <v>10</v>
      </c>
      <c r="C631" s="160">
        <v>102</v>
      </c>
      <c r="D631" s="159">
        <v>919</v>
      </c>
      <c r="E631" s="159">
        <v>90</v>
      </c>
      <c r="F631" s="160">
        <v>6</v>
      </c>
      <c r="G631" s="161">
        <f t="shared" si="50"/>
        <v>5902</v>
      </c>
      <c r="H631" s="159">
        <f t="shared" si="51"/>
        <v>18</v>
      </c>
      <c r="I631" s="159">
        <f t="shared" si="52"/>
        <v>22975</v>
      </c>
      <c r="J631" s="147">
        <v>31</v>
      </c>
      <c r="K631" s="147">
        <v>3</v>
      </c>
      <c r="L631" s="147" t="s">
        <v>657</v>
      </c>
      <c r="M631" s="147">
        <v>10</v>
      </c>
      <c r="N631" s="147">
        <v>1</v>
      </c>
      <c r="O631" s="147" t="s">
        <v>655</v>
      </c>
      <c r="P631" s="147">
        <v>102</v>
      </c>
      <c r="Q631" s="156">
        <v>919</v>
      </c>
      <c r="R631" s="157">
        <v>0</v>
      </c>
      <c r="S631" s="158" t="s">
        <v>659</v>
      </c>
      <c r="T631" s="155" t="s">
        <v>398</v>
      </c>
      <c r="U631" s="163"/>
      <c r="V631" s="147"/>
    </row>
    <row r="632" spans="1:22">
      <c r="A632" s="166">
        <v>82</v>
      </c>
      <c r="B632" s="167">
        <v>1</v>
      </c>
      <c r="C632" s="167">
        <v>102</v>
      </c>
      <c r="D632" s="166">
        <v>92</v>
      </c>
      <c r="E632" s="166">
        <v>10</v>
      </c>
      <c r="F632" s="167">
        <v>1</v>
      </c>
      <c r="G632" s="168">
        <f t="shared" si="50"/>
        <v>5902</v>
      </c>
      <c r="H632" s="166">
        <f t="shared" si="51"/>
        <v>1</v>
      </c>
      <c r="I632" s="166">
        <f t="shared" si="52"/>
        <v>2300</v>
      </c>
      <c r="J632" s="147">
        <v>31</v>
      </c>
      <c r="K632" s="147">
        <v>3</v>
      </c>
      <c r="L632" s="147" t="s">
        <v>657</v>
      </c>
      <c r="M632" s="147">
        <v>1</v>
      </c>
      <c r="N632" s="147">
        <v>1</v>
      </c>
      <c r="O632" s="147" t="s">
        <v>655</v>
      </c>
      <c r="P632" s="147">
        <v>102</v>
      </c>
      <c r="Q632" s="156">
        <v>367</v>
      </c>
      <c r="R632" s="157">
        <v>0</v>
      </c>
      <c r="S632" s="158" t="s">
        <v>659</v>
      </c>
      <c r="T632" s="155" t="s">
        <v>391</v>
      </c>
      <c r="U632" s="163"/>
      <c r="V632" s="147"/>
    </row>
    <row r="633" spans="1:22">
      <c r="A633" s="166">
        <v>82</v>
      </c>
      <c r="B633" s="167">
        <v>2</v>
      </c>
      <c r="C633" s="167">
        <v>102</v>
      </c>
      <c r="D633" s="166">
        <v>184</v>
      </c>
      <c r="E633" s="166">
        <v>20</v>
      </c>
      <c r="F633" s="167">
        <v>2</v>
      </c>
      <c r="G633" s="168">
        <f t="shared" si="50"/>
        <v>5902</v>
      </c>
      <c r="H633" s="166">
        <f t="shared" si="51"/>
        <v>2</v>
      </c>
      <c r="I633" s="166">
        <f t="shared" si="52"/>
        <v>4600</v>
      </c>
      <c r="J633" s="147">
        <v>31</v>
      </c>
      <c r="K633" s="147">
        <v>3</v>
      </c>
      <c r="L633" s="147" t="s">
        <v>657</v>
      </c>
      <c r="M633" s="147">
        <v>1</v>
      </c>
      <c r="N633" s="147">
        <v>1</v>
      </c>
      <c r="O633" s="147" t="s">
        <v>655</v>
      </c>
      <c r="P633" s="147">
        <v>102</v>
      </c>
      <c r="Q633" s="156">
        <v>384</v>
      </c>
      <c r="R633" s="157">
        <v>0</v>
      </c>
      <c r="S633" s="158" t="s">
        <v>659</v>
      </c>
      <c r="T633" s="155" t="s">
        <v>391</v>
      </c>
      <c r="U633" s="163"/>
      <c r="V633" s="147"/>
    </row>
    <row r="634" spans="1:22">
      <c r="A634" s="166">
        <v>82</v>
      </c>
      <c r="B634" s="167">
        <v>3</v>
      </c>
      <c r="C634" s="167">
        <v>102</v>
      </c>
      <c r="D634" s="166">
        <v>276</v>
      </c>
      <c r="E634" s="166">
        <v>30</v>
      </c>
      <c r="F634" s="167">
        <v>2</v>
      </c>
      <c r="G634" s="168">
        <f t="shared" si="50"/>
        <v>5902</v>
      </c>
      <c r="H634" s="166">
        <f t="shared" si="51"/>
        <v>3</v>
      </c>
      <c r="I634" s="166">
        <f t="shared" si="52"/>
        <v>6900</v>
      </c>
      <c r="J634" s="147">
        <v>31</v>
      </c>
      <c r="K634" s="147">
        <v>3</v>
      </c>
      <c r="L634" s="147" t="s">
        <v>657</v>
      </c>
      <c r="M634" s="147">
        <v>1</v>
      </c>
      <c r="N634" s="147">
        <v>1</v>
      </c>
      <c r="O634" s="147" t="s">
        <v>655</v>
      </c>
      <c r="P634" s="147">
        <v>102</v>
      </c>
      <c r="Q634" s="156">
        <v>412</v>
      </c>
      <c r="R634" s="157">
        <v>0</v>
      </c>
      <c r="S634" s="158" t="s">
        <v>659</v>
      </c>
      <c r="T634" s="155" t="s">
        <v>391</v>
      </c>
      <c r="U634" s="163"/>
      <c r="V634" s="147"/>
    </row>
    <row r="635" spans="1:22">
      <c r="A635" s="166">
        <v>82</v>
      </c>
      <c r="B635" s="167">
        <v>4</v>
      </c>
      <c r="C635" s="167">
        <v>102</v>
      </c>
      <c r="D635" s="166">
        <v>368</v>
      </c>
      <c r="E635" s="166">
        <v>40</v>
      </c>
      <c r="F635" s="167">
        <v>3</v>
      </c>
      <c r="G635" s="168">
        <f t="shared" si="50"/>
        <v>5902</v>
      </c>
      <c r="H635" s="166">
        <f t="shared" si="51"/>
        <v>4</v>
      </c>
      <c r="I635" s="166">
        <f t="shared" si="52"/>
        <v>9200</v>
      </c>
      <c r="J635" s="147">
        <v>31</v>
      </c>
      <c r="K635" s="147">
        <v>3</v>
      </c>
      <c r="L635" s="147" t="s">
        <v>657</v>
      </c>
      <c r="M635" s="147">
        <v>1</v>
      </c>
      <c r="N635" s="147">
        <v>1</v>
      </c>
      <c r="O635" s="147" t="s">
        <v>655</v>
      </c>
      <c r="P635" s="147">
        <v>102</v>
      </c>
      <c r="Q635" s="156">
        <v>451</v>
      </c>
      <c r="R635" s="157">
        <v>0</v>
      </c>
      <c r="S635" s="158" t="s">
        <v>659</v>
      </c>
      <c r="T635" s="155" t="s">
        <v>391</v>
      </c>
      <c r="U635" s="163"/>
      <c r="V635" s="147"/>
    </row>
    <row r="636" spans="1:22">
      <c r="A636" s="166">
        <v>82</v>
      </c>
      <c r="B636" s="167">
        <v>5</v>
      </c>
      <c r="C636" s="167">
        <v>102</v>
      </c>
      <c r="D636" s="166">
        <v>460</v>
      </c>
      <c r="E636" s="166">
        <v>50</v>
      </c>
      <c r="F636" s="167">
        <v>3</v>
      </c>
      <c r="G636" s="168">
        <f t="shared" si="50"/>
        <v>5902</v>
      </c>
      <c r="H636" s="166">
        <f t="shared" si="51"/>
        <v>6</v>
      </c>
      <c r="I636" s="166">
        <f t="shared" si="52"/>
        <v>11500</v>
      </c>
      <c r="J636" s="147">
        <v>31</v>
      </c>
      <c r="K636" s="147">
        <v>3</v>
      </c>
      <c r="L636" s="147" t="s">
        <v>657</v>
      </c>
      <c r="M636" s="147">
        <v>1</v>
      </c>
      <c r="N636" s="147">
        <v>1</v>
      </c>
      <c r="O636" s="147" t="s">
        <v>655</v>
      </c>
      <c r="P636" s="147">
        <v>102</v>
      </c>
      <c r="Q636" s="156">
        <v>501</v>
      </c>
      <c r="R636" s="157">
        <v>0</v>
      </c>
      <c r="S636" s="158" t="s">
        <v>659</v>
      </c>
      <c r="T636" s="155" t="s">
        <v>391</v>
      </c>
      <c r="U636" s="163"/>
      <c r="V636" s="147"/>
    </row>
    <row r="637" spans="1:22">
      <c r="A637" s="166">
        <v>82</v>
      </c>
      <c r="B637" s="167">
        <v>6</v>
      </c>
      <c r="C637" s="167">
        <v>102</v>
      </c>
      <c r="D637" s="166">
        <v>552</v>
      </c>
      <c r="E637" s="166">
        <v>60</v>
      </c>
      <c r="F637" s="167">
        <v>4</v>
      </c>
      <c r="G637" s="168">
        <f t="shared" si="50"/>
        <v>5902</v>
      </c>
      <c r="H637" s="166">
        <f t="shared" si="51"/>
        <v>8</v>
      </c>
      <c r="I637" s="166">
        <f t="shared" si="52"/>
        <v>13800</v>
      </c>
      <c r="J637" s="147">
        <v>31</v>
      </c>
      <c r="K637" s="147">
        <v>3</v>
      </c>
      <c r="L637" s="147" t="s">
        <v>657</v>
      </c>
      <c r="M637" s="147">
        <v>1</v>
      </c>
      <c r="N637" s="147">
        <v>1</v>
      </c>
      <c r="O637" s="147" t="s">
        <v>655</v>
      </c>
      <c r="P637" s="147">
        <v>102</v>
      </c>
      <c r="Q637" s="156">
        <v>562</v>
      </c>
      <c r="R637" s="157">
        <v>0</v>
      </c>
      <c r="S637" s="158" t="s">
        <v>659</v>
      </c>
      <c r="T637" s="155" t="s">
        <v>391</v>
      </c>
      <c r="U637" s="163"/>
      <c r="V637" s="147"/>
    </row>
    <row r="638" spans="1:22">
      <c r="A638" s="166">
        <v>82</v>
      </c>
      <c r="B638" s="167">
        <v>7</v>
      </c>
      <c r="C638" s="167">
        <v>102</v>
      </c>
      <c r="D638" s="166">
        <v>644</v>
      </c>
      <c r="E638" s="166">
        <v>70</v>
      </c>
      <c r="F638" s="167">
        <v>4</v>
      </c>
      <c r="G638" s="168">
        <f t="shared" si="50"/>
        <v>5902</v>
      </c>
      <c r="H638" s="166">
        <f t="shared" si="51"/>
        <v>10</v>
      </c>
      <c r="I638" s="166">
        <f t="shared" si="52"/>
        <v>16100</v>
      </c>
      <c r="J638" s="147">
        <v>31</v>
      </c>
      <c r="K638" s="147">
        <v>3</v>
      </c>
      <c r="L638" s="147" t="s">
        <v>657</v>
      </c>
      <c r="M638" s="147">
        <v>1</v>
      </c>
      <c r="N638" s="147">
        <v>1</v>
      </c>
      <c r="O638" s="147" t="s">
        <v>655</v>
      </c>
      <c r="P638" s="147">
        <v>102</v>
      </c>
      <c r="Q638" s="156">
        <v>635</v>
      </c>
      <c r="R638" s="157">
        <v>0</v>
      </c>
      <c r="S638" s="158" t="s">
        <v>659</v>
      </c>
      <c r="T638" s="155" t="s">
        <v>391</v>
      </c>
      <c r="U638" s="163"/>
      <c r="V638" s="147"/>
    </row>
    <row r="639" spans="1:22">
      <c r="A639" s="166">
        <v>82</v>
      </c>
      <c r="B639" s="167">
        <v>8</v>
      </c>
      <c r="C639" s="167">
        <v>102</v>
      </c>
      <c r="D639" s="166">
        <v>736</v>
      </c>
      <c r="E639" s="166">
        <v>80</v>
      </c>
      <c r="F639" s="167">
        <v>5</v>
      </c>
      <c r="G639" s="168">
        <f t="shared" si="50"/>
        <v>5902</v>
      </c>
      <c r="H639" s="166">
        <f t="shared" si="51"/>
        <v>12</v>
      </c>
      <c r="I639" s="166">
        <f t="shared" si="52"/>
        <v>18400</v>
      </c>
      <c r="J639" s="147">
        <v>31</v>
      </c>
      <c r="K639" s="147">
        <v>3</v>
      </c>
      <c r="L639" s="147" t="s">
        <v>657</v>
      </c>
      <c r="M639" s="147">
        <v>1</v>
      </c>
      <c r="N639" s="147">
        <v>1</v>
      </c>
      <c r="O639" s="147" t="s">
        <v>655</v>
      </c>
      <c r="P639" s="147">
        <v>102</v>
      </c>
      <c r="Q639" s="156">
        <v>718</v>
      </c>
      <c r="R639" s="157">
        <v>0</v>
      </c>
      <c r="S639" s="158" t="s">
        <v>659</v>
      </c>
      <c r="T639" s="155" t="s">
        <v>391</v>
      </c>
      <c r="U639" s="163"/>
      <c r="V639" s="147"/>
    </row>
    <row r="640" spans="1:22">
      <c r="A640" s="166">
        <v>82</v>
      </c>
      <c r="B640" s="167">
        <v>9</v>
      </c>
      <c r="C640" s="167">
        <v>102</v>
      </c>
      <c r="D640" s="166">
        <v>828</v>
      </c>
      <c r="E640" s="166">
        <v>90</v>
      </c>
      <c r="F640" s="167">
        <v>5</v>
      </c>
      <c r="G640" s="168">
        <f t="shared" si="50"/>
        <v>5902</v>
      </c>
      <c r="H640" s="166">
        <f t="shared" si="51"/>
        <v>15</v>
      </c>
      <c r="I640" s="166">
        <f t="shared" si="52"/>
        <v>20700</v>
      </c>
      <c r="J640" s="147">
        <v>31</v>
      </c>
      <c r="K640" s="147">
        <v>3</v>
      </c>
      <c r="L640" s="147" t="s">
        <v>657</v>
      </c>
      <c r="M640" s="147">
        <v>1</v>
      </c>
      <c r="N640" s="147">
        <v>1</v>
      </c>
      <c r="O640" s="147" t="s">
        <v>655</v>
      </c>
      <c r="P640" s="147">
        <v>102</v>
      </c>
      <c r="Q640" s="156">
        <v>813</v>
      </c>
      <c r="R640" s="157">
        <v>0</v>
      </c>
      <c r="S640" s="158" t="s">
        <v>659</v>
      </c>
      <c r="T640" s="155" t="s">
        <v>391</v>
      </c>
      <c r="U640" s="163"/>
      <c r="V640" s="147"/>
    </row>
    <row r="641" spans="1:22">
      <c r="A641" s="166">
        <v>82</v>
      </c>
      <c r="B641" s="167">
        <v>10</v>
      </c>
      <c r="C641" s="167">
        <v>102</v>
      </c>
      <c r="D641" s="166">
        <v>919</v>
      </c>
      <c r="E641" s="166">
        <v>90</v>
      </c>
      <c r="F641" s="167">
        <v>6</v>
      </c>
      <c r="G641" s="168">
        <f t="shared" si="50"/>
        <v>5902</v>
      </c>
      <c r="H641" s="166">
        <f t="shared" si="51"/>
        <v>18</v>
      </c>
      <c r="I641" s="166">
        <f t="shared" si="52"/>
        <v>22975</v>
      </c>
      <c r="J641" s="147">
        <v>31</v>
      </c>
      <c r="K641" s="147">
        <v>3</v>
      </c>
      <c r="L641" s="147" t="s">
        <v>657</v>
      </c>
      <c r="M641" s="147">
        <v>1</v>
      </c>
      <c r="N641" s="147">
        <v>1</v>
      </c>
      <c r="O641" s="147" t="s">
        <v>655</v>
      </c>
      <c r="P641" s="147">
        <v>102</v>
      </c>
      <c r="Q641" s="156">
        <v>919</v>
      </c>
      <c r="R641" s="157">
        <v>0</v>
      </c>
      <c r="S641" s="158" t="s">
        <v>659</v>
      </c>
      <c r="T641" s="155" t="s">
        <v>391</v>
      </c>
      <c r="U641" s="163"/>
      <c r="V641" s="147"/>
    </row>
    <row r="642" spans="1:22">
      <c r="A642" s="159">
        <v>83</v>
      </c>
      <c r="B642" s="160">
        <v>1</v>
      </c>
      <c r="C642" s="160">
        <v>101</v>
      </c>
      <c r="D642" s="159">
        <v>83</v>
      </c>
      <c r="E642" s="159">
        <v>10</v>
      </c>
      <c r="F642" s="160">
        <v>1</v>
      </c>
      <c r="G642" s="161">
        <f t="shared" ref="G642:G705" si="53">VLOOKUP(B642,AA$2:AC$11,2,FALSE)</f>
        <v>5902</v>
      </c>
      <c r="H642" s="159">
        <f t="shared" ref="H642:H705" si="54">VLOOKUP(B642,AA$2:AC$11,3,FALSE)</f>
        <v>1</v>
      </c>
      <c r="I642" s="159">
        <f t="shared" si="52"/>
        <v>2075</v>
      </c>
      <c r="J642" s="147">
        <v>31</v>
      </c>
      <c r="K642" s="147">
        <v>3</v>
      </c>
      <c r="L642" s="147" t="s">
        <v>657</v>
      </c>
      <c r="M642" s="147">
        <v>9</v>
      </c>
      <c r="N642" s="147">
        <v>2</v>
      </c>
      <c r="O642" s="147" t="s">
        <v>656</v>
      </c>
      <c r="P642" s="147">
        <v>101</v>
      </c>
      <c r="Q642" s="156">
        <v>331</v>
      </c>
      <c r="R642" s="157">
        <v>0</v>
      </c>
      <c r="S642" s="158" t="s">
        <v>659</v>
      </c>
      <c r="T642" s="155" t="s">
        <v>397</v>
      </c>
      <c r="U642" s="163"/>
      <c r="V642" s="147"/>
    </row>
    <row r="643" spans="1:22">
      <c r="A643" s="159">
        <v>83</v>
      </c>
      <c r="B643" s="160">
        <v>2</v>
      </c>
      <c r="C643" s="160">
        <v>101</v>
      </c>
      <c r="D643" s="159">
        <v>166</v>
      </c>
      <c r="E643" s="159">
        <v>20</v>
      </c>
      <c r="F643" s="160">
        <v>2</v>
      </c>
      <c r="G643" s="161">
        <f t="shared" si="53"/>
        <v>5902</v>
      </c>
      <c r="H643" s="159">
        <f t="shared" si="54"/>
        <v>2</v>
      </c>
      <c r="I643" s="159">
        <f t="shared" ref="I643:I706" si="55">INT(IF(C643=104,D643,D643*25))</f>
        <v>4150</v>
      </c>
      <c r="J643" s="147">
        <v>31</v>
      </c>
      <c r="K643" s="147">
        <v>3</v>
      </c>
      <c r="L643" s="147" t="s">
        <v>657</v>
      </c>
      <c r="M643" s="147">
        <v>9</v>
      </c>
      <c r="N643" s="147">
        <v>2</v>
      </c>
      <c r="O643" s="147" t="s">
        <v>656</v>
      </c>
      <c r="P643" s="147">
        <v>101</v>
      </c>
      <c r="Q643" s="156">
        <v>347</v>
      </c>
      <c r="R643" s="157">
        <v>0</v>
      </c>
      <c r="S643" s="158" t="s">
        <v>659</v>
      </c>
      <c r="T643" s="155" t="s">
        <v>397</v>
      </c>
      <c r="U643" s="163"/>
      <c r="V643" s="147"/>
    </row>
    <row r="644" spans="1:22">
      <c r="A644" s="159">
        <v>83</v>
      </c>
      <c r="B644" s="160">
        <v>3</v>
      </c>
      <c r="C644" s="160">
        <v>101</v>
      </c>
      <c r="D644" s="159">
        <v>249</v>
      </c>
      <c r="E644" s="159">
        <v>30</v>
      </c>
      <c r="F644" s="160">
        <v>2</v>
      </c>
      <c r="G644" s="161">
        <f t="shared" si="53"/>
        <v>5902</v>
      </c>
      <c r="H644" s="159">
        <f t="shared" si="54"/>
        <v>3</v>
      </c>
      <c r="I644" s="159">
        <f t="shared" si="55"/>
        <v>6225</v>
      </c>
      <c r="J644" s="147">
        <v>31</v>
      </c>
      <c r="K644" s="147">
        <v>3</v>
      </c>
      <c r="L644" s="147" t="s">
        <v>657</v>
      </c>
      <c r="M644" s="147">
        <v>9</v>
      </c>
      <c r="N644" s="147">
        <v>2</v>
      </c>
      <c r="O644" s="147" t="s">
        <v>656</v>
      </c>
      <c r="P644" s="147">
        <v>101</v>
      </c>
      <c r="Q644" s="156">
        <v>372</v>
      </c>
      <c r="R644" s="157">
        <v>0</v>
      </c>
      <c r="S644" s="158" t="s">
        <v>659</v>
      </c>
      <c r="T644" s="155" t="s">
        <v>397</v>
      </c>
      <c r="U644" s="163"/>
      <c r="V644" s="147"/>
    </row>
    <row r="645" spans="1:22">
      <c r="A645" s="159">
        <v>83</v>
      </c>
      <c r="B645" s="160">
        <v>4</v>
      </c>
      <c r="C645" s="160">
        <v>101</v>
      </c>
      <c r="D645" s="159">
        <v>332</v>
      </c>
      <c r="E645" s="159">
        <v>40</v>
      </c>
      <c r="F645" s="160">
        <v>3</v>
      </c>
      <c r="G645" s="161">
        <f t="shared" si="53"/>
        <v>5902</v>
      </c>
      <c r="H645" s="159">
        <f t="shared" si="54"/>
        <v>4</v>
      </c>
      <c r="I645" s="159">
        <f t="shared" si="55"/>
        <v>8300</v>
      </c>
      <c r="J645" s="147">
        <v>31</v>
      </c>
      <c r="K645" s="147">
        <v>3</v>
      </c>
      <c r="L645" s="147" t="s">
        <v>657</v>
      </c>
      <c r="M645" s="147">
        <v>9</v>
      </c>
      <c r="N645" s="147">
        <v>2</v>
      </c>
      <c r="O645" s="147" t="s">
        <v>656</v>
      </c>
      <c r="P645" s="147">
        <v>101</v>
      </c>
      <c r="Q645" s="156">
        <v>407</v>
      </c>
      <c r="R645" s="157">
        <v>0</v>
      </c>
      <c r="S645" s="158" t="s">
        <v>659</v>
      </c>
      <c r="T645" s="155" t="s">
        <v>397</v>
      </c>
      <c r="U645" s="163"/>
      <c r="V645" s="147"/>
    </row>
    <row r="646" spans="1:22">
      <c r="A646" s="159">
        <v>83</v>
      </c>
      <c r="B646" s="160">
        <v>5</v>
      </c>
      <c r="C646" s="160">
        <v>101</v>
      </c>
      <c r="D646" s="159">
        <v>415</v>
      </c>
      <c r="E646" s="159">
        <v>50</v>
      </c>
      <c r="F646" s="160">
        <v>3</v>
      </c>
      <c r="G646" s="161">
        <f t="shared" si="53"/>
        <v>5902</v>
      </c>
      <c r="H646" s="159">
        <f t="shared" si="54"/>
        <v>6</v>
      </c>
      <c r="I646" s="159">
        <f t="shared" si="55"/>
        <v>10375</v>
      </c>
      <c r="J646" s="147">
        <v>31</v>
      </c>
      <c r="K646" s="147">
        <v>3</v>
      </c>
      <c r="L646" s="147" t="s">
        <v>657</v>
      </c>
      <c r="M646" s="147">
        <v>9</v>
      </c>
      <c r="N646" s="147">
        <v>2</v>
      </c>
      <c r="O646" s="147" t="s">
        <v>656</v>
      </c>
      <c r="P646" s="147">
        <v>101</v>
      </c>
      <c r="Q646" s="156">
        <v>452</v>
      </c>
      <c r="R646" s="157">
        <v>0</v>
      </c>
      <c r="S646" s="158" t="s">
        <v>659</v>
      </c>
      <c r="T646" s="155" t="s">
        <v>397</v>
      </c>
      <c r="U646" s="163"/>
      <c r="V646" s="147"/>
    </row>
    <row r="647" spans="1:22">
      <c r="A647" s="159">
        <v>83</v>
      </c>
      <c r="B647" s="160">
        <v>6</v>
      </c>
      <c r="C647" s="160">
        <v>101</v>
      </c>
      <c r="D647" s="159">
        <v>498</v>
      </c>
      <c r="E647" s="159">
        <v>60</v>
      </c>
      <c r="F647" s="160">
        <v>4</v>
      </c>
      <c r="G647" s="161">
        <f t="shared" si="53"/>
        <v>5902</v>
      </c>
      <c r="H647" s="159">
        <f t="shared" si="54"/>
        <v>8</v>
      </c>
      <c r="I647" s="159">
        <f t="shared" si="55"/>
        <v>12450</v>
      </c>
      <c r="J647" s="147">
        <v>31</v>
      </c>
      <c r="K647" s="147">
        <v>3</v>
      </c>
      <c r="L647" s="147" t="s">
        <v>657</v>
      </c>
      <c r="M647" s="147">
        <v>9</v>
      </c>
      <c r="N647" s="147">
        <v>2</v>
      </c>
      <c r="O647" s="147" t="s">
        <v>656</v>
      </c>
      <c r="P647" s="147">
        <v>101</v>
      </c>
      <c r="Q647" s="156">
        <v>507</v>
      </c>
      <c r="R647" s="157">
        <v>0</v>
      </c>
      <c r="S647" s="158" t="s">
        <v>659</v>
      </c>
      <c r="T647" s="155" t="s">
        <v>397</v>
      </c>
      <c r="U647" s="163"/>
      <c r="V647" s="147"/>
    </row>
    <row r="648" spans="1:22">
      <c r="A648" s="159">
        <v>83</v>
      </c>
      <c r="B648" s="160">
        <v>7</v>
      </c>
      <c r="C648" s="160">
        <v>101</v>
      </c>
      <c r="D648" s="159">
        <v>581</v>
      </c>
      <c r="E648" s="159">
        <v>70</v>
      </c>
      <c r="F648" s="160">
        <v>4</v>
      </c>
      <c r="G648" s="161">
        <f t="shared" si="53"/>
        <v>5902</v>
      </c>
      <c r="H648" s="159">
        <f t="shared" si="54"/>
        <v>10</v>
      </c>
      <c r="I648" s="159">
        <f t="shared" si="55"/>
        <v>14525</v>
      </c>
      <c r="J648" s="147">
        <v>31</v>
      </c>
      <c r="K648" s="147">
        <v>3</v>
      </c>
      <c r="L648" s="147" t="s">
        <v>657</v>
      </c>
      <c r="M648" s="147">
        <v>9</v>
      </c>
      <c r="N648" s="147">
        <v>2</v>
      </c>
      <c r="O648" s="147" t="s">
        <v>656</v>
      </c>
      <c r="P648" s="147">
        <v>101</v>
      </c>
      <c r="Q648" s="156">
        <v>573</v>
      </c>
      <c r="R648" s="157">
        <v>0</v>
      </c>
      <c r="S648" s="158" t="s">
        <v>659</v>
      </c>
      <c r="T648" s="155" t="s">
        <v>397</v>
      </c>
      <c r="U648" s="163"/>
      <c r="V648" s="147"/>
    </row>
    <row r="649" spans="1:22">
      <c r="A649" s="159">
        <v>83</v>
      </c>
      <c r="B649" s="160">
        <v>8</v>
      </c>
      <c r="C649" s="160">
        <v>101</v>
      </c>
      <c r="D649" s="159">
        <v>664</v>
      </c>
      <c r="E649" s="159">
        <v>80</v>
      </c>
      <c r="F649" s="160">
        <v>5</v>
      </c>
      <c r="G649" s="161">
        <f t="shared" si="53"/>
        <v>5902</v>
      </c>
      <c r="H649" s="159">
        <f t="shared" si="54"/>
        <v>12</v>
      </c>
      <c r="I649" s="159">
        <f t="shared" si="55"/>
        <v>16600</v>
      </c>
      <c r="J649" s="147">
        <v>31</v>
      </c>
      <c r="K649" s="147">
        <v>3</v>
      </c>
      <c r="L649" s="147" t="s">
        <v>657</v>
      </c>
      <c r="M649" s="147">
        <v>9</v>
      </c>
      <c r="N649" s="147">
        <v>2</v>
      </c>
      <c r="O649" s="147" t="s">
        <v>656</v>
      </c>
      <c r="P649" s="147">
        <v>101</v>
      </c>
      <c r="Q649" s="156">
        <v>648</v>
      </c>
      <c r="R649" s="157">
        <v>0</v>
      </c>
      <c r="S649" s="158" t="s">
        <v>659</v>
      </c>
      <c r="T649" s="155" t="s">
        <v>397</v>
      </c>
      <c r="U649" s="163"/>
      <c r="V649" s="147"/>
    </row>
    <row r="650" spans="1:22">
      <c r="A650" s="159">
        <v>83</v>
      </c>
      <c r="B650" s="160">
        <v>9</v>
      </c>
      <c r="C650" s="160">
        <v>101</v>
      </c>
      <c r="D650" s="159">
        <v>747</v>
      </c>
      <c r="E650" s="159">
        <v>90</v>
      </c>
      <c r="F650" s="160">
        <v>5</v>
      </c>
      <c r="G650" s="161">
        <f t="shared" si="53"/>
        <v>5902</v>
      </c>
      <c r="H650" s="159">
        <f t="shared" si="54"/>
        <v>15</v>
      </c>
      <c r="I650" s="159">
        <f t="shared" si="55"/>
        <v>18675</v>
      </c>
      <c r="J650" s="147">
        <v>31</v>
      </c>
      <c r="K650" s="147">
        <v>3</v>
      </c>
      <c r="L650" s="147" t="s">
        <v>657</v>
      </c>
      <c r="M650" s="147">
        <v>9</v>
      </c>
      <c r="N650" s="147">
        <v>2</v>
      </c>
      <c r="O650" s="147" t="s">
        <v>656</v>
      </c>
      <c r="P650" s="147">
        <v>101</v>
      </c>
      <c r="Q650" s="156">
        <v>734</v>
      </c>
      <c r="R650" s="157">
        <v>0</v>
      </c>
      <c r="S650" s="158" t="s">
        <v>659</v>
      </c>
      <c r="T650" s="155" t="s">
        <v>397</v>
      </c>
      <c r="U650" s="163"/>
      <c r="V650" s="147"/>
    </row>
    <row r="651" spans="1:22">
      <c r="A651" s="159">
        <v>83</v>
      </c>
      <c r="B651" s="160">
        <v>10</v>
      </c>
      <c r="C651" s="160">
        <v>101</v>
      </c>
      <c r="D651" s="159">
        <v>829</v>
      </c>
      <c r="E651" s="159">
        <v>90</v>
      </c>
      <c r="F651" s="160">
        <v>6</v>
      </c>
      <c r="G651" s="161">
        <f t="shared" si="53"/>
        <v>5902</v>
      </c>
      <c r="H651" s="159">
        <f t="shared" si="54"/>
        <v>18</v>
      </c>
      <c r="I651" s="159">
        <f t="shared" si="55"/>
        <v>20725</v>
      </c>
      <c r="J651" s="147">
        <v>31</v>
      </c>
      <c r="K651" s="147">
        <v>3</v>
      </c>
      <c r="L651" s="147" t="s">
        <v>657</v>
      </c>
      <c r="M651" s="147">
        <v>9</v>
      </c>
      <c r="N651" s="147">
        <v>2</v>
      </c>
      <c r="O651" s="147" t="s">
        <v>656</v>
      </c>
      <c r="P651" s="147">
        <v>101</v>
      </c>
      <c r="Q651" s="156">
        <v>829</v>
      </c>
      <c r="R651" s="157">
        <v>0</v>
      </c>
      <c r="S651" s="158" t="s">
        <v>659</v>
      </c>
      <c r="T651" s="155" t="s">
        <v>397</v>
      </c>
      <c r="U651" s="163"/>
      <c r="V651" s="147"/>
    </row>
    <row r="652" spans="1:22">
      <c r="A652" s="166">
        <v>84</v>
      </c>
      <c r="B652" s="167">
        <v>1</v>
      </c>
      <c r="C652" s="167">
        <v>104</v>
      </c>
      <c r="D652" s="166">
        <v>1574</v>
      </c>
      <c r="E652" s="166">
        <v>10</v>
      </c>
      <c r="F652" s="167">
        <v>1</v>
      </c>
      <c r="G652" s="168">
        <f t="shared" si="53"/>
        <v>5902</v>
      </c>
      <c r="H652" s="166">
        <f t="shared" si="54"/>
        <v>1</v>
      </c>
      <c r="I652" s="166">
        <f t="shared" si="55"/>
        <v>1574</v>
      </c>
      <c r="J652" s="147">
        <v>31</v>
      </c>
      <c r="K652" s="147">
        <v>3</v>
      </c>
      <c r="L652" s="147" t="s">
        <v>657</v>
      </c>
      <c r="M652" s="147">
        <v>11</v>
      </c>
      <c r="N652" s="147">
        <v>3</v>
      </c>
      <c r="O652" s="147" t="s">
        <v>657</v>
      </c>
      <c r="P652" s="147">
        <v>104</v>
      </c>
      <c r="Q652" s="156">
        <v>6292</v>
      </c>
      <c r="R652" s="157">
        <v>0</v>
      </c>
      <c r="S652" s="158" t="s">
        <v>659</v>
      </c>
      <c r="T652" s="155" t="s">
        <v>399</v>
      </c>
      <c r="U652" s="163"/>
      <c r="V652" s="147"/>
    </row>
    <row r="653" spans="1:22">
      <c r="A653" s="166">
        <v>84</v>
      </c>
      <c r="B653" s="167">
        <v>2</v>
      </c>
      <c r="C653" s="167">
        <v>104</v>
      </c>
      <c r="D653" s="166">
        <v>3147</v>
      </c>
      <c r="E653" s="166">
        <v>20</v>
      </c>
      <c r="F653" s="167">
        <v>2</v>
      </c>
      <c r="G653" s="168">
        <f t="shared" si="53"/>
        <v>5902</v>
      </c>
      <c r="H653" s="166">
        <f t="shared" si="54"/>
        <v>2</v>
      </c>
      <c r="I653" s="166">
        <f t="shared" si="55"/>
        <v>3147</v>
      </c>
      <c r="J653" s="147">
        <v>31</v>
      </c>
      <c r="K653" s="147">
        <v>3</v>
      </c>
      <c r="L653" s="147" t="s">
        <v>657</v>
      </c>
      <c r="M653" s="147">
        <v>11</v>
      </c>
      <c r="N653" s="147">
        <v>3</v>
      </c>
      <c r="O653" s="147" t="s">
        <v>657</v>
      </c>
      <c r="P653" s="147">
        <v>104</v>
      </c>
      <c r="Q653" s="156">
        <v>6578</v>
      </c>
      <c r="R653" s="157">
        <v>0</v>
      </c>
      <c r="S653" s="158" t="s">
        <v>659</v>
      </c>
      <c r="T653" s="155" t="s">
        <v>399</v>
      </c>
      <c r="U653" s="163"/>
      <c r="V653" s="147"/>
    </row>
    <row r="654" spans="1:22">
      <c r="A654" s="166">
        <v>84</v>
      </c>
      <c r="B654" s="167">
        <v>3</v>
      </c>
      <c r="C654" s="167">
        <v>104</v>
      </c>
      <c r="D654" s="166">
        <v>4720</v>
      </c>
      <c r="E654" s="166">
        <v>30</v>
      </c>
      <c r="F654" s="167">
        <v>2</v>
      </c>
      <c r="G654" s="168">
        <f t="shared" si="53"/>
        <v>5902</v>
      </c>
      <c r="H654" s="166">
        <f t="shared" si="54"/>
        <v>3</v>
      </c>
      <c r="I654" s="166">
        <f t="shared" si="55"/>
        <v>4720</v>
      </c>
      <c r="J654" s="147">
        <v>31</v>
      </c>
      <c r="K654" s="147">
        <v>3</v>
      </c>
      <c r="L654" s="147" t="s">
        <v>657</v>
      </c>
      <c r="M654" s="147">
        <v>11</v>
      </c>
      <c r="N654" s="147">
        <v>3</v>
      </c>
      <c r="O654" s="147" t="s">
        <v>657</v>
      </c>
      <c r="P654" s="147">
        <v>104</v>
      </c>
      <c r="Q654" s="156">
        <v>7055</v>
      </c>
      <c r="R654" s="157">
        <v>0</v>
      </c>
      <c r="S654" s="158" t="s">
        <v>659</v>
      </c>
      <c r="T654" s="155" t="s">
        <v>399</v>
      </c>
      <c r="U654" s="163"/>
      <c r="V654" s="147"/>
    </row>
    <row r="655" spans="1:22">
      <c r="A655" s="166">
        <v>84</v>
      </c>
      <c r="B655" s="167">
        <v>4</v>
      </c>
      <c r="C655" s="167">
        <v>104</v>
      </c>
      <c r="D655" s="166">
        <v>6293</v>
      </c>
      <c r="E655" s="166">
        <v>40</v>
      </c>
      <c r="F655" s="167">
        <v>3</v>
      </c>
      <c r="G655" s="168">
        <f t="shared" si="53"/>
        <v>5902</v>
      </c>
      <c r="H655" s="166">
        <f t="shared" si="54"/>
        <v>4</v>
      </c>
      <c r="I655" s="166">
        <f t="shared" si="55"/>
        <v>6293</v>
      </c>
      <c r="J655" s="147">
        <v>31</v>
      </c>
      <c r="K655" s="147">
        <v>3</v>
      </c>
      <c r="L655" s="147" t="s">
        <v>657</v>
      </c>
      <c r="M655" s="147">
        <v>11</v>
      </c>
      <c r="N655" s="147">
        <v>3</v>
      </c>
      <c r="O655" s="147" t="s">
        <v>657</v>
      </c>
      <c r="P655" s="147">
        <v>104</v>
      </c>
      <c r="Q655" s="156">
        <v>7722</v>
      </c>
      <c r="R655" s="157">
        <v>0</v>
      </c>
      <c r="S655" s="158" t="s">
        <v>659</v>
      </c>
      <c r="T655" s="155" t="s">
        <v>399</v>
      </c>
      <c r="U655" s="163"/>
      <c r="V655" s="147"/>
    </row>
    <row r="656" spans="1:22">
      <c r="A656" s="166">
        <v>84</v>
      </c>
      <c r="B656" s="167">
        <v>5</v>
      </c>
      <c r="C656" s="167">
        <v>104</v>
      </c>
      <c r="D656" s="166">
        <v>7866</v>
      </c>
      <c r="E656" s="166">
        <v>50</v>
      </c>
      <c r="F656" s="167">
        <v>3</v>
      </c>
      <c r="G656" s="168">
        <f t="shared" si="53"/>
        <v>5902</v>
      </c>
      <c r="H656" s="166">
        <f t="shared" si="54"/>
        <v>6</v>
      </c>
      <c r="I656" s="166">
        <f t="shared" si="55"/>
        <v>7866</v>
      </c>
      <c r="J656" s="147">
        <v>31</v>
      </c>
      <c r="K656" s="147">
        <v>3</v>
      </c>
      <c r="L656" s="147" t="s">
        <v>657</v>
      </c>
      <c r="M656" s="147">
        <v>11</v>
      </c>
      <c r="N656" s="147">
        <v>3</v>
      </c>
      <c r="O656" s="147" t="s">
        <v>657</v>
      </c>
      <c r="P656" s="147">
        <v>104</v>
      </c>
      <c r="Q656" s="156">
        <v>8581</v>
      </c>
      <c r="R656" s="157">
        <v>0</v>
      </c>
      <c r="S656" s="158" t="s">
        <v>659</v>
      </c>
      <c r="T656" s="155" t="s">
        <v>399</v>
      </c>
      <c r="U656" s="163"/>
      <c r="V656" s="147"/>
    </row>
    <row r="657" spans="1:22">
      <c r="A657" s="166">
        <v>84</v>
      </c>
      <c r="B657" s="167">
        <v>6</v>
      </c>
      <c r="C657" s="167">
        <v>104</v>
      </c>
      <c r="D657" s="166">
        <v>9440</v>
      </c>
      <c r="E657" s="166">
        <v>60</v>
      </c>
      <c r="F657" s="167">
        <v>4</v>
      </c>
      <c r="G657" s="168">
        <f t="shared" si="53"/>
        <v>5902</v>
      </c>
      <c r="H657" s="166">
        <f t="shared" si="54"/>
        <v>8</v>
      </c>
      <c r="I657" s="166">
        <f t="shared" si="55"/>
        <v>9440</v>
      </c>
      <c r="J657" s="147">
        <v>31</v>
      </c>
      <c r="K657" s="147">
        <v>3</v>
      </c>
      <c r="L657" s="147" t="s">
        <v>657</v>
      </c>
      <c r="M657" s="147">
        <v>11</v>
      </c>
      <c r="N657" s="147">
        <v>3</v>
      </c>
      <c r="O657" s="147" t="s">
        <v>657</v>
      </c>
      <c r="P657" s="147">
        <v>104</v>
      </c>
      <c r="Q657" s="156">
        <v>9629</v>
      </c>
      <c r="R657" s="157">
        <v>0</v>
      </c>
      <c r="S657" s="158" t="s">
        <v>659</v>
      </c>
      <c r="T657" s="155" t="s">
        <v>399</v>
      </c>
      <c r="U657" s="163"/>
      <c r="V657" s="147"/>
    </row>
    <row r="658" spans="1:22">
      <c r="A658" s="166">
        <v>84</v>
      </c>
      <c r="B658" s="167">
        <v>7</v>
      </c>
      <c r="C658" s="167">
        <v>104</v>
      </c>
      <c r="D658" s="166">
        <v>11013</v>
      </c>
      <c r="E658" s="166">
        <v>70</v>
      </c>
      <c r="F658" s="167">
        <v>4</v>
      </c>
      <c r="G658" s="168">
        <f t="shared" si="53"/>
        <v>5902</v>
      </c>
      <c r="H658" s="166">
        <f t="shared" si="54"/>
        <v>10</v>
      </c>
      <c r="I658" s="166">
        <f t="shared" si="55"/>
        <v>11013</v>
      </c>
      <c r="J658" s="147">
        <v>31</v>
      </c>
      <c r="K658" s="147">
        <v>3</v>
      </c>
      <c r="L658" s="147" t="s">
        <v>657</v>
      </c>
      <c r="M658" s="147">
        <v>11</v>
      </c>
      <c r="N658" s="147">
        <v>3</v>
      </c>
      <c r="O658" s="147" t="s">
        <v>657</v>
      </c>
      <c r="P658" s="147">
        <v>104</v>
      </c>
      <c r="Q658" s="156">
        <v>10869</v>
      </c>
      <c r="R658" s="157">
        <v>0</v>
      </c>
      <c r="S658" s="158" t="s">
        <v>659</v>
      </c>
      <c r="T658" s="155" t="s">
        <v>399</v>
      </c>
      <c r="U658" s="163"/>
      <c r="V658" s="147"/>
    </row>
    <row r="659" spans="1:22">
      <c r="A659" s="166">
        <v>84</v>
      </c>
      <c r="B659" s="167">
        <v>8</v>
      </c>
      <c r="C659" s="167">
        <v>104</v>
      </c>
      <c r="D659" s="166">
        <v>12586</v>
      </c>
      <c r="E659" s="166">
        <v>80</v>
      </c>
      <c r="F659" s="167">
        <v>5</v>
      </c>
      <c r="G659" s="168">
        <f t="shared" si="53"/>
        <v>5902</v>
      </c>
      <c r="H659" s="166">
        <f t="shared" si="54"/>
        <v>12</v>
      </c>
      <c r="I659" s="166">
        <f t="shared" si="55"/>
        <v>12586</v>
      </c>
      <c r="J659" s="147">
        <v>31</v>
      </c>
      <c r="K659" s="147">
        <v>3</v>
      </c>
      <c r="L659" s="147" t="s">
        <v>657</v>
      </c>
      <c r="M659" s="147">
        <v>11</v>
      </c>
      <c r="N659" s="147">
        <v>3</v>
      </c>
      <c r="O659" s="147" t="s">
        <v>657</v>
      </c>
      <c r="P659" s="147">
        <v>104</v>
      </c>
      <c r="Q659" s="156">
        <v>12299</v>
      </c>
      <c r="R659" s="157">
        <v>0</v>
      </c>
      <c r="S659" s="158" t="s">
        <v>659</v>
      </c>
      <c r="T659" s="155" t="s">
        <v>399</v>
      </c>
      <c r="U659" s="163"/>
      <c r="V659" s="147"/>
    </row>
    <row r="660" spans="1:22">
      <c r="A660" s="166">
        <v>84</v>
      </c>
      <c r="B660" s="167">
        <v>9</v>
      </c>
      <c r="C660" s="167">
        <v>104</v>
      </c>
      <c r="D660" s="166">
        <v>14159</v>
      </c>
      <c r="E660" s="166">
        <v>90</v>
      </c>
      <c r="F660" s="167">
        <v>5</v>
      </c>
      <c r="G660" s="168">
        <f t="shared" si="53"/>
        <v>5902</v>
      </c>
      <c r="H660" s="166">
        <f t="shared" si="54"/>
        <v>15</v>
      </c>
      <c r="I660" s="166">
        <f t="shared" si="55"/>
        <v>14159</v>
      </c>
      <c r="J660" s="147">
        <v>31</v>
      </c>
      <c r="K660" s="147">
        <v>3</v>
      </c>
      <c r="L660" s="147" t="s">
        <v>657</v>
      </c>
      <c r="M660" s="147">
        <v>11</v>
      </c>
      <c r="N660" s="147">
        <v>3</v>
      </c>
      <c r="O660" s="147" t="s">
        <v>657</v>
      </c>
      <c r="P660" s="147">
        <v>104</v>
      </c>
      <c r="Q660" s="156">
        <v>13920</v>
      </c>
      <c r="R660" s="157">
        <v>0</v>
      </c>
      <c r="S660" s="158" t="s">
        <v>659</v>
      </c>
      <c r="T660" s="155" t="s">
        <v>399</v>
      </c>
      <c r="U660" s="163"/>
      <c r="V660" s="147"/>
    </row>
    <row r="661" spans="1:22">
      <c r="A661" s="166">
        <v>84</v>
      </c>
      <c r="B661" s="167">
        <v>10</v>
      </c>
      <c r="C661" s="167">
        <v>104</v>
      </c>
      <c r="D661" s="166">
        <v>15732</v>
      </c>
      <c r="E661" s="166">
        <v>90</v>
      </c>
      <c r="F661" s="167">
        <v>6</v>
      </c>
      <c r="G661" s="168">
        <f t="shared" si="53"/>
        <v>5902</v>
      </c>
      <c r="H661" s="166">
        <f t="shared" si="54"/>
        <v>18</v>
      </c>
      <c r="I661" s="166">
        <f t="shared" si="55"/>
        <v>15732</v>
      </c>
      <c r="J661" s="147">
        <v>31</v>
      </c>
      <c r="K661" s="147">
        <v>3</v>
      </c>
      <c r="L661" s="147" t="s">
        <v>657</v>
      </c>
      <c r="M661" s="147">
        <v>11</v>
      </c>
      <c r="N661" s="147">
        <v>3</v>
      </c>
      <c r="O661" s="147" t="s">
        <v>657</v>
      </c>
      <c r="P661" s="147">
        <v>104</v>
      </c>
      <c r="Q661" s="156">
        <v>15732</v>
      </c>
      <c r="R661" s="157">
        <v>0</v>
      </c>
      <c r="S661" s="158" t="s">
        <v>659</v>
      </c>
      <c r="T661" s="155" t="s">
        <v>399</v>
      </c>
      <c r="U661" s="163"/>
      <c r="V661" s="147"/>
    </row>
    <row r="662" spans="1:22">
      <c r="A662" s="159">
        <v>85</v>
      </c>
      <c r="B662" s="160">
        <v>1</v>
      </c>
      <c r="C662" s="160">
        <v>104</v>
      </c>
      <c r="D662" s="159">
        <v>820</v>
      </c>
      <c r="E662" s="159">
        <v>10</v>
      </c>
      <c r="F662" s="160">
        <v>1</v>
      </c>
      <c r="G662" s="161">
        <f t="shared" si="53"/>
        <v>5902</v>
      </c>
      <c r="H662" s="159">
        <f t="shared" si="54"/>
        <v>1</v>
      </c>
      <c r="I662" s="159">
        <f t="shared" si="55"/>
        <v>820</v>
      </c>
      <c r="J662" s="147">
        <v>30</v>
      </c>
      <c r="K662" s="147">
        <v>2</v>
      </c>
      <c r="L662" s="147" t="s">
        <v>656</v>
      </c>
      <c r="M662" s="147">
        <v>31</v>
      </c>
      <c r="N662" s="147">
        <v>3</v>
      </c>
      <c r="O662" s="147" t="s">
        <v>657</v>
      </c>
      <c r="P662" s="147">
        <v>104</v>
      </c>
      <c r="Q662" s="156">
        <v>3278</v>
      </c>
      <c r="R662" s="157">
        <v>0</v>
      </c>
      <c r="S662" s="158" t="s">
        <v>469</v>
      </c>
      <c r="T662" s="155" t="s">
        <v>659</v>
      </c>
      <c r="U662" s="163"/>
      <c r="V662" s="147"/>
    </row>
    <row r="663" spans="1:22">
      <c r="A663" s="159">
        <v>85</v>
      </c>
      <c r="B663" s="160">
        <v>2</v>
      </c>
      <c r="C663" s="160">
        <v>104</v>
      </c>
      <c r="D663" s="159">
        <v>1640</v>
      </c>
      <c r="E663" s="159">
        <v>20</v>
      </c>
      <c r="F663" s="160">
        <v>2</v>
      </c>
      <c r="G663" s="161">
        <f t="shared" si="53"/>
        <v>5902</v>
      </c>
      <c r="H663" s="159">
        <f t="shared" si="54"/>
        <v>2</v>
      </c>
      <c r="I663" s="159">
        <f t="shared" si="55"/>
        <v>1640</v>
      </c>
      <c r="J663" s="147">
        <v>30</v>
      </c>
      <c r="K663" s="147">
        <v>2</v>
      </c>
      <c r="L663" s="147" t="s">
        <v>656</v>
      </c>
      <c r="M663" s="147">
        <v>31</v>
      </c>
      <c r="N663" s="147">
        <v>3</v>
      </c>
      <c r="O663" s="147" t="s">
        <v>657</v>
      </c>
      <c r="P663" s="147">
        <v>104</v>
      </c>
      <c r="Q663" s="156">
        <v>3427</v>
      </c>
      <c r="R663" s="157">
        <v>0</v>
      </c>
      <c r="S663" s="158" t="s">
        <v>469</v>
      </c>
      <c r="T663" s="155" t="s">
        <v>659</v>
      </c>
      <c r="U663" s="163"/>
      <c r="V663" s="147"/>
    </row>
    <row r="664" spans="1:22">
      <c r="A664" s="159">
        <v>85</v>
      </c>
      <c r="B664" s="160">
        <v>3</v>
      </c>
      <c r="C664" s="160">
        <v>104</v>
      </c>
      <c r="D664" s="159">
        <v>2459</v>
      </c>
      <c r="E664" s="159">
        <v>30</v>
      </c>
      <c r="F664" s="160">
        <v>2</v>
      </c>
      <c r="G664" s="161">
        <f t="shared" si="53"/>
        <v>5902</v>
      </c>
      <c r="H664" s="159">
        <f t="shared" si="54"/>
        <v>3</v>
      </c>
      <c r="I664" s="159">
        <f t="shared" si="55"/>
        <v>2459</v>
      </c>
      <c r="J664" s="147">
        <v>30</v>
      </c>
      <c r="K664" s="147">
        <v>2</v>
      </c>
      <c r="L664" s="147" t="s">
        <v>656</v>
      </c>
      <c r="M664" s="147">
        <v>31</v>
      </c>
      <c r="N664" s="147">
        <v>3</v>
      </c>
      <c r="O664" s="147" t="s">
        <v>657</v>
      </c>
      <c r="P664" s="147">
        <v>104</v>
      </c>
      <c r="Q664" s="156">
        <v>3675</v>
      </c>
      <c r="R664" s="157">
        <v>0</v>
      </c>
      <c r="S664" s="158" t="s">
        <v>469</v>
      </c>
      <c r="T664" s="155" t="s">
        <v>659</v>
      </c>
      <c r="U664" s="163"/>
      <c r="V664" s="147"/>
    </row>
    <row r="665" spans="1:22">
      <c r="A665" s="159">
        <v>85</v>
      </c>
      <c r="B665" s="160">
        <v>4</v>
      </c>
      <c r="C665" s="160">
        <v>104</v>
      </c>
      <c r="D665" s="159">
        <v>3279</v>
      </c>
      <c r="E665" s="159">
        <v>40</v>
      </c>
      <c r="F665" s="160">
        <v>3</v>
      </c>
      <c r="G665" s="161">
        <f t="shared" si="53"/>
        <v>5902</v>
      </c>
      <c r="H665" s="159">
        <f t="shared" si="54"/>
        <v>4</v>
      </c>
      <c r="I665" s="159">
        <f t="shared" si="55"/>
        <v>3279</v>
      </c>
      <c r="J665" s="147">
        <v>30</v>
      </c>
      <c r="K665" s="147">
        <v>2</v>
      </c>
      <c r="L665" s="147" t="s">
        <v>656</v>
      </c>
      <c r="M665" s="147">
        <v>31</v>
      </c>
      <c r="N665" s="147">
        <v>3</v>
      </c>
      <c r="O665" s="147" t="s">
        <v>657</v>
      </c>
      <c r="P665" s="147">
        <v>104</v>
      </c>
      <c r="Q665" s="156">
        <v>4023</v>
      </c>
      <c r="R665" s="157">
        <v>0</v>
      </c>
      <c r="S665" s="158" t="s">
        <v>469</v>
      </c>
      <c r="T665" s="155" t="s">
        <v>659</v>
      </c>
      <c r="U665" s="163"/>
      <c r="V665" s="147"/>
    </row>
    <row r="666" spans="1:22">
      <c r="A666" s="159">
        <v>85</v>
      </c>
      <c r="B666" s="160">
        <v>5</v>
      </c>
      <c r="C666" s="160">
        <v>104</v>
      </c>
      <c r="D666" s="159">
        <v>4098</v>
      </c>
      <c r="E666" s="159">
        <v>50</v>
      </c>
      <c r="F666" s="160">
        <v>3</v>
      </c>
      <c r="G666" s="161">
        <f t="shared" si="53"/>
        <v>5902</v>
      </c>
      <c r="H666" s="159">
        <f t="shared" si="54"/>
        <v>6</v>
      </c>
      <c r="I666" s="159">
        <f t="shared" si="55"/>
        <v>4098</v>
      </c>
      <c r="J666" s="147">
        <v>30</v>
      </c>
      <c r="K666" s="147">
        <v>2</v>
      </c>
      <c r="L666" s="147" t="s">
        <v>656</v>
      </c>
      <c r="M666" s="147">
        <v>31</v>
      </c>
      <c r="N666" s="147">
        <v>3</v>
      </c>
      <c r="O666" s="147" t="s">
        <v>657</v>
      </c>
      <c r="P666" s="147">
        <v>104</v>
      </c>
      <c r="Q666" s="156">
        <v>4470</v>
      </c>
      <c r="R666" s="157">
        <v>0</v>
      </c>
      <c r="S666" s="158" t="s">
        <v>469</v>
      </c>
      <c r="T666" s="155" t="s">
        <v>659</v>
      </c>
      <c r="U666" s="163"/>
      <c r="V666" s="147"/>
    </row>
    <row r="667" spans="1:22">
      <c r="A667" s="159">
        <v>85</v>
      </c>
      <c r="B667" s="160">
        <v>6</v>
      </c>
      <c r="C667" s="160">
        <v>104</v>
      </c>
      <c r="D667" s="159">
        <v>4918</v>
      </c>
      <c r="E667" s="159">
        <v>60</v>
      </c>
      <c r="F667" s="160">
        <v>4</v>
      </c>
      <c r="G667" s="161">
        <f t="shared" si="53"/>
        <v>5902</v>
      </c>
      <c r="H667" s="159">
        <f t="shared" si="54"/>
        <v>8</v>
      </c>
      <c r="I667" s="159">
        <f t="shared" si="55"/>
        <v>4918</v>
      </c>
      <c r="J667" s="147">
        <v>30</v>
      </c>
      <c r="K667" s="147">
        <v>2</v>
      </c>
      <c r="L667" s="147" t="s">
        <v>656</v>
      </c>
      <c r="M667" s="147">
        <v>31</v>
      </c>
      <c r="N667" s="147">
        <v>3</v>
      </c>
      <c r="O667" s="147" t="s">
        <v>657</v>
      </c>
      <c r="P667" s="147">
        <v>104</v>
      </c>
      <c r="Q667" s="156">
        <v>5016</v>
      </c>
      <c r="R667" s="157">
        <v>0</v>
      </c>
      <c r="S667" s="158" t="s">
        <v>469</v>
      </c>
      <c r="T667" s="155" t="s">
        <v>659</v>
      </c>
      <c r="U667" s="163"/>
      <c r="V667" s="147"/>
    </row>
    <row r="668" spans="1:22">
      <c r="A668" s="159">
        <v>85</v>
      </c>
      <c r="B668" s="160">
        <v>7</v>
      </c>
      <c r="C668" s="160">
        <v>104</v>
      </c>
      <c r="D668" s="159">
        <v>5738</v>
      </c>
      <c r="E668" s="159">
        <v>70</v>
      </c>
      <c r="F668" s="160">
        <v>4</v>
      </c>
      <c r="G668" s="161">
        <f t="shared" si="53"/>
        <v>5902</v>
      </c>
      <c r="H668" s="159">
        <f t="shared" si="54"/>
        <v>10</v>
      </c>
      <c r="I668" s="159">
        <f t="shared" si="55"/>
        <v>5738</v>
      </c>
      <c r="J668" s="147">
        <v>30</v>
      </c>
      <c r="K668" s="147">
        <v>2</v>
      </c>
      <c r="L668" s="147" t="s">
        <v>656</v>
      </c>
      <c r="M668" s="147">
        <v>31</v>
      </c>
      <c r="N668" s="147">
        <v>3</v>
      </c>
      <c r="O668" s="147" t="s">
        <v>657</v>
      </c>
      <c r="P668" s="147">
        <v>104</v>
      </c>
      <c r="Q668" s="156">
        <v>5662</v>
      </c>
      <c r="R668" s="157">
        <v>0</v>
      </c>
      <c r="S668" s="158" t="s">
        <v>469</v>
      </c>
      <c r="T668" s="155" t="s">
        <v>659</v>
      </c>
      <c r="U668" s="163"/>
      <c r="V668" s="147"/>
    </row>
    <row r="669" spans="1:22">
      <c r="A669" s="159">
        <v>85</v>
      </c>
      <c r="B669" s="160">
        <v>8</v>
      </c>
      <c r="C669" s="160">
        <v>104</v>
      </c>
      <c r="D669" s="159">
        <v>6557</v>
      </c>
      <c r="E669" s="159">
        <v>80</v>
      </c>
      <c r="F669" s="160">
        <v>5</v>
      </c>
      <c r="G669" s="161">
        <f t="shared" si="53"/>
        <v>5902</v>
      </c>
      <c r="H669" s="159">
        <f t="shared" si="54"/>
        <v>12</v>
      </c>
      <c r="I669" s="159">
        <f t="shared" si="55"/>
        <v>6557</v>
      </c>
      <c r="J669" s="147">
        <v>30</v>
      </c>
      <c r="K669" s="147">
        <v>2</v>
      </c>
      <c r="L669" s="147" t="s">
        <v>656</v>
      </c>
      <c r="M669" s="147">
        <v>31</v>
      </c>
      <c r="N669" s="147">
        <v>3</v>
      </c>
      <c r="O669" s="147" t="s">
        <v>657</v>
      </c>
      <c r="P669" s="147">
        <v>104</v>
      </c>
      <c r="Q669" s="156">
        <v>6407</v>
      </c>
      <c r="R669" s="157">
        <v>0</v>
      </c>
      <c r="S669" s="158" t="s">
        <v>469</v>
      </c>
      <c r="T669" s="155" t="s">
        <v>659</v>
      </c>
      <c r="U669" s="163"/>
      <c r="V669" s="147"/>
    </row>
    <row r="670" spans="1:22">
      <c r="A670" s="159">
        <v>85</v>
      </c>
      <c r="B670" s="160">
        <v>9</v>
      </c>
      <c r="C670" s="160">
        <v>104</v>
      </c>
      <c r="D670" s="159">
        <v>7377</v>
      </c>
      <c r="E670" s="159">
        <v>90</v>
      </c>
      <c r="F670" s="160">
        <v>5</v>
      </c>
      <c r="G670" s="161">
        <f t="shared" si="53"/>
        <v>5902</v>
      </c>
      <c r="H670" s="159">
        <f t="shared" si="54"/>
        <v>15</v>
      </c>
      <c r="I670" s="159">
        <f t="shared" si="55"/>
        <v>7377</v>
      </c>
      <c r="J670" s="147">
        <v>30</v>
      </c>
      <c r="K670" s="147">
        <v>2</v>
      </c>
      <c r="L670" s="147" t="s">
        <v>656</v>
      </c>
      <c r="M670" s="147">
        <v>31</v>
      </c>
      <c r="N670" s="147">
        <v>3</v>
      </c>
      <c r="O670" s="147" t="s">
        <v>657</v>
      </c>
      <c r="P670" s="147">
        <v>104</v>
      </c>
      <c r="Q670" s="156">
        <v>7252</v>
      </c>
      <c r="R670" s="157">
        <v>0</v>
      </c>
      <c r="S670" s="158" t="s">
        <v>469</v>
      </c>
      <c r="T670" s="155" t="s">
        <v>659</v>
      </c>
      <c r="U670" s="163"/>
      <c r="V670" s="147"/>
    </row>
    <row r="671" spans="1:22">
      <c r="A671" s="159">
        <v>85</v>
      </c>
      <c r="B671" s="160">
        <v>10</v>
      </c>
      <c r="C671" s="160">
        <v>104</v>
      </c>
      <c r="D671" s="159">
        <v>8196</v>
      </c>
      <c r="E671" s="159">
        <v>90</v>
      </c>
      <c r="F671" s="160">
        <v>6</v>
      </c>
      <c r="G671" s="161">
        <f t="shared" si="53"/>
        <v>5902</v>
      </c>
      <c r="H671" s="159">
        <f t="shared" si="54"/>
        <v>18</v>
      </c>
      <c r="I671" s="159">
        <f t="shared" si="55"/>
        <v>8196</v>
      </c>
      <c r="J671" s="147">
        <v>30</v>
      </c>
      <c r="K671" s="147">
        <v>2</v>
      </c>
      <c r="L671" s="147" t="s">
        <v>656</v>
      </c>
      <c r="M671" s="147">
        <v>31</v>
      </c>
      <c r="N671" s="147">
        <v>3</v>
      </c>
      <c r="O671" s="147" t="s">
        <v>657</v>
      </c>
      <c r="P671" s="147">
        <v>104</v>
      </c>
      <c r="Q671" s="156">
        <v>8196</v>
      </c>
      <c r="R671" s="157">
        <v>0</v>
      </c>
      <c r="S671" s="158" t="s">
        <v>469</v>
      </c>
      <c r="T671" s="155" t="s">
        <v>659</v>
      </c>
      <c r="U671" s="163"/>
      <c r="V671" s="147"/>
    </row>
    <row r="672" spans="1:22">
      <c r="A672" s="166">
        <v>86</v>
      </c>
      <c r="B672" s="167">
        <v>1</v>
      </c>
      <c r="C672" s="167">
        <v>101</v>
      </c>
      <c r="D672" s="166">
        <v>59</v>
      </c>
      <c r="E672" s="166">
        <v>10</v>
      </c>
      <c r="F672" s="167">
        <v>1</v>
      </c>
      <c r="G672" s="168">
        <f t="shared" si="53"/>
        <v>5902</v>
      </c>
      <c r="H672" s="166">
        <f t="shared" si="54"/>
        <v>1</v>
      </c>
      <c r="I672" s="166">
        <f t="shared" si="55"/>
        <v>1475</v>
      </c>
      <c r="J672" s="147">
        <v>30</v>
      </c>
      <c r="K672" s="147">
        <v>2</v>
      </c>
      <c r="L672" s="147" t="s">
        <v>656</v>
      </c>
      <c r="M672" s="147">
        <v>2</v>
      </c>
      <c r="N672" s="147">
        <v>2</v>
      </c>
      <c r="O672" s="147" t="s">
        <v>656</v>
      </c>
      <c r="P672" s="147">
        <v>101</v>
      </c>
      <c r="Q672" s="156">
        <v>234</v>
      </c>
      <c r="R672" s="157">
        <v>0</v>
      </c>
      <c r="S672" s="158" t="s">
        <v>469</v>
      </c>
      <c r="T672" s="155" t="s">
        <v>392</v>
      </c>
      <c r="U672" s="163"/>
      <c r="V672" s="147"/>
    </row>
    <row r="673" spans="1:22">
      <c r="A673" s="166">
        <v>86</v>
      </c>
      <c r="B673" s="167">
        <v>2</v>
      </c>
      <c r="C673" s="167">
        <v>101</v>
      </c>
      <c r="D673" s="166">
        <v>118</v>
      </c>
      <c r="E673" s="166">
        <v>20</v>
      </c>
      <c r="F673" s="167">
        <v>2</v>
      </c>
      <c r="G673" s="168">
        <f t="shared" si="53"/>
        <v>5902</v>
      </c>
      <c r="H673" s="166">
        <f t="shared" si="54"/>
        <v>2</v>
      </c>
      <c r="I673" s="166">
        <f t="shared" si="55"/>
        <v>2950</v>
      </c>
      <c r="J673" s="147">
        <v>30</v>
      </c>
      <c r="K673" s="147">
        <v>2</v>
      </c>
      <c r="L673" s="147" t="s">
        <v>656</v>
      </c>
      <c r="M673" s="147">
        <v>2</v>
      </c>
      <c r="N673" s="147">
        <v>2</v>
      </c>
      <c r="O673" s="147" t="s">
        <v>656</v>
      </c>
      <c r="P673" s="147">
        <v>101</v>
      </c>
      <c r="Q673" s="156">
        <v>245</v>
      </c>
      <c r="R673" s="157">
        <v>0</v>
      </c>
      <c r="S673" s="158" t="s">
        <v>469</v>
      </c>
      <c r="T673" s="155" t="s">
        <v>392</v>
      </c>
      <c r="U673" s="163"/>
      <c r="V673" s="147"/>
    </row>
    <row r="674" spans="1:22">
      <c r="A674" s="166">
        <v>86</v>
      </c>
      <c r="B674" s="167">
        <v>3</v>
      </c>
      <c r="C674" s="167">
        <v>101</v>
      </c>
      <c r="D674" s="166">
        <v>176</v>
      </c>
      <c r="E674" s="166">
        <v>30</v>
      </c>
      <c r="F674" s="167">
        <v>2</v>
      </c>
      <c r="G674" s="168">
        <f t="shared" si="53"/>
        <v>5902</v>
      </c>
      <c r="H674" s="166">
        <f t="shared" si="54"/>
        <v>3</v>
      </c>
      <c r="I674" s="166">
        <f t="shared" si="55"/>
        <v>4400</v>
      </c>
      <c r="J674" s="147">
        <v>30</v>
      </c>
      <c r="K674" s="147">
        <v>2</v>
      </c>
      <c r="L674" s="147" t="s">
        <v>656</v>
      </c>
      <c r="M674" s="147">
        <v>2</v>
      </c>
      <c r="N674" s="147">
        <v>2</v>
      </c>
      <c r="O674" s="147" t="s">
        <v>656</v>
      </c>
      <c r="P674" s="147">
        <v>101</v>
      </c>
      <c r="Q674" s="156">
        <v>263</v>
      </c>
      <c r="R674" s="157">
        <v>0</v>
      </c>
      <c r="S674" s="158" t="s">
        <v>469</v>
      </c>
      <c r="T674" s="155" t="s">
        <v>392</v>
      </c>
      <c r="U674" s="163"/>
      <c r="V674" s="147"/>
    </row>
    <row r="675" spans="1:22">
      <c r="A675" s="166">
        <v>86</v>
      </c>
      <c r="B675" s="167">
        <v>4</v>
      </c>
      <c r="C675" s="167">
        <v>101</v>
      </c>
      <c r="D675" s="166">
        <v>235</v>
      </c>
      <c r="E675" s="166">
        <v>40</v>
      </c>
      <c r="F675" s="167">
        <v>3</v>
      </c>
      <c r="G675" s="168">
        <f t="shared" si="53"/>
        <v>5902</v>
      </c>
      <c r="H675" s="166">
        <f t="shared" si="54"/>
        <v>4</v>
      </c>
      <c r="I675" s="166">
        <f t="shared" si="55"/>
        <v>5875</v>
      </c>
      <c r="J675" s="147">
        <v>30</v>
      </c>
      <c r="K675" s="147">
        <v>2</v>
      </c>
      <c r="L675" s="147" t="s">
        <v>656</v>
      </c>
      <c r="M675" s="147">
        <v>2</v>
      </c>
      <c r="N675" s="147">
        <v>2</v>
      </c>
      <c r="O675" s="147" t="s">
        <v>656</v>
      </c>
      <c r="P675" s="147">
        <v>101</v>
      </c>
      <c r="Q675" s="156">
        <v>288</v>
      </c>
      <c r="R675" s="157">
        <v>0</v>
      </c>
      <c r="S675" s="158" t="s">
        <v>469</v>
      </c>
      <c r="T675" s="155" t="s">
        <v>392</v>
      </c>
      <c r="U675" s="163"/>
      <c r="V675" s="147"/>
    </row>
    <row r="676" spans="1:22">
      <c r="A676" s="166">
        <v>86</v>
      </c>
      <c r="B676" s="167">
        <v>5</v>
      </c>
      <c r="C676" s="167">
        <v>101</v>
      </c>
      <c r="D676" s="166">
        <v>293</v>
      </c>
      <c r="E676" s="166">
        <v>50</v>
      </c>
      <c r="F676" s="167">
        <v>3</v>
      </c>
      <c r="G676" s="168">
        <f t="shared" si="53"/>
        <v>5902</v>
      </c>
      <c r="H676" s="166">
        <f t="shared" si="54"/>
        <v>6</v>
      </c>
      <c r="I676" s="166">
        <f t="shared" si="55"/>
        <v>7325</v>
      </c>
      <c r="J676" s="147">
        <v>30</v>
      </c>
      <c r="K676" s="147">
        <v>2</v>
      </c>
      <c r="L676" s="147" t="s">
        <v>656</v>
      </c>
      <c r="M676" s="147">
        <v>2</v>
      </c>
      <c r="N676" s="147">
        <v>2</v>
      </c>
      <c r="O676" s="147" t="s">
        <v>656</v>
      </c>
      <c r="P676" s="147">
        <v>101</v>
      </c>
      <c r="Q676" s="156">
        <v>320</v>
      </c>
      <c r="R676" s="157">
        <v>0</v>
      </c>
      <c r="S676" s="158" t="s">
        <v>469</v>
      </c>
      <c r="T676" s="155" t="s">
        <v>392</v>
      </c>
      <c r="U676" s="163"/>
      <c r="V676" s="147"/>
    </row>
    <row r="677" spans="1:22">
      <c r="A677" s="166">
        <v>86</v>
      </c>
      <c r="B677" s="167">
        <v>6</v>
      </c>
      <c r="C677" s="167">
        <v>101</v>
      </c>
      <c r="D677" s="166">
        <v>352</v>
      </c>
      <c r="E677" s="166">
        <v>60</v>
      </c>
      <c r="F677" s="167">
        <v>4</v>
      </c>
      <c r="G677" s="168">
        <f t="shared" si="53"/>
        <v>5902</v>
      </c>
      <c r="H677" s="166">
        <f t="shared" si="54"/>
        <v>8</v>
      </c>
      <c r="I677" s="166">
        <f t="shared" si="55"/>
        <v>8800</v>
      </c>
      <c r="J677" s="147">
        <v>30</v>
      </c>
      <c r="K677" s="147">
        <v>2</v>
      </c>
      <c r="L677" s="147" t="s">
        <v>656</v>
      </c>
      <c r="M677" s="147">
        <v>2</v>
      </c>
      <c r="N677" s="147">
        <v>2</v>
      </c>
      <c r="O677" s="147" t="s">
        <v>656</v>
      </c>
      <c r="P677" s="147">
        <v>101</v>
      </c>
      <c r="Q677" s="156">
        <v>359</v>
      </c>
      <c r="R677" s="157">
        <v>0</v>
      </c>
      <c r="S677" s="158" t="s">
        <v>469</v>
      </c>
      <c r="T677" s="155" t="s">
        <v>392</v>
      </c>
      <c r="U677" s="163"/>
      <c r="V677" s="147"/>
    </row>
    <row r="678" spans="1:22">
      <c r="A678" s="166">
        <v>86</v>
      </c>
      <c r="B678" s="167">
        <v>7</v>
      </c>
      <c r="C678" s="167">
        <v>101</v>
      </c>
      <c r="D678" s="166">
        <v>411</v>
      </c>
      <c r="E678" s="166">
        <v>70</v>
      </c>
      <c r="F678" s="167">
        <v>4</v>
      </c>
      <c r="G678" s="168">
        <f t="shared" si="53"/>
        <v>5902</v>
      </c>
      <c r="H678" s="166">
        <f t="shared" si="54"/>
        <v>10</v>
      </c>
      <c r="I678" s="166">
        <f t="shared" si="55"/>
        <v>10275</v>
      </c>
      <c r="J678" s="147">
        <v>30</v>
      </c>
      <c r="K678" s="147">
        <v>2</v>
      </c>
      <c r="L678" s="147" t="s">
        <v>656</v>
      </c>
      <c r="M678" s="147">
        <v>2</v>
      </c>
      <c r="N678" s="147">
        <v>2</v>
      </c>
      <c r="O678" s="147" t="s">
        <v>656</v>
      </c>
      <c r="P678" s="147">
        <v>101</v>
      </c>
      <c r="Q678" s="156">
        <v>405</v>
      </c>
      <c r="R678" s="157">
        <v>0</v>
      </c>
      <c r="S678" s="158" t="s">
        <v>469</v>
      </c>
      <c r="T678" s="155" t="s">
        <v>392</v>
      </c>
      <c r="U678" s="163"/>
      <c r="V678" s="147"/>
    </row>
    <row r="679" spans="1:22">
      <c r="A679" s="166">
        <v>86</v>
      </c>
      <c r="B679" s="167">
        <v>8</v>
      </c>
      <c r="C679" s="167">
        <v>101</v>
      </c>
      <c r="D679" s="166">
        <v>469</v>
      </c>
      <c r="E679" s="166">
        <v>80</v>
      </c>
      <c r="F679" s="167">
        <v>5</v>
      </c>
      <c r="G679" s="168">
        <f t="shared" si="53"/>
        <v>5902</v>
      </c>
      <c r="H679" s="166">
        <f t="shared" si="54"/>
        <v>12</v>
      </c>
      <c r="I679" s="166">
        <f t="shared" si="55"/>
        <v>11725</v>
      </c>
      <c r="J679" s="147">
        <v>30</v>
      </c>
      <c r="K679" s="147">
        <v>2</v>
      </c>
      <c r="L679" s="147" t="s">
        <v>656</v>
      </c>
      <c r="M679" s="147">
        <v>2</v>
      </c>
      <c r="N679" s="147">
        <v>2</v>
      </c>
      <c r="O679" s="147" t="s">
        <v>656</v>
      </c>
      <c r="P679" s="147">
        <v>101</v>
      </c>
      <c r="Q679" s="156">
        <v>458</v>
      </c>
      <c r="R679" s="157">
        <v>0</v>
      </c>
      <c r="S679" s="158" t="s">
        <v>469</v>
      </c>
      <c r="T679" s="155" t="s">
        <v>392</v>
      </c>
      <c r="U679" s="163"/>
      <c r="V679" s="147"/>
    </row>
    <row r="680" spans="1:22">
      <c r="A680" s="166">
        <v>86</v>
      </c>
      <c r="B680" s="167">
        <v>9</v>
      </c>
      <c r="C680" s="167">
        <v>101</v>
      </c>
      <c r="D680" s="166">
        <v>528</v>
      </c>
      <c r="E680" s="166">
        <v>90</v>
      </c>
      <c r="F680" s="167">
        <v>5</v>
      </c>
      <c r="G680" s="168">
        <f t="shared" si="53"/>
        <v>5902</v>
      </c>
      <c r="H680" s="166">
        <f t="shared" si="54"/>
        <v>15</v>
      </c>
      <c r="I680" s="166">
        <f t="shared" si="55"/>
        <v>13200</v>
      </c>
      <c r="J680" s="147">
        <v>30</v>
      </c>
      <c r="K680" s="147">
        <v>2</v>
      </c>
      <c r="L680" s="147" t="s">
        <v>656</v>
      </c>
      <c r="M680" s="147">
        <v>2</v>
      </c>
      <c r="N680" s="147">
        <v>2</v>
      </c>
      <c r="O680" s="147" t="s">
        <v>656</v>
      </c>
      <c r="P680" s="147">
        <v>101</v>
      </c>
      <c r="Q680" s="156">
        <v>519</v>
      </c>
      <c r="R680" s="157">
        <v>0</v>
      </c>
      <c r="S680" s="158" t="s">
        <v>469</v>
      </c>
      <c r="T680" s="155" t="s">
        <v>392</v>
      </c>
      <c r="U680" s="163"/>
      <c r="V680" s="147"/>
    </row>
    <row r="681" spans="1:22">
      <c r="A681" s="166">
        <v>86</v>
      </c>
      <c r="B681" s="167">
        <v>10</v>
      </c>
      <c r="C681" s="167">
        <v>101</v>
      </c>
      <c r="D681" s="166">
        <v>586</v>
      </c>
      <c r="E681" s="166">
        <v>90</v>
      </c>
      <c r="F681" s="167">
        <v>6</v>
      </c>
      <c r="G681" s="168">
        <f t="shared" si="53"/>
        <v>5902</v>
      </c>
      <c r="H681" s="166">
        <f t="shared" si="54"/>
        <v>18</v>
      </c>
      <c r="I681" s="166">
        <f t="shared" si="55"/>
        <v>14650</v>
      </c>
      <c r="J681" s="147">
        <v>30</v>
      </c>
      <c r="K681" s="147">
        <v>2</v>
      </c>
      <c r="L681" s="147" t="s">
        <v>656</v>
      </c>
      <c r="M681" s="147">
        <v>2</v>
      </c>
      <c r="N681" s="147">
        <v>2</v>
      </c>
      <c r="O681" s="147" t="s">
        <v>656</v>
      </c>
      <c r="P681" s="147">
        <v>101</v>
      </c>
      <c r="Q681" s="156">
        <v>586</v>
      </c>
      <c r="R681" s="157">
        <v>0</v>
      </c>
      <c r="S681" s="158" t="s">
        <v>469</v>
      </c>
      <c r="T681" s="155" t="s">
        <v>392</v>
      </c>
      <c r="U681" s="163"/>
      <c r="V681" s="147"/>
    </row>
    <row r="682" spans="1:22">
      <c r="A682" s="159">
        <v>87</v>
      </c>
      <c r="B682" s="160">
        <v>1</v>
      </c>
      <c r="C682" s="160">
        <v>104</v>
      </c>
      <c r="D682" s="159">
        <v>820</v>
      </c>
      <c r="E682" s="159">
        <v>10</v>
      </c>
      <c r="F682" s="160">
        <v>1</v>
      </c>
      <c r="G682" s="161">
        <f t="shared" si="53"/>
        <v>5902</v>
      </c>
      <c r="H682" s="159">
        <f t="shared" si="54"/>
        <v>1</v>
      </c>
      <c r="I682" s="159">
        <f t="shared" si="55"/>
        <v>820</v>
      </c>
      <c r="J682" s="147">
        <v>30</v>
      </c>
      <c r="K682" s="147">
        <v>2</v>
      </c>
      <c r="L682" s="147" t="s">
        <v>656</v>
      </c>
      <c r="M682" s="147">
        <v>3</v>
      </c>
      <c r="N682" s="147">
        <v>3</v>
      </c>
      <c r="O682" s="147" t="s">
        <v>657</v>
      </c>
      <c r="P682" s="147">
        <v>104</v>
      </c>
      <c r="Q682" s="156">
        <v>3278</v>
      </c>
      <c r="R682" s="157">
        <v>0</v>
      </c>
      <c r="S682" s="158" t="s">
        <v>469</v>
      </c>
      <c r="T682" s="155" t="s">
        <v>393</v>
      </c>
      <c r="U682" s="163"/>
      <c r="V682" s="147"/>
    </row>
    <row r="683" spans="1:22">
      <c r="A683" s="159">
        <v>87</v>
      </c>
      <c r="B683" s="160">
        <v>2</v>
      </c>
      <c r="C683" s="160">
        <v>104</v>
      </c>
      <c r="D683" s="159">
        <v>1640</v>
      </c>
      <c r="E683" s="159">
        <v>20</v>
      </c>
      <c r="F683" s="160">
        <v>2</v>
      </c>
      <c r="G683" s="161">
        <f t="shared" si="53"/>
        <v>5902</v>
      </c>
      <c r="H683" s="159">
        <f t="shared" si="54"/>
        <v>2</v>
      </c>
      <c r="I683" s="159">
        <f t="shared" si="55"/>
        <v>1640</v>
      </c>
      <c r="J683" s="147">
        <v>30</v>
      </c>
      <c r="K683" s="147">
        <v>2</v>
      </c>
      <c r="L683" s="147" t="s">
        <v>656</v>
      </c>
      <c r="M683" s="147">
        <v>3</v>
      </c>
      <c r="N683" s="147">
        <v>3</v>
      </c>
      <c r="O683" s="147" t="s">
        <v>657</v>
      </c>
      <c r="P683" s="147">
        <v>104</v>
      </c>
      <c r="Q683" s="156">
        <v>3427</v>
      </c>
      <c r="R683" s="157">
        <v>0</v>
      </c>
      <c r="S683" s="158" t="s">
        <v>469</v>
      </c>
      <c r="T683" s="155" t="s">
        <v>393</v>
      </c>
      <c r="U683" s="163"/>
      <c r="V683" s="147"/>
    </row>
    <row r="684" spans="1:22">
      <c r="A684" s="159">
        <v>87</v>
      </c>
      <c r="B684" s="160">
        <v>3</v>
      </c>
      <c r="C684" s="160">
        <v>104</v>
      </c>
      <c r="D684" s="159">
        <v>2459</v>
      </c>
      <c r="E684" s="159">
        <v>30</v>
      </c>
      <c r="F684" s="160">
        <v>2</v>
      </c>
      <c r="G684" s="161">
        <f t="shared" si="53"/>
        <v>5902</v>
      </c>
      <c r="H684" s="159">
        <f t="shared" si="54"/>
        <v>3</v>
      </c>
      <c r="I684" s="159">
        <f t="shared" si="55"/>
        <v>2459</v>
      </c>
      <c r="J684" s="147">
        <v>30</v>
      </c>
      <c r="K684" s="147">
        <v>2</v>
      </c>
      <c r="L684" s="147" t="s">
        <v>656</v>
      </c>
      <c r="M684" s="147">
        <v>3</v>
      </c>
      <c r="N684" s="147">
        <v>3</v>
      </c>
      <c r="O684" s="147" t="s">
        <v>657</v>
      </c>
      <c r="P684" s="147">
        <v>104</v>
      </c>
      <c r="Q684" s="156">
        <v>3675</v>
      </c>
      <c r="R684" s="157">
        <v>0</v>
      </c>
      <c r="S684" s="158" t="s">
        <v>469</v>
      </c>
      <c r="T684" s="155" t="s">
        <v>393</v>
      </c>
      <c r="U684" s="163"/>
      <c r="V684" s="147"/>
    </row>
    <row r="685" spans="1:22">
      <c r="A685" s="159">
        <v>87</v>
      </c>
      <c r="B685" s="160">
        <v>4</v>
      </c>
      <c r="C685" s="160">
        <v>104</v>
      </c>
      <c r="D685" s="159">
        <v>3279</v>
      </c>
      <c r="E685" s="159">
        <v>40</v>
      </c>
      <c r="F685" s="160">
        <v>3</v>
      </c>
      <c r="G685" s="161">
        <f t="shared" si="53"/>
        <v>5902</v>
      </c>
      <c r="H685" s="159">
        <f t="shared" si="54"/>
        <v>4</v>
      </c>
      <c r="I685" s="159">
        <f t="shared" si="55"/>
        <v>3279</v>
      </c>
      <c r="J685" s="147">
        <v>30</v>
      </c>
      <c r="K685" s="147">
        <v>2</v>
      </c>
      <c r="L685" s="147" t="s">
        <v>656</v>
      </c>
      <c r="M685" s="147">
        <v>3</v>
      </c>
      <c r="N685" s="147">
        <v>3</v>
      </c>
      <c r="O685" s="147" t="s">
        <v>657</v>
      </c>
      <c r="P685" s="147">
        <v>104</v>
      </c>
      <c r="Q685" s="156">
        <v>4023</v>
      </c>
      <c r="R685" s="157">
        <v>0</v>
      </c>
      <c r="S685" s="158" t="s">
        <v>469</v>
      </c>
      <c r="T685" s="155" t="s">
        <v>393</v>
      </c>
      <c r="U685" s="163"/>
      <c r="V685" s="147"/>
    </row>
    <row r="686" spans="1:22">
      <c r="A686" s="159">
        <v>87</v>
      </c>
      <c r="B686" s="160">
        <v>5</v>
      </c>
      <c r="C686" s="160">
        <v>104</v>
      </c>
      <c r="D686" s="159">
        <v>4098</v>
      </c>
      <c r="E686" s="159">
        <v>50</v>
      </c>
      <c r="F686" s="160">
        <v>3</v>
      </c>
      <c r="G686" s="161">
        <f t="shared" si="53"/>
        <v>5902</v>
      </c>
      <c r="H686" s="159">
        <f t="shared" si="54"/>
        <v>6</v>
      </c>
      <c r="I686" s="159">
        <f t="shared" si="55"/>
        <v>4098</v>
      </c>
      <c r="J686" s="147">
        <v>30</v>
      </c>
      <c r="K686" s="147">
        <v>2</v>
      </c>
      <c r="L686" s="147" t="s">
        <v>656</v>
      </c>
      <c r="M686" s="147">
        <v>3</v>
      </c>
      <c r="N686" s="147">
        <v>3</v>
      </c>
      <c r="O686" s="147" t="s">
        <v>657</v>
      </c>
      <c r="P686" s="147">
        <v>104</v>
      </c>
      <c r="Q686" s="156">
        <v>4470</v>
      </c>
      <c r="R686" s="157">
        <v>0</v>
      </c>
      <c r="S686" s="158" t="s">
        <v>469</v>
      </c>
      <c r="T686" s="155" t="s">
        <v>393</v>
      </c>
      <c r="U686" s="163"/>
      <c r="V686" s="147"/>
    </row>
    <row r="687" spans="1:22">
      <c r="A687" s="159">
        <v>87</v>
      </c>
      <c r="B687" s="160">
        <v>6</v>
      </c>
      <c r="C687" s="160">
        <v>104</v>
      </c>
      <c r="D687" s="159">
        <v>4918</v>
      </c>
      <c r="E687" s="159">
        <v>60</v>
      </c>
      <c r="F687" s="160">
        <v>4</v>
      </c>
      <c r="G687" s="161">
        <f t="shared" si="53"/>
        <v>5902</v>
      </c>
      <c r="H687" s="159">
        <f t="shared" si="54"/>
        <v>8</v>
      </c>
      <c r="I687" s="159">
        <f t="shared" si="55"/>
        <v>4918</v>
      </c>
      <c r="J687" s="147">
        <v>30</v>
      </c>
      <c r="K687" s="147">
        <v>2</v>
      </c>
      <c r="L687" s="147" t="s">
        <v>656</v>
      </c>
      <c r="M687" s="147">
        <v>3</v>
      </c>
      <c r="N687" s="147">
        <v>3</v>
      </c>
      <c r="O687" s="147" t="s">
        <v>657</v>
      </c>
      <c r="P687" s="147">
        <v>104</v>
      </c>
      <c r="Q687" s="156">
        <v>5016</v>
      </c>
      <c r="R687" s="157">
        <v>0</v>
      </c>
      <c r="S687" s="158" t="s">
        <v>469</v>
      </c>
      <c r="T687" s="155" t="s">
        <v>393</v>
      </c>
      <c r="U687" s="163"/>
      <c r="V687" s="147"/>
    </row>
    <row r="688" spans="1:22">
      <c r="A688" s="159">
        <v>87</v>
      </c>
      <c r="B688" s="160">
        <v>7</v>
      </c>
      <c r="C688" s="160">
        <v>104</v>
      </c>
      <c r="D688" s="159">
        <v>5738</v>
      </c>
      <c r="E688" s="159">
        <v>70</v>
      </c>
      <c r="F688" s="160">
        <v>4</v>
      </c>
      <c r="G688" s="161">
        <f t="shared" si="53"/>
        <v>5902</v>
      </c>
      <c r="H688" s="159">
        <f t="shared" si="54"/>
        <v>10</v>
      </c>
      <c r="I688" s="159">
        <f t="shared" si="55"/>
        <v>5738</v>
      </c>
      <c r="J688" s="147">
        <v>30</v>
      </c>
      <c r="K688" s="147">
        <v>2</v>
      </c>
      <c r="L688" s="147" t="s">
        <v>656</v>
      </c>
      <c r="M688" s="147">
        <v>3</v>
      </c>
      <c r="N688" s="147">
        <v>3</v>
      </c>
      <c r="O688" s="147" t="s">
        <v>657</v>
      </c>
      <c r="P688" s="147">
        <v>104</v>
      </c>
      <c r="Q688" s="156">
        <v>5662</v>
      </c>
      <c r="R688" s="157">
        <v>0</v>
      </c>
      <c r="S688" s="158" t="s">
        <v>469</v>
      </c>
      <c r="T688" s="155" t="s">
        <v>393</v>
      </c>
      <c r="U688" s="163"/>
      <c r="V688" s="147"/>
    </row>
    <row r="689" spans="1:22">
      <c r="A689" s="159">
        <v>87</v>
      </c>
      <c r="B689" s="160">
        <v>8</v>
      </c>
      <c r="C689" s="160">
        <v>104</v>
      </c>
      <c r="D689" s="159">
        <v>6557</v>
      </c>
      <c r="E689" s="159">
        <v>80</v>
      </c>
      <c r="F689" s="160">
        <v>5</v>
      </c>
      <c r="G689" s="161">
        <f t="shared" si="53"/>
        <v>5902</v>
      </c>
      <c r="H689" s="159">
        <f t="shared" si="54"/>
        <v>12</v>
      </c>
      <c r="I689" s="159">
        <f t="shared" si="55"/>
        <v>6557</v>
      </c>
      <c r="J689" s="147">
        <v>30</v>
      </c>
      <c r="K689" s="147">
        <v>2</v>
      </c>
      <c r="L689" s="147" t="s">
        <v>656</v>
      </c>
      <c r="M689" s="147">
        <v>3</v>
      </c>
      <c r="N689" s="147">
        <v>3</v>
      </c>
      <c r="O689" s="147" t="s">
        <v>657</v>
      </c>
      <c r="P689" s="147">
        <v>104</v>
      </c>
      <c r="Q689" s="156">
        <v>6407</v>
      </c>
      <c r="R689" s="157">
        <v>0</v>
      </c>
      <c r="S689" s="158" t="s">
        <v>469</v>
      </c>
      <c r="T689" s="155" t="s">
        <v>393</v>
      </c>
      <c r="U689" s="163"/>
      <c r="V689" s="147"/>
    </row>
    <row r="690" spans="1:22">
      <c r="A690" s="159">
        <v>87</v>
      </c>
      <c r="B690" s="160">
        <v>9</v>
      </c>
      <c r="C690" s="160">
        <v>104</v>
      </c>
      <c r="D690" s="159">
        <v>7377</v>
      </c>
      <c r="E690" s="159">
        <v>90</v>
      </c>
      <c r="F690" s="160">
        <v>5</v>
      </c>
      <c r="G690" s="161">
        <f t="shared" si="53"/>
        <v>5902</v>
      </c>
      <c r="H690" s="159">
        <f t="shared" si="54"/>
        <v>15</v>
      </c>
      <c r="I690" s="159">
        <f t="shared" si="55"/>
        <v>7377</v>
      </c>
      <c r="J690" s="147">
        <v>30</v>
      </c>
      <c r="K690" s="147">
        <v>2</v>
      </c>
      <c r="L690" s="147" t="s">
        <v>656</v>
      </c>
      <c r="M690" s="147">
        <v>3</v>
      </c>
      <c r="N690" s="147">
        <v>3</v>
      </c>
      <c r="O690" s="147" t="s">
        <v>657</v>
      </c>
      <c r="P690" s="147">
        <v>104</v>
      </c>
      <c r="Q690" s="156">
        <v>7252</v>
      </c>
      <c r="R690" s="157">
        <v>0</v>
      </c>
      <c r="S690" s="158" t="s">
        <v>469</v>
      </c>
      <c r="T690" s="155" t="s">
        <v>393</v>
      </c>
      <c r="U690" s="163"/>
      <c r="V690" s="147"/>
    </row>
    <row r="691" spans="1:22">
      <c r="A691" s="159">
        <v>87</v>
      </c>
      <c r="B691" s="160">
        <v>10</v>
      </c>
      <c r="C691" s="160">
        <v>104</v>
      </c>
      <c r="D691" s="159">
        <v>8196</v>
      </c>
      <c r="E691" s="159">
        <v>90</v>
      </c>
      <c r="F691" s="160">
        <v>6</v>
      </c>
      <c r="G691" s="161">
        <f t="shared" si="53"/>
        <v>5902</v>
      </c>
      <c r="H691" s="159">
        <f t="shared" si="54"/>
        <v>18</v>
      </c>
      <c r="I691" s="159">
        <f t="shared" si="55"/>
        <v>8196</v>
      </c>
      <c r="J691" s="147">
        <v>30</v>
      </c>
      <c r="K691" s="147">
        <v>2</v>
      </c>
      <c r="L691" s="147" t="s">
        <v>656</v>
      </c>
      <c r="M691" s="147">
        <v>3</v>
      </c>
      <c r="N691" s="147">
        <v>3</v>
      </c>
      <c r="O691" s="147" t="s">
        <v>657</v>
      </c>
      <c r="P691" s="147">
        <v>104</v>
      </c>
      <c r="Q691" s="156">
        <v>8196</v>
      </c>
      <c r="R691" s="157">
        <v>0</v>
      </c>
      <c r="S691" s="158" t="s">
        <v>469</v>
      </c>
      <c r="T691" s="155" t="s">
        <v>393</v>
      </c>
      <c r="U691" s="163"/>
      <c r="V691" s="147"/>
    </row>
    <row r="692" spans="1:22">
      <c r="A692" s="166">
        <v>88</v>
      </c>
      <c r="B692" s="167">
        <v>1</v>
      </c>
      <c r="C692" s="167">
        <v>102</v>
      </c>
      <c r="D692" s="166">
        <v>48</v>
      </c>
      <c r="E692" s="166">
        <v>10</v>
      </c>
      <c r="F692" s="167">
        <v>1</v>
      </c>
      <c r="G692" s="168">
        <f t="shared" si="53"/>
        <v>5902</v>
      </c>
      <c r="H692" s="166">
        <f t="shared" si="54"/>
        <v>1</v>
      </c>
      <c r="I692" s="166">
        <f t="shared" si="55"/>
        <v>1200</v>
      </c>
      <c r="J692" s="147">
        <v>30</v>
      </c>
      <c r="K692" s="147">
        <v>2</v>
      </c>
      <c r="L692" s="147" t="s">
        <v>656</v>
      </c>
      <c r="M692" s="147">
        <v>10</v>
      </c>
      <c r="N692" s="147">
        <v>1</v>
      </c>
      <c r="O692" s="147" t="s">
        <v>655</v>
      </c>
      <c r="P692" s="147">
        <v>102</v>
      </c>
      <c r="Q692" s="156">
        <v>191</v>
      </c>
      <c r="R692" s="157">
        <v>0</v>
      </c>
      <c r="S692" s="158" t="s">
        <v>469</v>
      </c>
      <c r="T692" s="155" t="s">
        <v>398</v>
      </c>
      <c r="U692" s="163"/>
      <c r="V692" s="147"/>
    </row>
    <row r="693" spans="1:22">
      <c r="A693" s="166">
        <v>88</v>
      </c>
      <c r="B693" s="167">
        <v>2</v>
      </c>
      <c r="C693" s="167">
        <v>102</v>
      </c>
      <c r="D693" s="166">
        <v>96</v>
      </c>
      <c r="E693" s="166">
        <v>20</v>
      </c>
      <c r="F693" s="167">
        <v>2</v>
      </c>
      <c r="G693" s="168">
        <f t="shared" si="53"/>
        <v>5902</v>
      </c>
      <c r="H693" s="166">
        <f t="shared" si="54"/>
        <v>2</v>
      </c>
      <c r="I693" s="166">
        <f t="shared" si="55"/>
        <v>2400</v>
      </c>
      <c r="J693" s="147">
        <v>30</v>
      </c>
      <c r="K693" s="147">
        <v>2</v>
      </c>
      <c r="L693" s="147" t="s">
        <v>656</v>
      </c>
      <c r="M693" s="147">
        <v>10</v>
      </c>
      <c r="N693" s="147">
        <v>1</v>
      </c>
      <c r="O693" s="147" t="s">
        <v>655</v>
      </c>
      <c r="P693" s="147">
        <v>102</v>
      </c>
      <c r="Q693" s="156">
        <v>199</v>
      </c>
      <c r="R693" s="157">
        <v>0</v>
      </c>
      <c r="S693" s="158" t="s">
        <v>469</v>
      </c>
      <c r="T693" s="155" t="s">
        <v>398</v>
      </c>
      <c r="U693" s="163"/>
      <c r="V693" s="147"/>
    </row>
    <row r="694" spans="1:22">
      <c r="A694" s="166">
        <v>88</v>
      </c>
      <c r="B694" s="167">
        <v>3</v>
      </c>
      <c r="C694" s="167">
        <v>102</v>
      </c>
      <c r="D694" s="166">
        <v>144</v>
      </c>
      <c r="E694" s="166">
        <v>30</v>
      </c>
      <c r="F694" s="167">
        <v>2</v>
      </c>
      <c r="G694" s="168">
        <f t="shared" si="53"/>
        <v>5902</v>
      </c>
      <c r="H694" s="166">
        <f t="shared" si="54"/>
        <v>3</v>
      </c>
      <c r="I694" s="166">
        <f t="shared" si="55"/>
        <v>3600</v>
      </c>
      <c r="J694" s="147">
        <v>30</v>
      </c>
      <c r="K694" s="147">
        <v>2</v>
      </c>
      <c r="L694" s="147" t="s">
        <v>656</v>
      </c>
      <c r="M694" s="147">
        <v>10</v>
      </c>
      <c r="N694" s="147">
        <v>1</v>
      </c>
      <c r="O694" s="147" t="s">
        <v>655</v>
      </c>
      <c r="P694" s="147">
        <v>102</v>
      </c>
      <c r="Q694" s="156">
        <v>214</v>
      </c>
      <c r="R694" s="157">
        <v>0</v>
      </c>
      <c r="S694" s="158" t="s">
        <v>469</v>
      </c>
      <c r="T694" s="155" t="s">
        <v>398</v>
      </c>
      <c r="U694" s="163"/>
      <c r="V694" s="147"/>
    </row>
    <row r="695" spans="1:22">
      <c r="A695" s="166">
        <v>88</v>
      </c>
      <c r="B695" s="167">
        <v>4</v>
      </c>
      <c r="C695" s="167">
        <v>102</v>
      </c>
      <c r="D695" s="166">
        <v>191</v>
      </c>
      <c r="E695" s="166">
        <v>40</v>
      </c>
      <c r="F695" s="167">
        <v>3</v>
      </c>
      <c r="G695" s="168">
        <f t="shared" si="53"/>
        <v>5902</v>
      </c>
      <c r="H695" s="166">
        <f t="shared" si="54"/>
        <v>4</v>
      </c>
      <c r="I695" s="166">
        <f t="shared" si="55"/>
        <v>4775</v>
      </c>
      <c r="J695" s="147">
        <v>30</v>
      </c>
      <c r="K695" s="147">
        <v>2</v>
      </c>
      <c r="L695" s="147" t="s">
        <v>656</v>
      </c>
      <c r="M695" s="147">
        <v>10</v>
      </c>
      <c r="N695" s="147">
        <v>1</v>
      </c>
      <c r="O695" s="147" t="s">
        <v>655</v>
      </c>
      <c r="P695" s="147">
        <v>102</v>
      </c>
      <c r="Q695" s="156">
        <v>234</v>
      </c>
      <c r="R695" s="157">
        <v>0</v>
      </c>
      <c r="S695" s="158" t="s">
        <v>469</v>
      </c>
      <c r="T695" s="155" t="s">
        <v>398</v>
      </c>
      <c r="U695" s="163"/>
      <c r="V695" s="147"/>
    </row>
    <row r="696" spans="1:22">
      <c r="A696" s="166">
        <v>88</v>
      </c>
      <c r="B696" s="167">
        <v>5</v>
      </c>
      <c r="C696" s="167">
        <v>102</v>
      </c>
      <c r="D696" s="166">
        <v>239</v>
      </c>
      <c r="E696" s="166">
        <v>50</v>
      </c>
      <c r="F696" s="167">
        <v>3</v>
      </c>
      <c r="G696" s="168">
        <f t="shared" si="53"/>
        <v>5902</v>
      </c>
      <c r="H696" s="166">
        <f t="shared" si="54"/>
        <v>6</v>
      </c>
      <c r="I696" s="166">
        <f t="shared" si="55"/>
        <v>5975</v>
      </c>
      <c r="J696" s="147">
        <v>30</v>
      </c>
      <c r="K696" s="147">
        <v>2</v>
      </c>
      <c r="L696" s="147" t="s">
        <v>656</v>
      </c>
      <c r="M696" s="147">
        <v>10</v>
      </c>
      <c r="N696" s="147">
        <v>1</v>
      </c>
      <c r="O696" s="147" t="s">
        <v>655</v>
      </c>
      <c r="P696" s="147">
        <v>102</v>
      </c>
      <c r="Q696" s="156">
        <v>260</v>
      </c>
      <c r="R696" s="157">
        <v>0</v>
      </c>
      <c r="S696" s="158" t="s">
        <v>469</v>
      </c>
      <c r="T696" s="155" t="s">
        <v>398</v>
      </c>
      <c r="U696" s="163"/>
      <c r="V696" s="147"/>
    </row>
    <row r="697" spans="1:22">
      <c r="A697" s="166">
        <v>88</v>
      </c>
      <c r="B697" s="167">
        <v>6</v>
      </c>
      <c r="C697" s="167">
        <v>102</v>
      </c>
      <c r="D697" s="166">
        <v>287</v>
      </c>
      <c r="E697" s="166">
        <v>60</v>
      </c>
      <c r="F697" s="167">
        <v>4</v>
      </c>
      <c r="G697" s="168">
        <f t="shared" si="53"/>
        <v>5902</v>
      </c>
      <c r="H697" s="166">
        <f t="shared" si="54"/>
        <v>8</v>
      </c>
      <c r="I697" s="166">
        <f t="shared" si="55"/>
        <v>7175</v>
      </c>
      <c r="J697" s="147">
        <v>30</v>
      </c>
      <c r="K697" s="147">
        <v>2</v>
      </c>
      <c r="L697" s="147" t="s">
        <v>656</v>
      </c>
      <c r="M697" s="147">
        <v>10</v>
      </c>
      <c r="N697" s="147">
        <v>1</v>
      </c>
      <c r="O697" s="147" t="s">
        <v>655</v>
      </c>
      <c r="P697" s="147">
        <v>102</v>
      </c>
      <c r="Q697" s="156">
        <v>292</v>
      </c>
      <c r="R697" s="157">
        <v>0</v>
      </c>
      <c r="S697" s="158" t="s">
        <v>469</v>
      </c>
      <c r="T697" s="155" t="s">
        <v>398</v>
      </c>
      <c r="U697" s="163"/>
      <c r="V697" s="147"/>
    </row>
    <row r="698" spans="1:22">
      <c r="A698" s="166">
        <v>88</v>
      </c>
      <c r="B698" s="167">
        <v>7</v>
      </c>
      <c r="C698" s="167">
        <v>102</v>
      </c>
      <c r="D698" s="166">
        <v>334</v>
      </c>
      <c r="E698" s="166">
        <v>70</v>
      </c>
      <c r="F698" s="167">
        <v>4</v>
      </c>
      <c r="G698" s="168">
        <f t="shared" si="53"/>
        <v>5902</v>
      </c>
      <c r="H698" s="166">
        <f t="shared" si="54"/>
        <v>10</v>
      </c>
      <c r="I698" s="166">
        <f t="shared" si="55"/>
        <v>8350</v>
      </c>
      <c r="J698" s="147">
        <v>30</v>
      </c>
      <c r="K698" s="147">
        <v>2</v>
      </c>
      <c r="L698" s="147" t="s">
        <v>656</v>
      </c>
      <c r="M698" s="147">
        <v>10</v>
      </c>
      <c r="N698" s="147">
        <v>1</v>
      </c>
      <c r="O698" s="147" t="s">
        <v>655</v>
      </c>
      <c r="P698" s="147">
        <v>102</v>
      </c>
      <c r="Q698" s="156">
        <v>329</v>
      </c>
      <c r="R698" s="157">
        <v>0</v>
      </c>
      <c r="S698" s="158" t="s">
        <v>469</v>
      </c>
      <c r="T698" s="155" t="s">
        <v>398</v>
      </c>
      <c r="U698" s="163"/>
      <c r="V698" s="147"/>
    </row>
    <row r="699" spans="1:22">
      <c r="A699" s="166">
        <v>88</v>
      </c>
      <c r="B699" s="167">
        <v>8</v>
      </c>
      <c r="C699" s="167">
        <v>102</v>
      </c>
      <c r="D699" s="166">
        <v>382</v>
      </c>
      <c r="E699" s="166">
        <v>80</v>
      </c>
      <c r="F699" s="167">
        <v>5</v>
      </c>
      <c r="G699" s="168">
        <f t="shared" si="53"/>
        <v>5902</v>
      </c>
      <c r="H699" s="166">
        <f t="shared" si="54"/>
        <v>12</v>
      </c>
      <c r="I699" s="166">
        <f t="shared" si="55"/>
        <v>9550</v>
      </c>
      <c r="J699" s="147">
        <v>30</v>
      </c>
      <c r="K699" s="147">
        <v>2</v>
      </c>
      <c r="L699" s="147" t="s">
        <v>656</v>
      </c>
      <c r="M699" s="147">
        <v>10</v>
      </c>
      <c r="N699" s="147">
        <v>1</v>
      </c>
      <c r="O699" s="147" t="s">
        <v>655</v>
      </c>
      <c r="P699" s="147">
        <v>102</v>
      </c>
      <c r="Q699" s="156">
        <v>373</v>
      </c>
      <c r="R699" s="157">
        <v>0</v>
      </c>
      <c r="S699" s="158" t="s">
        <v>469</v>
      </c>
      <c r="T699" s="155" t="s">
        <v>398</v>
      </c>
      <c r="U699" s="163"/>
      <c r="V699" s="147"/>
    </row>
    <row r="700" spans="1:22">
      <c r="A700" s="166">
        <v>88</v>
      </c>
      <c r="B700" s="167">
        <v>9</v>
      </c>
      <c r="C700" s="167">
        <v>102</v>
      </c>
      <c r="D700" s="166">
        <v>430</v>
      </c>
      <c r="E700" s="166">
        <v>90</v>
      </c>
      <c r="F700" s="167">
        <v>5</v>
      </c>
      <c r="G700" s="168">
        <f t="shared" si="53"/>
        <v>5902</v>
      </c>
      <c r="H700" s="166">
        <f t="shared" si="54"/>
        <v>15</v>
      </c>
      <c r="I700" s="166">
        <f t="shared" si="55"/>
        <v>10750</v>
      </c>
      <c r="J700" s="147">
        <v>30</v>
      </c>
      <c r="K700" s="147">
        <v>2</v>
      </c>
      <c r="L700" s="147" t="s">
        <v>656</v>
      </c>
      <c r="M700" s="147">
        <v>10</v>
      </c>
      <c r="N700" s="147">
        <v>1</v>
      </c>
      <c r="O700" s="147" t="s">
        <v>655</v>
      </c>
      <c r="P700" s="147">
        <v>102</v>
      </c>
      <c r="Q700" s="156">
        <v>422</v>
      </c>
      <c r="R700" s="157">
        <v>0</v>
      </c>
      <c r="S700" s="158" t="s">
        <v>469</v>
      </c>
      <c r="T700" s="155" t="s">
        <v>398</v>
      </c>
      <c r="U700" s="163"/>
      <c r="V700" s="147"/>
    </row>
    <row r="701" spans="1:22">
      <c r="A701" s="166">
        <v>88</v>
      </c>
      <c r="B701" s="167">
        <v>10</v>
      </c>
      <c r="C701" s="167">
        <v>102</v>
      </c>
      <c r="D701" s="166">
        <v>477</v>
      </c>
      <c r="E701" s="166">
        <v>90</v>
      </c>
      <c r="F701" s="167">
        <v>6</v>
      </c>
      <c r="G701" s="168">
        <f t="shared" si="53"/>
        <v>5902</v>
      </c>
      <c r="H701" s="166">
        <f t="shared" si="54"/>
        <v>18</v>
      </c>
      <c r="I701" s="166">
        <f t="shared" si="55"/>
        <v>11925</v>
      </c>
      <c r="J701" s="147">
        <v>30</v>
      </c>
      <c r="K701" s="147">
        <v>2</v>
      </c>
      <c r="L701" s="147" t="s">
        <v>656</v>
      </c>
      <c r="M701" s="147">
        <v>10</v>
      </c>
      <c r="N701" s="147">
        <v>1</v>
      </c>
      <c r="O701" s="147" t="s">
        <v>655</v>
      </c>
      <c r="P701" s="147">
        <v>102</v>
      </c>
      <c r="Q701" s="156">
        <v>477</v>
      </c>
      <c r="R701" s="157">
        <v>0</v>
      </c>
      <c r="S701" s="158" t="s">
        <v>469</v>
      </c>
      <c r="T701" s="155" t="s">
        <v>398</v>
      </c>
      <c r="U701" s="163"/>
      <c r="V701" s="147"/>
    </row>
    <row r="702" spans="1:22">
      <c r="A702" s="159">
        <v>89</v>
      </c>
      <c r="B702" s="160">
        <v>1</v>
      </c>
      <c r="C702" s="160">
        <v>102</v>
      </c>
      <c r="D702" s="159">
        <v>59</v>
      </c>
      <c r="E702" s="159">
        <v>10</v>
      </c>
      <c r="F702" s="160">
        <v>1</v>
      </c>
      <c r="G702" s="161">
        <f t="shared" si="53"/>
        <v>5902</v>
      </c>
      <c r="H702" s="159">
        <f t="shared" si="54"/>
        <v>1</v>
      </c>
      <c r="I702" s="159">
        <f t="shared" si="55"/>
        <v>1475</v>
      </c>
      <c r="J702" s="147">
        <v>28</v>
      </c>
      <c r="K702" s="147">
        <v>1</v>
      </c>
      <c r="L702" s="147" t="s">
        <v>655</v>
      </c>
      <c r="M702" s="147">
        <v>10</v>
      </c>
      <c r="N702" s="147">
        <v>1</v>
      </c>
      <c r="O702" s="147" t="s">
        <v>655</v>
      </c>
      <c r="P702" s="147">
        <v>102</v>
      </c>
      <c r="Q702" s="156">
        <v>234</v>
      </c>
      <c r="R702" s="157">
        <v>0</v>
      </c>
      <c r="S702" s="158" t="s">
        <v>660</v>
      </c>
      <c r="T702" s="155" t="s">
        <v>398</v>
      </c>
      <c r="U702" s="163"/>
      <c r="V702" s="147"/>
    </row>
    <row r="703" spans="1:22">
      <c r="A703" s="159">
        <v>89</v>
      </c>
      <c r="B703" s="160">
        <v>2</v>
      </c>
      <c r="C703" s="160">
        <v>102</v>
      </c>
      <c r="D703" s="159">
        <v>117</v>
      </c>
      <c r="E703" s="159">
        <v>20</v>
      </c>
      <c r="F703" s="160">
        <v>2</v>
      </c>
      <c r="G703" s="161">
        <f t="shared" si="53"/>
        <v>5902</v>
      </c>
      <c r="H703" s="159">
        <f t="shared" si="54"/>
        <v>2</v>
      </c>
      <c r="I703" s="159">
        <f t="shared" si="55"/>
        <v>2925</v>
      </c>
      <c r="J703" s="147">
        <v>28</v>
      </c>
      <c r="K703" s="147">
        <v>1</v>
      </c>
      <c r="L703" s="147" t="s">
        <v>655</v>
      </c>
      <c r="M703" s="147">
        <v>10</v>
      </c>
      <c r="N703" s="147">
        <v>1</v>
      </c>
      <c r="O703" s="147" t="s">
        <v>655</v>
      </c>
      <c r="P703" s="147">
        <v>102</v>
      </c>
      <c r="Q703" s="156">
        <v>244</v>
      </c>
      <c r="R703" s="157">
        <v>0</v>
      </c>
      <c r="S703" s="158" t="s">
        <v>660</v>
      </c>
      <c r="T703" s="155" t="s">
        <v>398</v>
      </c>
      <c r="U703" s="163"/>
      <c r="V703" s="147"/>
    </row>
    <row r="704" spans="1:22">
      <c r="A704" s="159">
        <v>89</v>
      </c>
      <c r="B704" s="160">
        <v>3</v>
      </c>
      <c r="C704" s="160">
        <v>102</v>
      </c>
      <c r="D704" s="159">
        <v>176</v>
      </c>
      <c r="E704" s="159">
        <v>30</v>
      </c>
      <c r="F704" s="160">
        <v>2</v>
      </c>
      <c r="G704" s="161">
        <f t="shared" si="53"/>
        <v>5902</v>
      </c>
      <c r="H704" s="159">
        <f t="shared" si="54"/>
        <v>3</v>
      </c>
      <c r="I704" s="159">
        <f t="shared" si="55"/>
        <v>4400</v>
      </c>
      <c r="J704" s="147">
        <v>28</v>
      </c>
      <c r="K704" s="147">
        <v>1</v>
      </c>
      <c r="L704" s="147" t="s">
        <v>655</v>
      </c>
      <c r="M704" s="147">
        <v>10</v>
      </c>
      <c r="N704" s="147">
        <v>1</v>
      </c>
      <c r="O704" s="147" t="s">
        <v>655</v>
      </c>
      <c r="P704" s="147">
        <v>102</v>
      </c>
      <c r="Q704" s="156">
        <v>262</v>
      </c>
      <c r="R704" s="157">
        <v>0</v>
      </c>
      <c r="S704" s="158" t="s">
        <v>660</v>
      </c>
      <c r="T704" s="155" t="s">
        <v>398</v>
      </c>
      <c r="U704" s="163"/>
      <c r="V704" s="147"/>
    </row>
    <row r="705" spans="1:22">
      <c r="A705" s="159">
        <v>89</v>
      </c>
      <c r="B705" s="160">
        <v>4</v>
      </c>
      <c r="C705" s="160">
        <v>102</v>
      </c>
      <c r="D705" s="159">
        <v>234</v>
      </c>
      <c r="E705" s="159">
        <v>40</v>
      </c>
      <c r="F705" s="160">
        <v>3</v>
      </c>
      <c r="G705" s="161">
        <f t="shared" si="53"/>
        <v>5902</v>
      </c>
      <c r="H705" s="159">
        <f t="shared" si="54"/>
        <v>4</v>
      </c>
      <c r="I705" s="159">
        <f t="shared" si="55"/>
        <v>5850</v>
      </c>
      <c r="J705" s="147">
        <v>28</v>
      </c>
      <c r="K705" s="147">
        <v>1</v>
      </c>
      <c r="L705" s="147" t="s">
        <v>655</v>
      </c>
      <c r="M705" s="147">
        <v>10</v>
      </c>
      <c r="N705" s="147">
        <v>1</v>
      </c>
      <c r="O705" s="147" t="s">
        <v>655</v>
      </c>
      <c r="P705" s="147">
        <v>102</v>
      </c>
      <c r="Q705" s="156">
        <v>287</v>
      </c>
      <c r="R705" s="157">
        <v>0</v>
      </c>
      <c r="S705" s="158" t="s">
        <v>660</v>
      </c>
      <c r="T705" s="155" t="s">
        <v>398</v>
      </c>
      <c r="U705" s="163"/>
      <c r="V705" s="147"/>
    </row>
    <row r="706" spans="1:22">
      <c r="A706" s="159">
        <v>89</v>
      </c>
      <c r="B706" s="160">
        <v>5</v>
      </c>
      <c r="C706" s="160">
        <v>102</v>
      </c>
      <c r="D706" s="159">
        <v>293</v>
      </c>
      <c r="E706" s="159">
        <v>50</v>
      </c>
      <c r="F706" s="160">
        <v>3</v>
      </c>
      <c r="G706" s="161">
        <f t="shared" ref="G706:G769" si="56">VLOOKUP(B706,AA$2:AC$11,2,FALSE)</f>
        <v>5902</v>
      </c>
      <c r="H706" s="159">
        <f t="shared" ref="H706:H769" si="57">VLOOKUP(B706,AA$2:AC$11,3,FALSE)</f>
        <v>6</v>
      </c>
      <c r="I706" s="159">
        <f t="shared" si="55"/>
        <v>7325</v>
      </c>
      <c r="J706" s="147">
        <v>28</v>
      </c>
      <c r="K706" s="147">
        <v>1</v>
      </c>
      <c r="L706" s="147" t="s">
        <v>655</v>
      </c>
      <c r="M706" s="147">
        <v>10</v>
      </c>
      <c r="N706" s="147">
        <v>1</v>
      </c>
      <c r="O706" s="147" t="s">
        <v>655</v>
      </c>
      <c r="P706" s="147">
        <v>102</v>
      </c>
      <c r="Q706" s="156">
        <v>319</v>
      </c>
      <c r="R706" s="157">
        <v>0</v>
      </c>
      <c r="S706" s="158" t="s">
        <v>660</v>
      </c>
      <c r="T706" s="155" t="s">
        <v>398</v>
      </c>
      <c r="U706" s="163"/>
      <c r="V706" s="147"/>
    </row>
    <row r="707" spans="1:22">
      <c r="A707" s="159">
        <v>89</v>
      </c>
      <c r="B707" s="160">
        <v>6</v>
      </c>
      <c r="C707" s="160">
        <v>102</v>
      </c>
      <c r="D707" s="159">
        <v>351</v>
      </c>
      <c r="E707" s="159">
        <v>60</v>
      </c>
      <c r="F707" s="160">
        <v>4</v>
      </c>
      <c r="G707" s="161">
        <f t="shared" si="56"/>
        <v>5902</v>
      </c>
      <c r="H707" s="159">
        <f t="shared" si="57"/>
        <v>8</v>
      </c>
      <c r="I707" s="159">
        <f t="shared" ref="I707:I770" si="58">INT(IF(C707=104,D707,D707*25))</f>
        <v>8775</v>
      </c>
      <c r="J707" s="147">
        <v>28</v>
      </c>
      <c r="K707" s="147">
        <v>1</v>
      </c>
      <c r="L707" s="147" t="s">
        <v>655</v>
      </c>
      <c r="M707" s="147">
        <v>10</v>
      </c>
      <c r="N707" s="147">
        <v>1</v>
      </c>
      <c r="O707" s="147" t="s">
        <v>655</v>
      </c>
      <c r="P707" s="147">
        <v>102</v>
      </c>
      <c r="Q707" s="156">
        <v>358</v>
      </c>
      <c r="R707" s="157">
        <v>0</v>
      </c>
      <c r="S707" s="158" t="s">
        <v>660</v>
      </c>
      <c r="T707" s="155" t="s">
        <v>398</v>
      </c>
      <c r="U707" s="163"/>
      <c r="V707" s="147"/>
    </row>
    <row r="708" spans="1:22">
      <c r="A708" s="159">
        <v>89</v>
      </c>
      <c r="B708" s="160">
        <v>7</v>
      </c>
      <c r="C708" s="160">
        <v>102</v>
      </c>
      <c r="D708" s="159">
        <v>410</v>
      </c>
      <c r="E708" s="159">
        <v>70</v>
      </c>
      <c r="F708" s="160">
        <v>4</v>
      </c>
      <c r="G708" s="161">
        <f t="shared" si="56"/>
        <v>5902</v>
      </c>
      <c r="H708" s="159">
        <f t="shared" si="57"/>
        <v>10</v>
      </c>
      <c r="I708" s="159">
        <f t="shared" si="58"/>
        <v>10250</v>
      </c>
      <c r="J708" s="147">
        <v>28</v>
      </c>
      <c r="K708" s="147">
        <v>1</v>
      </c>
      <c r="L708" s="147" t="s">
        <v>655</v>
      </c>
      <c r="M708" s="147">
        <v>10</v>
      </c>
      <c r="N708" s="147">
        <v>1</v>
      </c>
      <c r="O708" s="147" t="s">
        <v>655</v>
      </c>
      <c r="P708" s="147">
        <v>102</v>
      </c>
      <c r="Q708" s="156">
        <v>404</v>
      </c>
      <c r="R708" s="157">
        <v>0</v>
      </c>
      <c r="S708" s="158" t="s">
        <v>660</v>
      </c>
      <c r="T708" s="155" t="s">
        <v>398</v>
      </c>
      <c r="U708" s="163"/>
      <c r="V708" s="147"/>
    </row>
    <row r="709" spans="1:22">
      <c r="A709" s="159">
        <v>89</v>
      </c>
      <c r="B709" s="160">
        <v>8</v>
      </c>
      <c r="C709" s="160">
        <v>102</v>
      </c>
      <c r="D709" s="159">
        <v>468</v>
      </c>
      <c r="E709" s="159">
        <v>80</v>
      </c>
      <c r="F709" s="160">
        <v>5</v>
      </c>
      <c r="G709" s="161">
        <f t="shared" si="56"/>
        <v>5902</v>
      </c>
      <c r="H709" s="159">
        <f t="shared" si="57"/>
        <v>12</v>
      </c>
      <c r="I709" s="159">
        <f t="shared" si="58"/>
        <v>11700</v>
      </c>
      <c r="J709" s="147">
        <v>28</v>
      </c>
      <c r="K709" s="147">
        <v>1</v>
      </c>
      <c r="L709" s="147" t="s">
        <v>655</v>
      </c>
      <c r="M709" s="147">
        <v>10</v>
      </c>
      <c r="N709" s="147">
        <v>1</v>
      </c>
      <c r="O709" s="147" t="s">
        <v>655</v>
      </c>
      <c r="P709" s="147">
        <v>102</v>
      </c>
      <c r="Q709" s="156">
        <v>457</v>
      </c>
      <c r="R709" s="157">
        <v>0</v>
      </c>
      <c r="S709" s="158" t="s">
        <v>660</v>
      </c>
      <c r="T709" s="155" t="s">
        <v>398</v>
      </c>
      <c r="U709" s="163"/>
      <c r="V709" s="147"/>
    </row>
    <row r="710" spans="1:22">
      <c r="A710" s="159">
        <v>89</v>
      </c>
      <c r="B710" s="160">
        <v>9</v>
      </c>
      <c r="C710" s="160">
        <v>102</v>
      </c>
      <c r="D710" s="159">
        <v>527</v>
      </c>
      <c r="E710" s="159">
        <v>90</v>
      </c>
      <c r="F710" s="160">
        <v>5</v>
      </c>
      <c r="G710" s="161">
        <f t="shared" si="56"/>
        <v>5902</v>
      </c>
      <c r="H710" s="159">
        <f t="shared" si="57"/>
        <v>15</v>
      </c>
      <c r="I710" s="159">
        <f t="shared" si="58"/>
        <v>13175</v>
      </c>
      <c r="J710" s="147">
        <v>28</v>
      </c>
      <c r="K710" s="147">
        <v>1</v>
      </c>
      <c r="L710" s="147" t="s">
        <v>655</v>
      </c>
      <c r="M710" s="147">
        <v>10</v>
      </c>
      <c r="N710" s="147">
        <v>1</v>
      </c>
      <c r="O710" s="147" t="s">
        <v>655</v>
      </c>
      <c r="P710" s="147">
        <v>102</v>
      </c>
      <c r="Q710" s="156">
        <v>518</v>
      </c>
      <c r="R710" s="157">
        <v>0</v>
      </c>
      <c r="S710" s="158" t="s">
        <v>660</v>
      </c>
      <c r="T710" s="155" t="s">
        <v>398</v>
      </c>
      <c r="U710" s="163"/>
      <c r="V710" s="147"/>
    </row>
    <row r="711" spans="1:22">
      <c r="A711" s="159">
        <v>89</v>
      </c>
      <c r="B711" s="160">
        <v>10</v>
      </c>
      <c r="C711" s="160">
        <v>102</v>
      </c>
      <c r="D711" s="159">
        <v>585</v>
      </c>
      <c r="E711" s="159">
        <v>90</v>
      </c>
      <c r="F711" s="160">
        <v>6</v>
      </c>
      <c r="G711" s="161">
        <f t="shared" si="56"/>
        <v>5902</v>
      </c>
      <c r="H711" s="159">
        <f t="shared" si="57"/>
        <v>18</v>
      </c>
      <c r="I711" s="159">
        <f t="shared" si="58"/>
        <v>14625</v>
      </c>
      <c r="J711" s="147">
        <v>28</v>
      </c>
      <c r="K711" s="147">
        <v>1</v>
      </c>
      <c r="L711" s="147" t="s">
        <v>655</v>
      </c>
      <c r="M711" s="147">
        <v>10</v>
      </c>
      <c r="N711" s="147">
        <v>1</v>
      </c>
      <c r="O711" s="147" t="s">
        <v>655</v>
      </c>
      <c r="P711" s="147">
        <v>102</v>
      </c>
      <c r="Q711" s="156">
        <v>585</v>
      </c>
      <c r="R711" s="157">
        <v>0</v>
      </c>
      <c r="S711" s="158" t="s">
        <v>660</v>
      </c>
      <c r="T711" s="155" t="s">
        <v>398</v>
      </c>
      <c r="U711" s="163"/>
      <c r="V711" s="147"/>
    </row>
    <row r="712" spans="1:22">
      <c r="A712" s="166">
        <v>90</v>
      </c>
      <c r="B712" s="167">
        <v>1</v>
      </c>
      <c r="C712" s="167">
        <v>102</v>
      </c>
      <c r="D712" s="166">
        <v>59</v>
      </c>
      <c r="E712" s="166">
        <v>10</v>
      </c>
      <c r="F712" s="167">
        <v>1</v>
      </c>
      <c r="G712" s="168">
        <f t="shared" si="56"/>
        <v>5902</v>
      </c>
      <c r="H712" s="166">
        <f t="shared" si="57"/>
        <v>1</v>
      </c>
      <c r="I712" s="166">
        <f t="shared" si="58"/>
        <v>1475</v>
      </c>
      <c r="J712" s="147">
        <v>28</v>
      </c>
      <c r="K712" s="147">
        <v>1</v>
      </c>
      <c r="L712" s="147" t="s">
        <v>655</v>
      </c>
      <c r="M712" s="147">
        <v>1</v>
      </c>
      <c r="N712" s="147">
        <v>1</v>
      </c>
      <c r="O712" s="147" t="s">
        <v>655</v>
      </c>
      <c r="P712" s="147">
        <v>102</v>
      </c>
      <c r="Q712" s="156">
        <v>234</v>
      </c>
      <c r="R712" s="157">
        <v>0</v>
      </c>
      <c r="S712" s="158" t="s">
        <v>660</v>
      </c>
      <c r="T712" s="155" t="s">
        <v>391</v>
      </c>
      <c r="U712" s="163"/>
      <c r="V712" s="147"/>
    </row>
    <row r="713" spans="1:22">
      <c r="A713" s="166">
        <v>90</v>
      </c>
      <c r="B713" s="167">
        <v>2</v>
      </c>
      <c r="C713" s="167">
        <v>102</v>
      </c>
      <c r="D713" s="166">
        <v>117</v>
      </c>
      <c r="E713" s="166">
        <v>20</v>
      </c>
      <c r="F713" s="167">
        <v>2</v>
      </c>
      <c r="G713" s="168">
        <f t="shared" si="56"/>
        <v>5902</v>
      </c>
      <c r="H713" s="166">
        <f t="shared" si="57"/>
        <v>2</v>
      </c>
      <c r="I713" s="166">
        <f t="shared" si="58"/>
        <v>2925</v>
      </c>
      <c r="J713" s="147">
        <v>28</v>
      </c>
      <c r="K713" s="147">
        <v>1</v>
      </c>
      <c r="L713" s="147" t="s">
        <v>655</v>
      </c>
      <c r="M713" s="147">
        <v>1</v>
      </c>
      <c r="N713" s="147">
        <v>1</v>
      </c>
      <c r="O713" s="147" t="s">
        <v>655</v>
      </c>
      <c r="P713" s="147">
        <v>102</v>
      </c>
      <c r="Q713" s="156">
        <v>244</v>
      </c>
      <c r="R713" s="157">
        <v>0</v>
      </c>
      <c r="S713" s="158" t="s">
        <v>660</v>
      </c>
      <c r="T713" s="155" t="s">
        <v>391</v>
      </c>
      <c r="U713" s="163"/>
      <c r="V713" s="147"/>
    </row>
    <row r="714" spans="1:22">
      <c r="A714" s="166">
        <v>90</v>
      </c>
      <c r="B714" s="167">
        <v>3</v>
      </c>
      <c r="C714" s="167">
        <v>102</v>
      </c>
      <c r="D714" s="166">
        <v>176</v>
      </c>
      <c r="E714" s="166">
        <v>30</v>
      </c>
      <c r="F714" s="167">
        <v>2</v>
      </c>
      <c r="G714" s="168">
        <f t="shared" si="56"/>
        <v>5902</v>
      </c>
      <c r="H714" s="166">
        <f t="shared" si="57"/>
        <v>3</v>
      </c>
      <c r="I714" s="166">
        <f t="shared" si="58"/>
        <v>4400</v>
      </c>
      <c r="J714" s="147">
        <v>28</v>
      </c>
      <c r="K714" s="147">
        <v>1</v>
      </c>
      <c r="L714" s="147" t="s">
        <v>655</v>
      </c>
      <c r="M714" s="147">
        <v>1</v>
      </c>
      <c r="N714" s="147">
        <v>1</v>
      </c>
      <c r="O714" s="147" t="s">
        <v>655</v>
      </c>
      <c r="P714" s="147">
        <v>102</v>
      </c>
      <c r="Q714" s="156">
        <v>262</v>
      </c>
      <c r="R714" s="157">
        <v>0</v>
      </c>
      <c r="S714" s="158" t="s">
        <v>660</v>
      </c>
      <c r="T714" s="155" t="s">
        <v>391</v>
      </c>
      <c r="U714" s="163"/>
      <c r="V714" s="147"/>
    </row>
    <row r="715" spans="1:22">
      <c r="A715" s="166">
        <v>90</v>
      </c>
      <c r="B715" s="167">
        <v>4</v>
      </c>
      <c r="C715" s="167">
        <v>102</v>
      </c>
      <c r="D715" s="166">
        <v>234</v>
      </c>
      <c r="E715" s="166">
        <v>40</v>
      </c>
      <c r="F715" s="167">
        <v>3</v>
      </c>
      <c r="G715" s="168">
        <f t="shared" si="56"/>
        <v>5902</v>
      </c>
      <c r="H715" s="166">
        <f t="shared" si="57"/>
        <v>4</v>
      </c>
      <c r="I715" s="166">
        <f t="shared" si="58"/>
        <v>5850</v>
      </c>
      <c r="J715" s="147">
        <v>28</v>
      </c>
      <c r="K715" s="147">
        <v>1</v>
      </c>
      <c r="L715" s="147" t="s">
        <v>655</v>
      </c>
      <c r="M715" s="147">
        <v>1</v>
      </c>
      <c r="N715" s="147">
        <v>1</v>
      </c>
      <c r="O715" s="147" t="s">
        <v>655</v>
      </c>
      <c r="P715" s="147">
        <v>102</v>
      </c>
      <c r="Q715" s="156">
        <v>287</v>
      </c>
      <c r="R715" s="157">
        <v>0</v>
      </c>
      <c r="S715" s="158" t="s">
        <v>660</v>
      </c>
      <c r="T715" s="155" t="s">
        <v>391</v>
      </c>
      <c r="U715" s="163"/>
      <c r="V715" s="147"/>
    </row>
    <row r="716" spans="1:22">
      <c r="A716" s="166">
        <v>90</v>
      </c>
      <c r="B716" s="167">
        <v>5</v>
      </c>
      <c r="C716" s="167">
        <v>102</v>
      </c>
      <c r="D716" s="166">
        <v>293</v>
      </c>
      <c r="E716" s="166">
        <v>50</v>
      </c>
      <c r="F716" s="167">
        <v>3</v>
      </c>
      <c r="G716" s="168">
        <f t="shared" si="56"/>
        <v>5902</v>
      </c>
      <c r="H716" s="166">
        <f t="shared" si="57"/>
        <v>6</v>
      </c>
      <c r="I716" s="166">
        <f t="shared" si="58"/>
        <v>7325</v>
      </c>
      <c r="J716" s="147">
        <v>28</v>
      </c>
      <c r="K716" s="147">
        <v>1</v>
      </c>
      <c r="L716" s="147" t="s">
        <v>655</v>
      </c>
      <c r="M716" s="147">
        <v>1</v>
      </c>
      <c r="N716" s="147">
        <v>1</v>
      </c>
      <c r="O716" s="147" t="s">
        <v>655</v>
      </c>
      <c r="P716" s="147">
        <v>102</v>
      </c>
      <c r="Q716" s="156">
        <v>319</v>
      </c>
      <c r="R716" s="157">
        <v>0</v>
      </c>
      <c r="S716" s="158" t="s">
        <v>660</v>
      </c>
      <c r="T716" s="155" t="s">
        <v>391</v>
      </c>
      <c r="U716" s="163"/>
      <c r="V716" s="147"/>
    </row>
    <row r="717" spans="1:22">
      <c r="A717" s="166">
        <v>90</v>
      </c>
      <c r="B717" s="167">
        <v>6</v>
      </c>
      <c r="C717" s="167">
        <v>102</v>
      </c>
      <c r="D717" s="166">
        <v>351</v>
      </c>
      <c r="E717" s="166">
        <v>60</v>
      </c>
      <c r="F717" s="167">
        <v>4</v>
      </c>
      <c r="G717" s="168">
        <f t="shared" si="56"/>
        <v>5902</v>
      </c>
      <c r="H717" s="166">
        <f t="shared" si="57"/>
        <v>8</v>
      </c>
      <c r="I717" s="166">
        <f t="shared" si="58"/>
        <v>8775</v>
      </c>
      <c r="J717" s="147">
        <v>28</v>
      </c>
      <c r="K717" s="147">
        <v>1</v>
      </c>
      <c r="L717" s="147" t="s">
        <v>655</v>
      </c>
      <c r="M717" s="147">
        <v>1</v>
      </c>
      <c r="N717" s="147">
        <v>1</v>
      </c>
      <c r="O717" s="147" t="s">
        <v>655</v>
      </c>
      <c r="P717" s="147">
        <v>102</v>
      </c>
      <c r="Q717" s="156">
        <v>358</v>
      </c>
      <c r="R717" s="157">
        <v>0</v>
      </c>
      <c r="S717" s="158" t="s">
        <v>660</v>
      </c>
      <c r="T717" s="155" t="s">
        <v>391</v>
      </c>
      <c r="U717" s="163"/>
      <c r="V717" s="147"/>
    </row>
    <row r="718" spans="1:22">
      <c r="A718" s="166">
        <v>90</v>
      </c>
      <c r="B718" s="167">
        <v>7</v>
      </c>
      <c r="C718" s="167">
        <v>102</v>
      </c>
      <c r="D718" s="166">
        <v>410</v>
      </c>
      <c r="E718" s="166">
        <v>70</v>
      </c>
      <c r="F718" s="167">
        <v>4</v>
      </c>
      <c r="G718" s="168">
        <f t="shared" si="56"/>
        <v>5902</v>
      </c>
      <c r="H718" s="166">
        <f t="shared" si="57"/>
        <v>10</v>
      </c>
      <c r="I718" s="166">
        <f t="shared" si="58"/>
        <v>10250</v>
      </c>
      <c r="J718" s="147">
        <v>28</v>
      </c>
      <c r="K718" s="147">
        <v>1</v>
      </c>
      <c r="L718" s="147" t="s">
        <v>655</v>
      </c>
      <c r="M718" s="147">
        <v>1</v>
      </c>
      <c r="N718" s="147">
        <v>1</v>
      </c>
      <c r="O718" s="147" t="s">
        <v>655</v>
      </c>
      <c r="P718" s="147">
        <v>102</v>
      </c>
      <c r="Q718" s="156">
        <v>404</v>
      </c>
      <c r="R718" s="157">
        <v>0</v>
      </c>
      <c r="S718" s="158" t="s">
        <v>660</v>
      </c>
      <c r="T718" s="155" t="s">
        <v>391</v>
      </c>
      <c r="U718" s="163"/>
      <c r="V718" s="147"/>
    </row>
    <row r="719" spans="1:22">
      <c r="A719" s="166">
        <v>90</v>
      </c>
      <c r="B719" s="167">
        <v>8</v>
      </c>
      <c r="C719" s="167">
        <v>102</v>
      </c>
      <c r="D719" s="166">
        <v>468</v>
      </c>
      <c r="E719" s="166">
        <v>80</v>
      </c>
      <c r="F719" s="167">
        <v>5</v>
      </c>
      <c r="G719" s="168">
        <f t="shared" si="56"/>
        <v>5902</v>
      </c>
      <c r="H719" s="166">
        <f t="shared" si="57"/>
        <v>12</v>
      </c>
      <c r="I719" s="166">
        <f t="shared" si="58"/>
        <v>11700</v>
      </c>
      <c r="J719" s="147">
        <v>28</v>
      </c>
      <c r="K719" s="147">
        <v>1</v>
      </c>
      <c r="L719" s="147" t="s">
        <v>655</v>
      </c>
      <c r="M719" s="147">
        <v>1</v>
      </c>
      <c r="N719" s="147">
        <v>1</v>
      </c>
      <c r="O719" s="147" t="s">
        <v>655</v>
      </c>
      <c r="P719" s="147">
        <v>102</v>
      </c>
      <c r="Q719" s="156">
        <v>457</v>
      </c>
      <c r="R719" s="157">
        <v>0</v>
      </c>
      <c r="S719" s="158" t="s">
        <v>660</v>
      </c>
      <c r="T719" s="155" t="s">
        <v>391</v>
      </c>
      <c r="U719" s="163"/>
      <c r="V719" s="147"/>
    </row>
    <row r="720" spans="1:22">
      <c r="A720" s="166">
        <v>90</v>
      </c>
      <c r="B720" s="167">
        <v>9</v>
      </c>
      <c r="C720" s="167">
        <v>102</v>
      </c>
      <c r="D720" s="166">
        <v>527</v>
      </c>
      <c r="E720" s="166">
        <v>90</v>
      </c>
      <c r="F720" s="167">
        <v>5</v>
      </c>
      <c r="G720" s="168">
        <f t="shared" si="56"/>
        <v>5902</v>
      </c>
      <c r="H720" s="166">
        <f t="shared" si="57"/>
        <v>15</v>
      </c>
      <c r="I720" s="166">
        <f t="shared" si="58"/>
        <v>13175</v>
      </c>
      <c r="J720" s="147">
        <v>28</v>
      </c>
      <c r="K720" s="147">
        <v>1</v>
      </c>
      <c r="L720" s="147" t="s">
        <v>655</v>
      </c>
      <c r="M720" s="147">
        <v>1</v>
      </c>
      <c r="N720" s="147">
        <v>1</v>
      </c>
      <c r="O720" s="147" t="s">
        <v>655</v>
      </c>
      <c r="P720" s="147">
        <v>102</v>
      </c>
      <c r="Q720" s="156">
        <v>518</v>
      </c>
      <c r="R720" s="157">
        <v>0</v>
      </c>
      <c r="S720" s="158" t="s">
        <v>660</v>
      </c>
      <c r="T720" s="155" t="s">
        <v>391</v>
      </c>
      <c r="U720" s="163"/>
      <c r="V720" s="147"/>
    </row>
    <row r="721" spans="1:22">
      <c r="A721" s="166">
        <v>90</v>
      </c>
      <c r="B721" s="167">
        <v>10</v>
      </c>
      <c r="C721" s="167">
        <v>102</v>
      </c>
      <c r="D721" s="166">
        <v>585</v>
      </c>
      <c r="E721" s="166">
        <v>90</v>
      </c>
      <c r="F721" s="167">
        <v>6</v>
      </c>
      <c r="G721" s="168">
        <f t="shared" si="56"/>
        <v>5902</v>
      </c>
      <c r="H721" s="166">
        <f t="shared" si="57"/>
        <v>18</v>
      </c>
      <c r="I721" s="166">
        <f t="shared" si="58"/>
        <v>14625</v>
      </c>
      <c r="J721" s="147">
        <v>28</v>
      </c>
      <c r="K721" s="147">
        <v>1</v>
      </c>
      <c r="L721" s="147" t="s">
        <v>655</v>
      </c>
      <c r="M721" s="147">
        <v>1</v>
      </c>
      <c r="N721" s="147">
        <v>1</v>
      </c>
      <c r="O721" s="147" t="s">
        <v>655</v>
      </c>
      <c r="P721" s="147">
        <v>102</v>
      </c>
      <c r="Q721" s="156">
        <v>585</v>
      </c>
      <c r="R721" s="157">
        <v>0</v>
      </c>
      <c r="S721" s="158" t="s">
        <v>660</v>
      </c>
      <c r="T721" s="155" t="s">
        <v>391</v>
      </c>
      <c r="U721" s="163"/>
      <c r="V721" s="147"/>
    </row>
    <row r="722" spans="1:22">
      <c r="A722" s="159">
        <v>91</v>
      </c>
      <c r="B722" s="160">
        <v>1</v>
      </c>
      <c r="C722" s="160">
        <v>102</v>
      </c>
      <c r="D722" s="159">
        <v>59</v>
      </c>
      <c r="E722" s="159">
        <v>10</v>
      </c>
      <c r="F722" s="160">
        <v>1</v>
      </c>
      <c r="G722" s="161">
        <f t="shared" si="56"/>
        <v>5902</v>
      </c>
      <c r="H722" s="159">
        <f t="shared" si="57"/>
        <v>1</v>
      </c>
      <c r="I722" s="159">
        <f t="shared" si="58"/>
        <v>1475</v>
      </c>
      <c r="J722" s="147">
        <v>28</v>
      </c>
      <c r="K722" s="147">
        <v>1</v>
      </c>
      <c r="L722" s="147" t="s">
        <v>655</v>
      </c>
      <c r="M722" s="147">
        <v>4</v>
      </c>
      <c r="N722" s="147">
        <v>1</v>
      </c>
      <c r="O722" s="147" t="s">
        <v>655</v>
      </c>
      <c r="P722" s="147">
        <v>102</v>
      </c>
      <c r="Q722" s="156">
        <v>234</v>
      </c>
      <c r="R722" s="157">
        <v>0</v>
      </c>
      <c r="S722" s="158" t="s">
        <v>660</v>
      </c>
      <c r="T722" s="155" t="s">
        <v>394</v>
      </c>
      <c r="U722" s="163"/>
      <c r="V722" s="147"/>
    </row>
    <row r="723" spans="1:22">
      <c r="A723" s="159">
        <v>91</v>
      </c>
      <c r="B723" s="160">
        <v>2</v>
      </c>
      <c r="C723" s="160">
        <v>102</v>
      </c>
      <c r="D723" s="159">
        <v>117</v>
      </c>
      <c r="E723" s="159">
        <v>20</v>
      </c>
      <c r="F723" s="160">
        <v>2</v>
      </c>
      <c r="G723" s="161">
        <f t="shared" si="56"/>
        <v>5902</v>
      </c>
      <c r="H723" s="159">
        <f t="shared" si="57"/>
        <v>2</v>
      </c>
      <c r="I723" s="159">
        <f t="shared" si="58"/>
        <v>2925</v>
      </c>
      <c r="J723" s="147">
        <v>28</v>
      </c>
      <c r="K723" s="147">
        <v>1</v>
      </c>
      <c r="L723" s="147" t="s">
        <v>655</v>
      </c>
      <c r="M723" s="147">
        <v>4</v>
      </c>
      <c r="N723" s="147">
        <v>1</v>
      </c>
      <c r="O723" s="147" t="s">
        <v>655</v>
      </c>
      <c r="P723" s="147">
        <v>102</v>
      </c>
      <c r="Q723" s="156">
        <v>244</v>
      </c>
      <c r="R723" s="157">
        <v>0</v>
      </c>
      <c r="S723" s="158" t="s">
        <v>660</v>
      </c>
      <c r="T723" s="155" t="s">
        <v>394</v>
      </c>
      <c r="U723" s="163"/>
      <c r="V723" s="147"/>
    </row>
    <row r="724" spans="1:22">
      <c r="A724" s="159">
        <v>91</v>
      </c>
      <c r="B724" s="160">
        <v>3</v>
      </c>
      <c r="C724" s="160">
        <v>102</v>
      </c>
      <c r="D724" s="159">
        <v>176</v>
      </c>
      <c r="E724" s="159">
        <v>30</v>
      </c>
      <c r="F724" s="160">
        <v>2</v>
      </c>
      <c r="G724" s="161">
        <f t="shared" si="56"/>
        <v>5902</v>
      </c>
      <c r="H724" s="159">
        <f t="shared" si="57"/>
        <v>3</v>
      </c>
      <c r="I724" s="159">
        <f t="shared" si="58"/>
        <v>4400</v>
      </c>
      <c r="J724" s="147">
        <v>28</v>
      </c>
      <c r="K724" s="147">
        <v>1</v>
      </c>
      <c r="L724" s="147" t="s">
        <v>655</v>
      </c>
      <c r="M724" s="147">
        <v>4</v>
      </c>
      <c r="N724" s="147">
        <v>1</v>
      </c>
      <c r="O724" s="147" t="s">
        <v>655</v>
      </c>
      <c r="P724" s="147">
        <v>102</v>
      </c>
      <c r="Q724" s="156">
        <v>262</v>
      </c>
      <c r="R724" s="157">
        <v>0</v>
      </c>
      <c r="S724" s="158" t="s">
        <v>660</v>
      </c>
      <c r="T724" s="155" t="s">
        <v>394</v>
      </c>
      <c r="U724" s="163"/>
      <c r="V724" s="147"/>
    </row>
    <row r="725" spans="1:22">
      <c r="A725" s="159">
        <v>91</v>
      </c>
      <c r="B725" s="160">
        <v>4</v>
      </c>
      <c r="C725" s="160">
        <v>102</v>
      </c>
      <c r="D725" s="159">
        <v>234</v>
      </c>
      <c r="E725" s="159">
        <v>40</v>
      </c>
      <c r="F725" s="160">
        <v>3</v>
      </c>
      <c r="G725" s="161">
        <f t="shared" si="56"/>
        <v>5902</v>
      </c>
      <c r="H725" s="159">
        <f t="shared" si="57"/>
        <v>4</v>
      </c>
      <c r="I725" s="159">
        <f t="shared" si="58"/>
        <v>5850</v>
      </c>
      <c r="J725" s="147">
        <v>28</v>
      </c>
      <c r="K725" s="147">
        <v>1</v>
      </c>
      <c r="L725" s="147" t="s">
        <v>655</v>
      </c>
      <c r="M725" s="147">
        <v>4</v>
      </c>
      <c r="N725" s="147">
        <v>1</v>
      </c>
      <c r="O725" s="147" t="s">
        <v>655</v>
      </c>
      <c r="P725" s="147">
        <v>102</v>
      </c>
      <c r="Q725" s="156">
        <v>287</v>
      </c>
      <c r="R725" s="157">
        <v>0</v>
      </c>
      <c r="S725" s="158" t="s">
        <v>660</v>
      </c>
      <c r="T725" s="155" t="s">
        <v>394</v>
      </c>
      <c r="U725" s="163"/>
      <c r="V725" s="147"/>
    </row>
    <row r="726" spans="1:22">
      <c r="A726" s="159">
        <v>91</v>
      </c>
      <c r="B726" s="160">
        <v>5</v>
      </c>
      <c r="C726" s="160">
        <v>102</v>
      </c>
      <c r="D726" s="159">
        <v>293</v>
      </c>
      <c r="E726" s="159">
        <v>50</v>
      </c>
      <c r="F726" s="160">
        <v>3</v>
      </c>
      <c r="G726" s="161">
        <f t="shared" si="56"/>
        <v>5902</v>
      </c>
      <c r="H726" s="159">
        <f t="shared" si="57"/>
        <v>6</v>
      </c>
      <c r="I726" s="159">
        <f t="shared" si="58"/>
        <v>7325</v>
      </c>
      <c r="J726" s="147">
        <v>28</v>
      </c>
      <c r="K726" s="147">
        <v>1</v>
      </c>
      <c r="L726" s="147" t="s">
        <v>655</v>
      </c>
      <c r="M726" s="147">
        <v>4</v>
      </c>
      <c r="N726" s="147">
        <v>1</v>
      </c>
      <c r="O726" s="147" t="s">
        <v>655</v>
      </c>
      <c r="P726" s="147">
        <v>102</v>
      </c>
      <c r="Q726" s="156">
        <v>319</v>
      </c>
      <c r="R726" s="157">
        <v>0</v>
      </c>
      <c r="S726" s="158" t="s">
        <v>660</v>
      </c>
      <c r="T726" s="155" t="s">
        <v>394</v>
      </c>
      <c r="U726" s="163"/>
      <c r="V726" s="147"/>
    </row>
    <row r="727" spans="1:22">
      <c r="A727" s="159">
        <v>91</v>
      </c>
      <c r="B727" s="160">
        <v>6</v>
      </c>
      <c r="C727" s="160">
        <v>102</v>
      </c>
      <c r="D727" s="159">
        <v>351</v>
      </c>
      <c r="E727" s="159">
        <v>60</v>
      </c>
      <c r="F727" s="160">
        <v>4</v>
      </c>
      <c r="G727" s="161">
        <f t="shared" si="56"/>
        <v>5902</v>
      </c>
      <c r="H727" s="159">
        <f t="shared" si="57"/>
        <v>8</v>
      </c>
      <c r="I727" s="159">
        <f t="shared" si="58"/>
        <v>8775</v>
      </c>
      <c r="J727" s="147">
        <v>28</v>
      </c>
      <c r="K727" s="147">
        <v>1</v>
      </c>
      <c r="L727" s="147" t="s">
        <v>655</v>
      </c>
      <c r="M727" s="147">
        <v>4</v>
      </c>
      <c r="N727" s="147">
        <v>1</v>
      </c>
      <c r="O727" s="147" t="s">
        <v>655</v>
      </c>
      <c r="P727" s="147">
        <v>102</v>
      </c>
      <c r="Q727" s="156">
        <v>358</v>
      </c>
      <c r="R727" s="157">
        <v>0</v>
      </c>
      <c r="S727" s="158" t="s">
        <v>660</v>
      </c>
      <c r="T727" s="155" t="s">
        <v>394</v>
      </c>
      <c r="U727" s="163"/>
      <c r="V727" s="147"/>
    </row>
    <row r="728" spans="1:22">
      <c r="A728" s="159">
        <v>91</v>
      </c>
      <c r="B728" s="160">
        <v>7</v>
      </c>
      <c r="C728" s="160">
        <v>102</v>
      </c>
      <c r="D728" s="159">
        <v>410</v>
      </c>
      <c r="E728" s="159">
        <v>70</v>
      </c>
      <c r="F728" s="160">
        <v>4</v>
      </c>
      <c r="G728" s="161">
        <f t="shared" si="56"/>
        <v>5902</v>
      </c>
      <c r="H728" s="159">
        <f t="shared" si="57"/>
        <v>10</v>
      </c>
      <c r="I728" s="159">
        <f t="shared" si="58"/>
        <v>10250</v>
      </c>
      <c r="J728" s="147">
        <v>28</v>
      </c>
      <c r="K728" s="147">
        <v>1</v>
      </c>
      <c r="L728" s="147" t="s">
        <v>655</v>
      </c>
      <c r="M728" s="147">
        <v>4</v>
      </c>
      <c r="N728" s="147">
        <v>1</v>
      </c>
      <c r="O728" s="147" t="s">
        <v>655</v>
      </c>
      <c r="P728" s="147">
        <v>102</v>
      </c>
      <c r="Q728" s="156">
        <v>404</v>
      </c>
      <c r="R728" s="157">
        <v>0</v>
      </c>
      <c r="S728" s="158" t="s">
        <v>660</v>
      </c>
      <c r="T728" s="155" t="s">
        <v>394</v>
      </c>
      <c r="U728" s="163"/>
      <c r="V728" s="147"/>
    </row>
    <row r="729" spans="1:22">
      <c r="A729" s="159">
        <v>91</v>
      </c>
      <c r="B729" s="160">
        <v>8</v>
      </c>
      <c r="C729" s="160">
        <v>102</v>
      </c>
      <c r="D729" s="159">
        <v>468</v>
      </c>
      <c r="E729" s="159">
        <v>80</v>
      </c>
      <c r="F729" s="160">
        <v>5</v>
      </c>
      <c r="G729" s="161">
        <f t="shared" si="56"/>
        <v>5902</v>
      </c>
      <c r="H729" s="159">
        <f t="shared" si="57"/>
        <v>12</v>
      </c>
      <c r="I729" s="159">
        <f t="shared" si="58"/>
        <v>11700</v>
      </c>
      <c r="J729" s="147">
        <v>28</v>
      </c>
      <c r="K729" s="147">
        <v>1</v>
      </c>
      <c r="L729" s="147" t="s">
        <v>655</v>
      </c>
      <c r="M729" s="147">
        <v>4</v>
      </c>
      <c r="N729" s="147">
        <v>1</v>
      </c>
      <c r="O729" s="147" t="s">
        <v>655</v>
      </c>
      <c r="P729" s="147">
        <v>102</v>
      </c>
      <c r="Q729" s="156">
        <v>457</v>
      </c>
      <c r="R729" s="157">
        <v>0</v>
      </c>
      <c r="S729" s="158" t="s">
        <v>660</v>
      </c>
      <c r="T729" s="155" t="s">
        <v>394</v>
      </c>
      <c r="U729" s="163"/>
      <c r="V729" s="147"/>
    </row>
    <row r="730" spans="1:22">
      <c r="A730" s="159">
        <v>91</v>
      </c>
      <c r="B730" s="160">
        <v>9</v>
      </c>
      <c r="C730" s="160">
        <v>102</v>
      </c>
      <c r="D730" s="159">
        <v>527</v>
      </c>
      <c r="E730" s="159">
        <v>90</v>
      </c>
      <c r="F730" s="160">
        <v>5</v>
      </c>
      <c r="G730" s="161">
        <f t="shared" si="56"/>
        <v>5902</v>
      </c>
      <c r="H730" s="159">
        <f t="shared" si="57"/>
        <v>15</v>
      </c>
      <c r="I730" s="159">
        <f t="shared" si="58"/>
        <v>13175</v>
      </c>
      <c r="J730" s="147">
        <v>28</v>
      </c>
      <c r="K730" s="147">
        <v>1</v>
      </c>
      <c r="L730" s="147" t="s">
        <v>655</v>
      </c>
      <c r="M730" s="147">
        <v>4</v>
      </c>
      <c r="N730" s="147">
        <v>1</v>
      </c>
      <c r="O730" s="147" t="s">
        <v>655</v>
      </c>
      <c r="P730" s="147">
        <v>102</v>
      </c>
      <c r="Q730" s="156">
        <v>518</v>
      </c>
      <c r="R730" s="157">
        <v>0</v>
      </c>
      <c r="S730" s="158" t="s">
        <v>660</v>
      </c>
      <c r="T730" s="155" t="s">
        <v>394</v>
      </c>
      <c r="U730" s="163"/>
      <c r="V730" s="147"/>
    </row>
    <row r="731" spans="1:22">
      <c r="A731" s="159">
        <v>91</v>
      </c>
      <c r="B731" s="160">
        <v>10</v>
      </c>
      <c r="C731" s="160">
        <v>102</v>
      </c>
      <c r="D731" s="159">
        <v>585</v>
      </c>
      <c r="E731" s="159">
        <v>90</v>
      </c>
      <c r="F731" s="160">
        <v>6</v>
      </c>
      <c r="G731" s="161">
        <f t="shared" si="56"/>
        <v>5902</v>
      </c>
      <c r="H731" s="159">
        <f t="shared" si="57"/>
        <v>18</v>
      </c>
      <c r="I731" s="159">
        <f t="shared" si="58"/>
        <v>14625</v>
      </c>
      <c r="J731" s="147">
        <v>28</v>
      </c>
      <c r="K731" s="147">
        <v>1</v>
      </c>
      <c r="L731" s="147" t="s">
        <v>655</v>
      </c>
      <c r="M731" s="147">
        <v>4</v>
      </c>
      <c r="N731" s="147">
        <v>1</v>
      </c>
      <c r="O731" s="147" t="s">
        <v>655</v>
      </c>
      <c r="P731" s="147">
        <v>102</v>
      </c>
      <c r="Q731" s="156">
        <v>585</v>
      </c>
      <c r="R731" s="157">
        <v>0</v>
      </c>
      <c r="S731" s="158" t="s">
        <v>660</v>
      </c>
      <c r="T731" s="155" t="s">
        <v>394</v>
      </c>
      <c r="U731" s="163"/>
      <c r="V731" s="147"/>
    </row>
    <row r="732" spans="1:22">
      <c r="A732" s="166">
        <v>92</v>
      </c>
      <c r="B732" s="167">
        <v>1</v>
      </c>
      <c r="C732" s="167">
        <v>104</v>
      </c>
      <c r="D732" s="166">
        <v>1002</v>
      </c>
      <c r="E732" s="166">
        <v>10</v>
      </c>
      <c r="F732" s="167">
        <v>1</v>
      </c>
      <c r="G732" s="168">
        <f t="shared" si="56"/>
        <v>5902</v>
      </c>
      <c r="H732" s="166">
        <f t="shared" si="57"/>
        <v>1</v>
      </c>
      <c r="I732" s="166">
        <f t="shared" si="58"/>
        <v>1002</v>
      </c>
      <c r="J732" s="147">
        <v>28</v>
      </c>
      <c r="K732" s="147">
        <v>1</v>
      </c>
      <c r="L732" s="147" t="s">
        <v>655</v>
      </c>
      <c r="M732" s="147">
        <v>17</v>
      </c>
      <c r="N732" s="147">
        <v>3</v>
      </c>
      <c r="O732" s="147" t="s">
        <v>657</v>
      </c>
      <c r="P732" s="147">
        <v>104</v>
      </c>
      <c r="Q732" s="156">
        <v>4007</v>
      </c>
      <c r="R732" s="157">
        <v>0</v>
      </c>
      <c r="S732" s="158" t="s">
        <v>660</v>
      </c>
      <c r="T732" s="155" t="s">
        <v>405</v>
      </c>
      <c r="U732" s="163"/>
      <c r="V732" s="147"/>
    </row>
    <row r="733" spans="1:22">
      <c r="A733" s="166">
        <v>92</v>
      </c>
      <c r="B733" s="167">
        <v>2</v>
      </c>
      <c r="C733" s="167">
        <v>104</v>
      </c>
      <c r="D733" s="166">
        <v>2004</v>
      </c>
      <c r="E733" s="166">
        <v>20</v>
      </c>
      <c r="F733" s="167">
        <v>2</v>
      </c>
      <c r="G733" s="168">
        <f t="shared" si="56"/>
        <v>5902</v>
      </c>
      <c r="H733" s="166">
        <f t="shared" si="57"/>
        <v>2</v>
      </c>
      <c r="I733" s="166">
        <f t="shared" si="58"/>
        <v>2004</v>
      </c>
      <c r="J733" s="147">
        <v>28</v>
      </c>
      <c r="K733" s="147">
        <v>1</v>
      </c>
      <c r="L733" s="147" t="s">
        <v>655</v>
      </c>
      <c r="M733" s="147">
        <v>17</v>
      </c>
      <c r="N733" s="147">
        <v>3</v>
      </c>
      <c r="O733" s="147" t="s">
        <v>657</v>
      </c>
      <c r="P733" s="147">
        <v>104</v>
      </c>
      <c r="Q733" s="156">
        <v>4189</v>
      </c>
      <c r="R733" s="157">
        <v>0</v>
      </c>
      <c r="S733" s="158" t="s">
        <v>660</v>
      </c>
      <c r="T733" s="155" t="s">
        <v>405</v>
      </c>
      <c r="U733" s="163"/>
      <c r="V733" s="147"/>
    </row>
    <row r="734" spans="1:22">
      <c r="A734" s="166">
        <v>92</v>
      </c>
      <c r="B734" s="167">
        <v>3</v>
      </c>
      <c r="C734" s="167">
        <v>104</v>
      </c>
      <c r="D734" s="166">
        <v>3006</v>
      </c>
      <c r="E734" s="166">
        <v>30</v>
      </c>
      <c r="F734" s="167">
        <v>2</v>
      </c>
      <c r="G734" s="168">
        <f t="shared" si="56"/>
        <v>5902</v>
      </c>
      <c r="H734" s="166">
        <f t="shared" si="57"/>
        <v>3</v>
      </c>
      <c r="I734" s="166">
        <f t="shared" si="58"/>
        <v>3006</v>
      </c>
      <c r="J734" s="147">
        <v>28</v>
      </c>
      <c r="K734" s="147">
        <v>1</v>
      </c>
      <c r="L734" s="147" t="s">
        <v>655</v>
      </c>
      <c r="M734" s="147">
        <v>17</v>
      </c>
      <c r="N734" s="147">
        <v>3</v>
      </c>
      <c r="O734" s="147" t="s">
        <v>657</v>
      </c>
      <c r="P734" s="147">
        <v>104</v>
      </c>
      <c r="Q734" s="156">
        <v>4492</v>
      </c>
      <c r="R734" s="157">
        <v>0</v>
      </c>
      <c r="S734" s="158" t="s">
        <v>660</v>
      </c>
      <c r="T734" s="155" t="s">
        <v>405</v>
      </c>
      <c r="U734" s="163"/>
      <c r="V734" s="147"/>
    </row>
    <row r="735" spans="1:22">
      <c r="A735" s="166">
        <v>92</v>
      </c>
      <c r="B735" s="167">
        <v>4</v>
      </c>
      <c r="C735" s="167">
        <v>104</v>
      </c>
      <c r="D735" s="166">
        <v>4008</v>
      </c>
      <c r="E735" s="166">
        <v>40</v>
      </c>
      <c r="F735" s="167">
        <v>3</v>
      </c>
      <c r="G735" s="168">
        <f t="shared" si="56"/>
        <v>5902</v>
      </c>
      <c r="H735" s="166">
        <f t="shared" si="57"/>
        <v>4</v>
      </c>
      <c r="I735" s="166">
        <f t="shared" si="58"/>
        <v>4008</v>
      </c>
      <c r="J735" s="147">
        <v>28</v>
      </c>
      <c r="K735" s="147">
        <v>1</v>
      </c>
      <c r="L735" s="147" t="s">
        <v>655</v>
      </c>
      <c r="M735" s="147">
        <v>17</v>
      </c>
      <c r="N735" s="147">
        <v>3</v>
      </c>
      <c r="O735" s="147" t="s">
        <v>657</v>
      </c>
      <c r="P735" s="147">
        <v>104</v>
      </c>
      <c r="Q735" s="156">
        <v>4917</v>
      </c>
      <c r="R735" s="157">
        <v>0</v>
      </c>
      <c r="S735" s="158" t="s">
        <v>660</v>
      </c>
      <c r="T735" s="155" t="s">
        <v>405</v>
      </c>
      <c r="U735" s="163"/>
      <c r="V735" s="147"/>
    </row>
    <row r="736" spans="1:22">
      <c r="A736" s="166">
        <v>92</v>
      </c>
      <c r="B736" s="167">
        <v>5</v>
      </c>
      <c r="C736" s="167">
        <v>104</v>
      </c>
      <c r="D736" s="166">
        <v>5009</v>
      </c>
      <c r="E736" s="166">
        <v>50</v>
      </c>
      <c r="F736" s="167">
        <v>3</v>
      </c>
      <c r="G736" s="168">
        <f t="shared" si="56"/>
        <v>5902</v>
      </c>
      <c r="H736" s="166">
        <f t="shared" si="57"/>
        <v>6</v>
      </c>
      <c r="I736" s="166">
        <f t="shared" si="58"/>
        <v>5009</v>
      </c>
      <c r="J736" s="147">
        <v>28</v>
      </c>
      <c r="K736" s="147">
        <v>1</v>
      </c>
      <c r="L736" s="147" t="s">
        <v>655</v>
      </c>
      <c r="M736" s="147">
        <v>17</v>
      </c>
      <c r="N736" s="147">
        <v>3</v>
      </c>
      <c r="O736" s="147" t="s">
        <v>657</v>
      </c>
      <c r="P736" s="147">
        <v>104</v>
      </c>
      <c r="Q736" s="156">
        <v>5464</v>
      </c>
      <c r="R736" s="157">
        <v>0</v>
      </c>
      <c r="S736" s="158" t="s">
        <v>660</v>
      </c>
      <c r="T736" s="155" t="s">
        <v>405</v>
      </c>
      <c r="U736" s="163"/>
      <c r="V736" s="147"/>
    </row>
    <row r="737" spans="1:22">
      <c r="A737" s="166">
        <v>92</v>
      </c>
      <c r="B737" s="167">
        <v>6</v>
      </c>
      <c r="C737" s="167">
        <v>104</v>
      </c>
      <c r="D737" s="166">
        <v>6011</v>
      </c>
      <c r="E737" s="166">
        <v>60</v>
      </c>
      <c r="F737" s="167">
        <v>4</v>
      </c>
      <c r="G737" s="168">
        <f t="shared" si="56"/>
        <v>5902</v>
      </c>
      <c r="H737" s="166">
        <f t="shared" si="57"/>
        <v>8</v>
      </c>
      <c r="I737" s="166">
        <f t="shared" si="58"/>
        <v>6011</v>
      </c>
      <c r="J737" s="147">
        <v>28</v>
      </c>
      <c r="K737" s="147">
        <v>1</v>
      </c>
      <c r="L737" s="147" t="s">
        <v>655</v>
      </c>
      <c r="M737" s="147">
        <v>17</v>
      </c>
      <c r="N737" s="147">
        <v>3</v>
      </c>
      <c r="O737" s="147" t="s">
        <v>657</v>
      </c>
      <c r="P737" s="147">
        <v>104</v>
      </c>
      <c r="Q737" s="156">
        <v>6132</v>
      </c>
      <c r="R737" s="157">
        <v>0</v>
      </c>
      <c r="S737" s="158" t="s">
        <v>660</v>
      </c>
      <c r="T737" s="155" t="s">
        <v>405</v>
      </c>
      <c r="U737" s="163"/>
      <c r="V737" s="147"/>
    </row>
    <row r="738" spans="1:22">
      <c r="A738" s="166">
        <v>92</v>
      </c>
      <c r="B738" s="167">
        <v>7</v>
      </c>
      <c r="C738" s="167">
        <v>104</v>
      </c>
      <c r="D738" s="166">
        <v>7013</v>
      </c>
      <c r="E738" s="166">
        <v>70</v>
      </c>
      <c r="F738" s="167">
        <v>4</v>
      </c>
      <c r="G738" s="168">
        <f t="shared" si="56"/>
        <v>5902</v>
      </c>
      <c r="H738" s="166">
        <f t="shared" si="57"/>
        <v>10</v>
      </c>
      <c r="I738" s="166">
        <f t="shared" si="58"/>
        <v>7013</v>
      </c>
      <c r="J738" s="147">
        <v>28</v>
      </c>
      <c r="K738" s="147">
        <v>1</v>
      </c>
      <c r="L738" s="147" t="s">
        <v>655</v>
      </c>
      <c r="M738" s="147">
        <v>17</v>
      </c>
      <c r="N738" s="147">
        <v>3</v>
      </c>
      <c r="O738" s="147" t="s">
        <v>657</v>
      </c>
      <c r="P738" s="147">
        <v>104</v>
      </c>
      <c r="Q738" s="156">
        <v>6921</v>
      </c>
      <c r="R738" s="157">
        <v>0</v>
      </c>
      <c r="S738" s="158" t="s">
        <v>660</v>
      </c>
      <c r="T738" s="155" t="s">
        <v>405</v>
      </c>
      <c r="U738" s="163"/>
      <c r="V738" s="147"/>
    </row>
    <row r="739" spans="1:22">
      <c r="A739" s="166">
        <v>92</v>
      </c>
      <c r="B739" s="167">
        <v>8</v>
      </c>
      <c r="C739" s="167">
        <v>104</v>
      </c>
      <c r="D739" s="166">
        <v>8015</v>
      </c>
      <c r="E739" s="166">
        <v>80</v>
      </c>
      <c r="F739" s="167">
        <v>5</v>
      </c>
      <c r="G739" s="168">
        <f t="shared" si="56"/>
        <v>5902</v>
      </c>
      <c r="H739" s="166">
        <f t="shared" si="57"/>
        <v>12</v>
      </c>
      <c r="I739" s="166">
        <f t="shared" si="58"/>
        <v>8015</v>
      </c>
      <c r="J739" s="147">
        <v>28</v>
      </c>
      <c r="K739" s="147">
        <v>1</v>
      </c>
      <c r="L739" s="147" t="s">
        <v>655</v>
      </c>
      <c r="M739" s="147">
        <v>17</v>
      </c>
      <c r="N739" s="147">
        <v>3</v>
      </c>
      <c r="O739" s="147" t="s">
        <v>657</v>
      </c>
      <c r="P739" s="147">
        <v>104</v>
      </c>
      <c r="Q739" s="156">
        <v>7832</v>
      </c>
      <c r="R739" s="157">
        <v>0</v>
      </c>
      <c r="S739" s="158" t="s">
        <v>660</v>
      </c>
      <c r="T739" s="155" t="s">
        <v>405</v>
      </c>
      <c r="U739" s="163"/>
      <c r="V739" s="147"/>
    </row>
    <row r="740" spans="1:22">
      <c r="A740" s="166">
        <v>92</v>
      </c>
      <c r="B740" s="167">
        <v>9</v>
      </c>
      <c r="C740" s="167">
        <v>104</v>
      </c>
      <c r="D740" s="166">
        <v>9017</v>
      </c>
      <c r="E740" s="166">
        <v>90</v>
      </c>
      <c r="F740" s="167">
        <v>5</v>
      </c>
      <c r="G740" s="168">
        <f t="shared" si="56"/>
        <v>5902</v>
      </c>
      <c r="H740" s="166">
        <f t="shared" si="57"/>
        <v>15</v>
      </c>
      <c r="I740" s="166">
        <f t="shared" si="58"/>
        <v>9017</v>
      </c>
      <c r="J740" s="147">
        <v>28</v>
      </c>
      <c r="K740" s="147">
        <v>1</v>
      </c>
      <c r="L740" s="147" t="s">
        <v>655</v>
      </c>
      <c r="M740" s="147">
        <v>17</v>
      </c>
      <c r="N740" s="147">
        <v>3</v>
      </c>
      <c r="O740" s="147" t="s">
        <v>657</v>
      </c>
      <c r="P740" s="147">
        <v>104</v>
      </c>
      <c r="Q740" s="156">
        <v>8864</v>
      </c>
      <c r="R740" s="157">
        <v>0</v>
      </c>
      <c r="S740" s="158" t="s">
        <v>660</v>
      </c>
      <c r="T740" s="155" t="s">
        <v>405</v>
      </c>
      <c r="U740" s="163"/>
      <c r="V740" s="147"/>
    </row>
    <row r="741" spans="1:22">
      <c r="A741" s="166">
        <v>92</v>
      </c>
      <c r="B741" s="167">
        <v>10</v>
      </c>
      <c r="C741" s="167">
        <v>104</v>
      </c>
      <c r="D741" s="166">
        <v>10018</v>
      </c>
      <c r="E741" s="166">
        <v>90</v>
      </c>
      <c r="F741" s="167">
        <v>6</v>
      </c>
      <c r="G741" s="168">
        <f t="shared" si="56"/>
        <v>5902</v>
      </c>
      <c r="H741" s="166">
        <f t="shared" si="57"/>
        <v>18</v>
      </c>
      <c r="I741" s="166">
        <f t="shared" si="58"/>
        <v>10018</v>
      </c>
      <c r="J741" s="147">
        <v>28</v>
      </c>
      <c r="K741" s="147">
        <v>1</v>
      </c>
      <c r="L741" s="147" t="s">
        <v>655</v>
      </c>
      <c r="M741" s="147">
        <v>17</v>
      </c>
      <c r="N741" s="147">
        <v>3</v>
      </c>
      <c r="O741" s="147" t="s">
        <v>657</v>
      </c>
      <c r="P741" s="147">
        <v>104</v>
      </c>
      <c r="Q741" s="156">
        <v>10018</v>
      </c>
      <c r="R741" s="157">
        <v>0</v>
      </c>
      <c r="S741" s="158" t="s">
        <v>660</v>
      </c>
      <c r="T741" s="155" t="s">
        <v>405</v>
      </c>
      <c r="U741" s="163"/>
      <c r="V741" s="147"/>
    </row>
    <row r="742" spans="1:22">
      <c r="A742" s="159">
        <v>93</v>
      </c>
      <c r="B742" s="160">
        <v>1</v>
      </c>
      <c r="C742" s="160">
        <v>101</v>
      </c>
      <c r="D742" s="159">
        <v>102</v>
      </c>
      <c r="E742" s="159">
        <v>10</v>
      </c>
      <c r="F742" s="160">
        <v>1</v>
      </c>
      <c r="G742" s="161">
        <f t="shared" si="56"/>
        <v>5902</v>
      </c>
      <c r="H742" s="159">
        <f t="shared" si="57"/>
        <v>1</v>
      </c>
      <c r="I742" s="159">
        <f t="shared" si="58"/>
        <v>2550</v>
      </c>
      <c r="J742" s="147">
        <v>29</v>
      </c>
      <c r="K742" s="147">
        <v>2</v>
      </c>
      <c r="L742" s="147" t="s">
        <v>656</v>
      </c>
      <c r="M742" s="147">
        <v>13</v>
      </c>
      <c r="N742" s="147">
        <v>2</v>
      </c>
      <c r="O742" s="147" t="s">
        <v>656</v>
      </c>
      <c r="P742" s="147">
        <v>101</v>
      </c>
      <c r="Q742" s="156">
        <v>406</v>
      </c>
      <c r="R742" s="157">
        <v>0</v>
      </c>
      <c r="S742" s="158" t="s">
        <v>661</v>
      </c>
      <c r="T742" s="155" t="s">
        <v>401</v>
      </c>
      <c r="U742" s="163"/>
      <c r="V742" s="147"/>
    </row>
    <row r="743" spans="1:22">
      <c r="A743" s="159">
        <v>93</v>
      </c>
      <c r="B743" s="160">
        <v>2</v>
      </c>
      <c r="C743" s="160">
        <v>101</v>
      </c>
      <c r="D743" s="159">
        <v>203</v>
      </c>
      <c r="E743" s="159">
        <v>20</v>
      </c>
      <c r="F743" s="160">
        <v>2</v>
      </c>
      <c r="G743" s="161">
        <f t="shared" si="56"/>
        <v>5902</v>
      </c>
      <c r="H743" s="159">
        <f t="shared" si="57"/>
        <v>2</v>
      </c>
      <c r="I743" s="159">
        <f t="shared" si="58"/>
        <v>5075</v>
      </c>
      <c r="J743" s="147">
        <v>29</v>
      </c>
      <c r="K743" s="147">
        <v>2</v>
      </c>
      <c r="L743" s="147" t="s">
        <v>656</v>
      </c>
      <c r="M743" s="147">
        <v>13</v>
      </c>
      <c r="N743" s="147">
        <v>2</v>
      </c>
      <c r="O743" s="147" t="s">
        <v>656</v>
      </c>
      <c r="P743" s="147">
        <v>101</v>
      </c>
      <c r="Q743" s="156">
        <v>424</v>
      </c>
      <c r="R743" s="157">
        <v>0</v>
      </c>
      <c r="S743" s="158" t="s">
        <v>661</v>
      </c>
      <c r="T743" s="155" t="s">
        <v>401</v>
      </c>
      <c r="U743" s="163"/>
      <c r="V743" s="147"/>
    </row>
    <row r="744" spans="1:22">
      <c r="A744" s="159">
        <v>93</v>
      </c>
      <c r="B744" s="160">
        <v>3</v>
      </c>
      <c r="C744" s="160">
        <v>101</v>
      </c>
      <c r="D744" s="159">
        <v>305</v>
      </c>
      <c r="E744" s="159">
        <v>30</v>
      </c>
      <c r="F744" s="160">
        <v>2</v>
      </c>
      <c r="G744" s="161">
        <f t="shared" si="56"/>
        <v>5902</v>
      </c>
      <c r="H744" s="159">
        <f t="shared" si="57"/>
        <v>3</v>
      </c>
      <c r="I744" s="159">
        <f t="shared" si="58"/>
        <v>7625</v>
      </c>
      <c r="J744" s="147">
        <v>29</v>
      </c>
      <c r="K744" s="147">
        <v>2</v>
      </c>
      <c r="L744" s="147" t="s">
        <v>656</v>
      </c>
      <c r="M744" s="147">
        <v>13</v>
      </c>
      <c r="N744" s="147">
        <v>2</v>
      </c>
      <c r="O744" s="147" t="s">
        <v>656</v>
      </c>
      <c r="P744" s="147">
        <v>101</v>
      </c>
      <c r="Q744" s="156">
        <v>455</v>
      </c>
      <c r="R744" s="157">
        <v>0</v>
      </c>
      <c r="S744" s="158" t="s">
        <v>661</v>
      </c>
      <c r="T744" s="155" t="s">
        <v>401</v>
      </c>
      <c r="U744" s="163"/>
      <c r="V744" s="147"/>
    </row>
    <row r="745" spans="1:22">
      <c r="A745" s="159">
        <v>93</v>
      </c>
      <c r="B745" s="160">
        <v>4</v>
      </c>
      <c r="C745" s="160">
        <v>101</v>
      </c>
      <c r="D745" s="159">
        <v>406</v>
      </c>
      <c r="E745" s="159">
        <v>40</v>
      </c>
      <c r="F745" s="160">
        <v>3</v>
      </c>
      <c r="G745" s="161">
        <f t="shared" si="56"/>
        <v>5902</v>
      </c>
      <c r="H745" s="159">
        <f t="shared" si="57"/>
        <v>4</v>
      </c>
      <c r="I745" s="159">
        <f t="shared" si="58"/>
        <v>10150</v>
      </c>
      <c r="J745" s="147">
        <v>29</v>
      </c>
      <c r="K745" s="147">
        <v>2</v>
      </c>
      <c r="L745" s="147" t="s">
        <v>656</v>
      </c>
      <c r="M745" s="147">
        <v>13</v>
      </c>
      <c r="N745" s="147">
        <v>2</v>
      </c>
      <c r="O745" s="147" t="s">
        <v>656</v>
      </c>
      <c r="P745" s="147">
        <v>101</v>
      </c>
      <c r="Q745" s="156">
        <v>498</v>
      </c>
      <c r="R745" s="157">
        <v>0</v>
      </c>
      <c r="S745" s="158" t="s">
        <v>661</v>
      </c>
      <c r="T745" s="155" t="s">
        <v>401</v>
      </c>
      <c r="U745" s="163"/>
      <c r="V745" s="147"/>
    </row>
    <row r="746" spans="1:22">
      <c r="A746" s="159">
        <v>93</v>
      </c>
      <c r="B746" s="160">
        <v>5</v>
      </c>
      <c r="C746" s="160">
        <v>101</v>
      </c>
      <c r="D746" s="159">
        <v>508</v>
      </c>
      <c r="E746" s="159">
        <v>50</v>
      </c>
      <c r="F746" s="160">
        <v>3</v>
      </c>
      <c r="G746" s="161">
        <f t="shared" si="56"/>
        <v>5902</v>
      </c>
      <c r="H746" s="159">
        <f t="shared" si="57"/>
        <v>6</v>
      </c>
      <c r="I746" s="159">
        <f t="shared" si="58"/>
        <v>12700</v>
      </c>
      <c r="J746" s="147">
        <v>29</v>
      </c>
      <c r="K746" s="147">
        <v>2</v>
      </c>
      <c r="L746" s="147" t="s">
        <v>656</v>
      </c>
      <c r="M746" s="147">
        <v>13</v>
      </c>
      <c r="N746" s="147">
        <v>2</v>
      </c>
      <c r="O746" s="147" t="s">
        <v>656</v>
      </c>
      <c r="P746" s="147">
        <v>101</v>
      </c>
      <c r="Q746" s="156">
        <v>553</v>
      </c>
      <c r="R746" s="157">
        <v>0</v>
      </c>
      <c r="S746" s="158" t="s">
        <v>661</v>
      </c>
      <c r="T746" s="155" t="s">
        <v>401</v>
      </c>
      <c r="U746" s="163"/>
      <c r="V746" s="147"/>
    </row>
    <row r="747" spans="1:22">
      <c r="A747" s="159">
        <v>93</v>
      </c>
      <c r="B747" s="160">
        <v>6</v>
      </c>
      <c r="C747" s="160">
        <v>101</v>
      </c>
      <c r="D747" s="159">
        <v>609</v>
      </c>
      <c r="E747" s="159">
        <v>60</v>
      </c>
      <c r="F747" s="160">
        <v>4</v>
      </c>
      <c r="G747" s="161">
        <f t="shared" si="56"/>
        <v>5902</v>
      </c>
      <c r="H747" s="159">
        <f t="shared" si="57"/>
        <v>8</v>
      </c>
      <c r="I747" s="159">
        <f t="shared" si="58"/>
        <v>15225</v>
      </c>
      <c r="J747" s="147">
        <v>29</v>
      </c>
      <c r="K747" s="147">
        <v>2</v>
      </c>
      <c r="L747" s="147" t="s">
        <v>656</v>
      </c>
      <c r="M747" s="147">
        <v>13</v>
      </c>
      <c r="N747" s="147">
        <v>2</v>
      </c>
      <c r="O747" s="147" t="s">
        <v>656</v>
      </c>
      <c r="P747" s="147">
        <v>101</v>
      </c>
      <c r="Q747" s="156">
        <v>621</v>
      </c>
      <c r="R747" s="157">
        <v>0</v>
      </c>
      <c r="S747" s="158" t="s">
        <v>661</v>
      </c>
      <c r="T747" s="155" t="s">
        <v>401</v>
      </c>
      <c r="U747" s="163"/>
      <c r="V747" s="147"/>
    </row>
    <row r="748" spans="1:22">
      <c r="A748" s="159">
        <v>93</v>
      </c>
      <c r="B748" s="160">
        <v>7</v>
      </c>
      <c r="C748" s="160">
        <v>101</v>
      </c>
      <c r="D748" s="159">
        <v>711</v>
      </c>
      <c r="E748" s="159">
        <v>70</v>
      </c>
      <c r="F748" s="160">
        <v>4</v>
      </c>
      <c r="G748" s="161">
        <f t="shared" si="56"/>
        <v>5902</v>
      </c>
      <c r="H748" s="159">
        <f t="shared" si="57"/>
        <v>10</v>
      </c>
      <c r="I748" s="159">
        <f t="shared" si="58"/>
        <v>17775</v>
      </c>
      <c r="J748" s="147">
        <v>29</v>
      </c>
      <c r="K748" s="147">
        <v>2</v>
      </c>
      <c r="L748" s="147" t="s">
        <v>656</v>
      </c>
      <c r="M748" s="147">
        <v>13</v>
      </c>
      <c r="N748" s="147">
        <v>2</v>
      </c>
      <c r="O748" s="147" t="s">
        <v>656</v>
      </c>
      <c r="P748" s="147">
        <v>101</v>
      </c>
      <c r="Q748" s="156">
        <v>701</v>
      </c>
      <c r="R748" s="157">
        <v>0</v>
      </c>
      <c r="S748" s="158" t="s">
        <v>661</v>
      </c>
      <c r="T748" s="155" t="s">
        <v>401</v>
      </c>
      <c r="U748" s="163"/>
      <c r="V748" s="147"/>
    </row>
    <row r="749" spans="1:22">
      <c r="A749" s="159">
        <v>93</v>
      </c>
      <c r="B749" s="160">
        <v>8</v>
      </c>
      <c r="C749" s="160">
        <v>101</v>
      </c>
      <c r="D749" s="159">
        <v>812</v>
      </c>
      <c r="E749" s="159">
        <v>80</v>
      </c>
      <c r="F749" s="160">
        <v>5</v>
      </c>
      <c r="G749" s="161">
        <f t="shared" si="56"/>
        <v>5902</v>
      </c>
      <c r="H749" s="159">
        <f t="shared" si="57"/>
        <v>12</v>
      </c>
      <c r="I749" s="159">
        <f t="shared" si="58"/>
        <v>20300</v>
      </c>
      <c r="J749" s="147">
        <v>29</v>
      </c>
      <c r="K749" s="147">
        <v>2</v>
      </c>
      <c r="L749" s="147" t="s">
        <v>656</v>
      </c>
      <c r="M749" s="147">
        <v>13</v>
      </c>
      <c r="N749" s="147">
        <v>2</v>
      </c>
      <c r="O749" s="147" t="s">
        <v>656</v>
      </c>
      <c r="P749" s="147">
        <v>101</v>
      </c>
      <c r="Q749" s="156">
        <v>793</v>
      </c>
      <c r="R749" s="157">
        <v>0</v>
      </c>
      <c r="S749" s="158" t="s">
        <v>661</v>
      </c>
      <c r="T749" s="155" t="s">
        <v>401</v>
      </c>
      <c r="U749" s="163"/>
      <c r="V749" s="147"/>
    </row>
    <row r="750" spans="1:22">
      <c r="A750" s="159">
        <v>93</v>
      </c>
      <c r="B750" s="160">
        <v>9</v>
      </c>
      <c r="C750" s="160">
        <v>101</v>
      </c>
      <c r="D750" s="159">
        <v>914</v>
      </c>
      <c r="E750" s="159">
        <v>90</v>
      </c>
      <c r="F750" s="160">
        <v>5</v>
      </c>
      <c r="G750" s="161">
        <f t="shared" si="56"/>
        <v>5902</v>
      </c>
      <c r="H750" s="159">
        <f t="shared" si="57"/>
        <v>15</v>
      </c>
      <c r="I750" s="159">
        <f t="shared" si="58"/>
        <v>22850</v>
      </c>
      <c r="J750" s="147">
        <v>29</v>
      </c>
      <c r="K750" s="147">
        <v>2</v>
      </c>
      <c r="L750" s="147" t="s">
        <v>656</v>
      </c>
      <c r="M750" s="147">
        <v>13</v>
      </c>
      <c r="N750" s="147">
        <v>2</v>
      </c>
      <c r="O750" s="147" t="s">
        <v>656</v>
      </c>
      <c r="P750" s="147">
        <v>101</v>
      </c>
      <c r="Q750" s="156">
        <v>898</v>
      </c>
      <c r="R750" s="157">
        <v>0</v>
      </c>
      <c r="S750" s="158" t="s">
        <v>661</v>
      </c>
      <c r="T750" s="155" t="s">
        <v>401</v>
      </c>
      <c r="U750" s="163"/>
      <c r="V750" s="147"/>
    </row>
    <row r="751" spans="1:22">
      <c r="A751" s="159">
        <v>93</v>
      </c>
      <c r="B751" s="160">
        <v>10</v>
      </c>
      <c r="C751" s="160">
        <v>101</v>
      </c>
      <c r="D751" s="159">
        <v>1015</v>
      </c>
      <c r="E751" s="159">
        <v>90</v>
      </c>
      <c r="F751" s="160">
        <v>6</v>
      </c>
      <c r="G751" s="161">
        <f t="shared" si="56"/>
        <v>5902</v>
      </c>
      <c r="H751" s="159">
        <f t="shared" si="57"/>
        <v>18</v>
      </c>
      <c r="I751" s="159">
        <f t="shared" si="58"/>
        <v>25375</v>
      </c>
      <c r="J751" s="147">
        <v>29</v>
      </c>
      <c r="K751" s="147">
        <v>2</v>
      </c>
      <c r="L751" s="147" t="s">
        <v>656</v>
      </c>
      <c r="M751" s="147">
        <v>13</v>
      </c>
      <c r="N751" s="147">
        <v>2</v>
      </c>
      <c r="O751" s="147" t="s">
        <v>656</v>
      </c>
      <c r="P751" s="147">
        <v>101</v>
      </c>
      <c r="Q751" s="156">
        <v>1015</v>
      </c>
      <c r="R751" s="157">
        <v>0</v>
      </c>
      <c r="S751" s="158" t="s">
        <v>661</v>
      </c>
      <c r="T751" s="155" t="s">
        <v>401</v>
      </c>
      <c r="U751" s="163"/>
      <c r="V751" s="147"/>
    </row>
    <row r="752" spans="1:22">
      <c r="A752" s="166">
        <v>94</v>
      </c>
      <c r="B752" s="167">
        <v>1</v>
      </c>
      <c r="C752" s="167">
        <v>104</v>
      </c>
      <c r="D752" s="166">
        <v>1416</v>
      </c>
      <c r="E752" s="166">
        <v>10</v>
      </c>
      <c r="F752" s="167">
        <v>1</v>
      </c>
      <c r="G752" s="168">
        <f t="shared" si="56"/>
        <v>5902</v>
      </c>
      <c r="H752" s="166">
        <f t="shared" si="57"/>
        <v>1</v>
      </c>
      <c r="I752" s="166">
        <f t="shared" si="58"/>
        <v>1416</v>
      </c>
      <c r="J752" s="147">
        <v>29</v>
      </c>
      <c r="K752" s="147">
        <v>2</v>
      </c>
      <c r="L752" s="147" t="s">
        <v>656</v>
      </c>
      <c r="M752" s="147">
        <v>12</v>
      </c>
      <c r="N752" s="147">
        <v>3</v>
      </c>
      <c r="O752" s="147" t="s">
        <v>657</v>
      </c>
      <c r="P752" s="147">
        <v>104</v>
      </c>
      <c r="Q752" s="156">
        <v>5663</v>
      </c>
      <c r="R752" s="157">
        <v>0</v>
      </c>
      <c r="S752" s="158" t="s">
        <v>661</v>
      </c>
      <c r="T752" s="155" t="s">
        <v>400</v>
      </c>
      <c r="U752" s="163"/>
      <c r="V752" s="147"/>
    </row>
    <row r="753" spans="1:22">
      <c r="A753" s="166">
        <v>94</v>
      </c>
      <c r="B753" s="167">
        <v>2</v>
      </c>
      <c r="C753" s="167">
        <v>104</v>
      </c>
      <c r="D753" s="166">
        <v>2832</v>
      </c>
      <c r="E753" s="166">
        <v>20</v>
      </c>
      <c r="F753" s="167">
        <v>2</v>
      </c>
      <c r="G753" s="168">
        <f t="shared" si="56"/>
        <v>5902</v>
      </c>
      <c r="H753" s="166">
        <f t="shared" si="57"/>
        <v>2</v>
      </c>
      <c r="I753" s="166">
        <f t="shared" si="58"/>
        <v>2832</v>
      </c>
      <c r="J753" s="147">
        <v>29</v>
      </c>
      <c r="K753" s="147">
        <v>2</v>
      </c>
      <c r="L753" s="147" t="s">
        <v>656</v>
      </c>
      <c r="M753" s="147">
        <v>12</v>
      </c>
      <c r="N753" s="147">
        <v>3</v>
      </c>
      <c r="O753" s="147" t="s">
        <v>657</v>
      </c>
      <c r="P753" s="147">
        <v>104</v>
      </c>
      <c r="Q753" s="156">
        <v>5920</v>
      </c>
      <c r="R753" s="157">
        <v>0</v>
      </c>
      <c r="S753" s="158" t="s">
        <v>661</v>
      </c>
      <c r="T753" s="155" t="s">
        <v>400</v>
      </c>
      <c r="U753" s="163"/>
      <c r="V753" s="147"/>
    </row>
    <row r="754" spans="1:22">
      <c r="A754" s="166">
        <v>94</v>
      </c>
      <c r="B754" s="167">
        <v>3</v>
      </c>
      <c r="C754" s="167">
        <v>104</v>
      </c>
      <c r="D754" s="166">
        <v>4248</v>
      </c>
      <c r="E754" s="166">
        <v>30</v>
      </c>
      <c r="F754" s="167">
        <v>2</v>
      </c>
      <c r="G754" s="168">
        <f t="shared" si="56"/>
        <v>5902</v>
      </c>
      <c r="H754" s="166">
        <f t="shared" si="57"/>
        <v>3</v>
      </c>
      <c r="I754" s="166">
        <f t="shared" si="58"/>
        <v>4248</v>
      </c>
      <c r="J754" s="147">
        <v>29</v>
      </c>
      <c r="K754" s="147">
        <v>2</v>
      </c>
      <c r="L754" s="147" t="s">
        <v>656</v>
      </c>
      <c r="M754" s="147">
        <v>12</v>
      </c>
      <c r="N754" s="147">
        <v>3</v>
      </c>
      <c r="O754" s="147" t="s">
        <v>657</v>
      </c>
      <c r="P754" s="147">
        <v>104</v>
      </c>
      <c r="Q754" s="156">
        <v>6349</v>
      </c>
      <c r="R754" s="157">
        <v>0</v>
      </c>
      <c r="S754" s="158" t="s">
        <v>661</v>
      </c>
      <c r="T754" s="155" t="s">
        <v>400</v>
      </c>
      <c r="U754" s="163"/>
      <c r="V754" s="147"/>
    </row>
    <row r="755" spans="1:22">
      <c r="A755" s="166">
        <v>94</v>
      </c>
      <c r="B755" s="167">
        <v>4</v>
      </c>
      <c r="C755" s="167">
        <v>104</v>
      </c>
      <c r="D755" s="166">
        <v>5664</v>
      </c>
      <c r="E755" s="166">
        <v>40</v>
      </c>
      <c r="F755" s="167">
        <v>3</v>
      </c>
      <c r="G755" s="168">
        <f t="shared" si="56"/>
        <v>5902</v>
      </c>
      <c r="H755" s="166">
        <f t="shared" si="57"/>
        <v>4</v>
      </c>
      <c r="I755" s="166">
        <f t="shared" si="58"/>
        <v>5664</v>
      </c>
      <c r="J755" s="147">
        <v>29</v>
      </c>
      <c r="K755" s="147">
        <v>2</v>
      </c>
      <c r="L755" s="147" t="s">
        <v>656</v>
      </c>
      <c r="M755" s="147">
        <v>12</v>
      </c>
      <c r="N755" s="147">
        <v>3</v>
      </c>
      <c r="O755" s="147" t="s">
        <v>657</v>
      </c>
      <c r="P755" s="147">
        <v>104</v>
      </c>
      <c r="Q755" s="156">
        <v>6950</v>
      </c>
      <c r="R755" s="157">
        <v>0</v>
      </c>
      <c r="S755" s="158" t="s">
        <v>661</v>
      </c>
      <c r="T755" s="155" t="s">
        <v>400</v>
      </c>
      <c r="U755" s="163"/>
      <c r="V755" s="147"/>
    </row>
    <row r="756" spans="1:22">
      <c r="A756" s="166">
        <v>94</v>
      </c>
      <c r="B756" s="167">
        <v>5</v>
      </c>
      <c r="C756" s="167">
        <v>104</v>
      </c>
      <c r="D756" s="166">
        <v>7079</v>
      </c>
      <c r="E756" s="166">
        <v>50</v>
      </c>
      <c r="F756" s="167">
        <v>3</v>
      </c>
      <c r="G756" s="168">
        <f t="shared" si="56"/>
        <v>5902</v>
      </c>
      <c r="H756" s="166">
        <f t="shared" si="57"/>
        <v>6</v>
      </c>
      <c r="I756" s="166">
        <f t="shared" si="58"/>
        <v>7079</v>
      </c>
      <c r="J756" s="147">
        <v>29</v>
      </c>
      <c r="K756" s="147">
        <v>2</v>
      </c>
      <c r="L756" s="147" t="s">
        <v>656</v>
      </c>
      <c r="M756" s="147">
        <v>12</v>
      </c>
      <c r="N756" s="147">
        <v>3</v>
      </c>
      <c r="O756" s="147" t="s">
        <v>657</v>
      </c>
      <c r="P756" s="147">
        <v>104</v>
      </c>
      <c r="Q756" s="156">
        <v>7722</v>
      </c>
      <c r="R756" s="157">
        <v>0</v>
      </c>
      <c r="S756" s="158" t="s">
        <v>661</v>
      </c>
      <c r="T756" s="155" t="s">
        <v>400</v>
      </c>
      <c r="U756" s="163"/>
      <c r="V756" s="147"/>
    </row>
    <row r="757" spans="1:22">
      <c r="A757" s="166">
        <v>94</v>
      </c>
      <c r="B757" s="167">
        <v>6</v>
      </c>
      <c r="C757" s="167">
        <v>104</v>
      </c>
      <c r="D757" s="166">
        <v>8495</v>
      </c>
      <c r="E757" s="166">
        <v>60</v>
      </c>
      <c r="F757" s="167">
        <v>4</v>
      </c>
      <c r="G757" s="168">
        <f t="shared" si="56"/>
        <v>5902</v>
      </c>
      <c r="H757" s="166">
        <f t="shared" si="57"/>
        <v>8</v>
      </c>
      <c r="I757" s="166">
        <f t="shared" si="58"/>
        <v>8495</v>
      </c>
      <c r="J757" s="147">
        <v>29</v>
      </c>
      <c r="K757" s="147">
        <v>2</v>
      </c>
      <c r="L757" s="147" t="s">
        <v>656</v>
      </c>
      <c r="M757" s="147">
        <v>12</v>
      </c>
      <c r="N757" s="147">
        <v>3</v>
      </c>
      <c r="O757" s="147" t="s">
        <v>657</v>
      </c>
      <c r="P757" s="147">
        <v>104</v>
      </c>
      <c r="Q757" s="156">
        <v>8666</v>
      </c>
      <c r="R757" s="157">
        <v>0</v>
      </c>
      <c r="S757" s="158" t="s">
        <v>661</v>
      </c>
      <c r="T757" s="155" t="s">
        <v>400</v>
      </c>
      <c r="U757" s="163"/>
      <c r="V757" s="147"/>
    </row>
    <row r="758" spans="1:22">
      <c r="A758" s="166">
        <v>94</v>
      </c>
      <c r="B758" s="167">
        <v>7</v>
      </c>
      <c r="C758" s="167">
        <v>104</v>
      </c>
      <c r="D758" s="166">
        <v>9911</v>
      </c>
      <c r="E758" s="166">
        <v>70</v>
      </c>
      <c r="F758" s="167">
        <v>4</v>
      </c>
      <c r="G758" s="168">
        <f t="shared" si="56"/>
        <v>5902</v>
      </c>
      <c r="H758" s="166">
        <f t="shared" si="57"/>
        <v>10</v>
      </c>
      <c r="I758" s="166">
        <f t="shared" si="58"/>
        <v>9911</v>
      </c>
      <c r="J758" s="147">
        <v>29</v>
      </c>
      <c r="K758" s="147">
        <v>2</v>
      </c>
      <c r="L758" s="147" t="s">
        <v>656</v>
      </c>
      <c r="M758" s="147">
        <v>12</v>
      </c>
      <c r="N758" s="147">
        <v>3</v>
      </c>
      <c r="O758" s="147" t="s">
        <v>657</v>
      </c>
      <c r="P758" s="147">
        <v>104</v>
      </c>
      <c r="Q758" s="156">
        <v>9781</v>
      </c>
      <c r="R758" s="157">
        <v>0</v>
      </c>
      <c r="S758" s="158" t="s">
        <v>661</v>
      </c>
      <c r="T758" s="155" t="s">
        <v>400</v>
      </c>
      <c r="U758" s="163"/>
      <c r="V758" s="147"/>
    </row>
    <row r="759" spans="1:22">
      <c r="A759" s="166">
        <v>94</v>
      </c>
      <c r="B759" s="167">
        <v>8</v>
      </c>
      <c r="C759" s="167">
        <v>104</v>
      </c>
      <c r="D759" s="166">
        <v>11327</v>
      </c>
      <c r="E759" s="166">
        <v>80</v>
      </c>
      <c r="F759" s="167">
        <v>5</v>
      </c>
      <c r="G759" s="168">
        <f t="shared" si="56"/>
        <v>5902</v>
      </c>
      <c r="H759" s="166">
        <f t="shared" si="57"/>
        <v>12</v>
      </c>
      <c r="I759" s="166">
        <f t="shared" si="58"/>
        <v>11327</v>
      </c>
      <c r="J759" s="147">
        <v>29</v>
      </c>
      <c r="K759" s="147">
        <v>2</v>
      </c>
      <c r="L759" s="147" t="s">
        <v>656</v>
      </c>
      <c r="M759" s="147">
        <v>12</v>
      </c>
      <c r="N759" s="147">
        <v>3</v>
      </c>
      <c r="O759" s="147" t="s">
        <v>657</v>
      </c>
      <c r="P759" s="147">
        <v>104</v>
      </c>
      <c r="Q759" s="156">
        <v>11068</v>
      </c>
      <c r="R759" s="157">
        <v>0</v>
      </c>
      <c r="S759" s="158" t="s">
        <v>661</v>
      </c>
      <c r="T759" s="155" t="s">
        <v>400</v>
      </c>
      <c r="U759" s="163"/>
      <c r="V759" s="147"/>
    </row>
    <row r="760" spans="1:22">
      <c r="A760" s="166">
        <v>94</v>
      </c>
      <c r="B760" s="167">
        <v>9</v>
      </c>
      <c r="C760" s="167">
        <v>104</v>
      </c>
      <c r="D760" s="166">
        <v>12743</v>
      </c>
      <c r="E760" s="166">
        <v>90</v>
      </c>
      <c r="F760" s="167">
        <v>5</v>
      </c>
      <c r="G760" s="168">
        <f t="shared" si="56"/>
        <v>5902</v>
      </c>
      <c r="H760" s="166">
        <f t="shared" si="57"/>
        <v>15</v>
      </c>
      <c r="I760" s="166">
        <f t="shared" si="58"/>
        <v>12743</v>
      </c>
      <c r="J760" s="147">
        <v>29</v>
      </c>
      <c r="K760" s="147">
        <v>2</v>
      </c>
      <c r="L760" s="147" t="s">
        <v>656</v>
      </c>
      <c r="M760" s="147">
        <v>12</v>
      </c>
      <c r="N760" s="147">
        <v>3</v>
      </c>
      <c r="O760" s="147" t="s">
        <v>657</v>
      </c>
      <c r="P760" s="147">
        <v>104</v>
      </c>
      <c r="Q760" s="156">
        <v>12527</v>
      </c>
      <c r="R760" s="157">
        <v>0</v>
      </c>
      <c r="S760" s="158" t="s">
        <v>661</v>
      </c>
      <c r="T760" s="155" t="s">
        <v>400</v>
      </c>
      <c r="U760" s="163"/>
      <c r="V760" s="147"/>
    </row>
    <row r="761" spans="1:22">
      <c r="A761" s="166">
        <v>94</v>
      </c>
      <c r="B761" s="167">
        <v>10</v>
      </c>
      <c r="C761" s="167">
        <v>104</v>
      </c>
      <c r="D761" s="166">
        <v>14158</v>
      </c>
      <c r="E761" s="166">
        <v>90</v>
      </c>
      <c r="F761" s="167">
        <v>6</v>
      </c>
      <c r="G761" s="168">
        <f t="shared" si="56"/>
        <v>5902</v>
      </c>
      <c r="H761" s="166">
        <f t="shared" si="57"/>
        <v>18</v>
      </c>
      <c r="I761" s="166">
        <f t="shared" si="58"/>
        <v>14158</v>
      </c>
      <c r="J761" s="147">
        <v>29</v>
      </c>
      <c r="K761" s="147">
        <v>2</v>
      </c>
      <c r="L761" s="147" t="s">
        <v>656</v>
      </c>
      <c r="M761" s="147">
        <v>12</v>
      </c>
      <c r="N761" s="147">
        <v>3</v>
      </c>
      <c r="O761" s="147" t="s">
        <v>657</v>
      </c>
      <c r="P761" s="147">
        <v>104</v>
      </c>
      <c r="Q761" s="156">
        <v>14158</v>
      </c>
      <c r="R761" s="157">
        <v>0</v>
      </c>
      <c r="S761" s="158" t="s">
        <v>661</v>
      </c>
      <c r="T761" s="155" t="s">
        <v>400</v>
      </c>
      <c r="U761" s="163"/>
      <c r="V761" s="147"/>
    </row>
    <row r="762" spans="1:22">
      <c r="A762" s="159">
        <v>95</v>
      </c>
      <c r="B762" s="160">
        <v>1</v>
      </c>
      <c r="C762" s="160">
        <v>101</v>
      </c>
      <c r="D762" s="159">
        <v>102</v>
      </c>
      <c r="E762" s="159">
        <v>10</v>
      </c>
      <c r="F762" s="160">
        <v>1</v>
      </c>
      <c r="G762" s="161">
        <f t="shared" si="56"/>
        <v>5902</v>
      </c>
      <c r="H762" s="159">
        <f t="shared" si="57"/>
        <v>1</v>
      </c>
      <c r="I762" s="159">
        <f t="shared" si="58"/>
        <v>2550</v>
      </c>
      <c r="J762" s="147">
        <v>29</v>
      </c>
      <c r="K762" s="147">
        <v>2</v>
      </c>
      <c r="L762" s="147" t="s">
        <v>656</v>
      </c>
      <c r="M762" s="147">
        <v>9</v>
      </c>
      <c r="N762" s="147">
        <v>2</v>
      </c>
      <c r="O762" s="147" t="s">
        <v>656</v>
      </c>
      <c r="P762" s="147">
        <v>101</v>
      </c>
      <c r="Q762" s="156">
        <v>406</v>
      </c>
      <c r="R762" s="157">
        <v>0</v>
      </c>
      <c r="S762" s="158" t="s">
        <v>661</v>
      </c>
      <c r="T762" s="155" t="s">
        <v>397</v>
      </c>
      <c r="U762" s="163"/>
      <c r="V762" s="147"/>
    </row>
    <row r="763" spans="1:22">
      <c r="A763" s="159">
        <v>95</v>
      </c>
      <c r="B763" s="160">
        <v>2</v>
      </c>
      <c r="C763" s="160">
        <v>101</v>
      </c>
      <c r="D763" s="159">
        <v>203</v>
      </c>
      <c r="E763" s="159">
        <v>20</v>
      </c>
      <c r="F763" s="160">
        <v>2</v>
      </c>
      <c r="G763" s="161">
        <f t="shared" si="56"/>
        <v>5902</v>
      </c>
      <c r="H763" s="159">
        <f t="shared" si="57"/>
        <v>2</v>
      </c>
      <c r="I763" s="159">
        <f t="shared" si="58"/>
        <v>5075</v>
      </c>
      <c r="J763" s="147">
        <v>29</v>
      </c>
      <c r="K763" s="147">
        <v>2</v>
      </c>
      <c r="L763" s="147" t="s">
        <v>656</v>
      </c>
      <c r="M763" s="147">
        <v>9</v>
      </c>
      <c r="N763" s="147">
        <v>2</v>
      </c>
      <c r="O763" s="147" t="s">
        <v>656</v>
      </c>
      <c r="P763" s="147">
        <v>101</v>
      </c>
      <c r="Q763" s="156">
        <v>424</v>
      </c>
      <c r="R763" s="157">
        <v>0</v>
      </c>
      <c r="S763" s="158" t="s">
        <v>661</v>
      </c>
      <c r="T763" s="155" t="s">
        <v>397</v>
      </c>
      <c r="U763" s="163"/>
      <c r="V763" s="147"/>
    </row>
    <row r="764" spans="1:22">
      <c r="A764" s="159">
        <v>95</v>
      </c>
      <c r="B764" s="160">
        <v>3</v>
      </c>
      <c r="C764" s="160">
        <v>101</v>
      </c>
      <c r="D764" s="159">
        <v>305</v>
      </c>
      <c r="E764" s="159">
        <v>30</v>
      </c>
      <c r="F764" s="160">
        <v>2</v>
      </c>
      <c r="G764" s="161">
        <f t="shared" si="56"/>
        <v>5902</v>
      </c>
      <c r="H764" s="159">
        <f t="shared" si="57"/>
        <v>3</v>
      </c>
      <c r="I764" s="159">
        <f t="shared" si="58"/>
        <v>7625</v>
      </c>
      <c r="J764" s="147">
        <v>29</v>
      </c>
      <c r="K764" s="147">
        <v>2</v>
      </c>
      <c r="L764" s="147" t="s">
        <v>656</v>
      </c>
      <c r="M764" s="147">
        <v>9</v>
      </c>
      <c r="N764" s="147">
        <v>2</v>
      </c>
      <c r="O764" s="147" t="s">
        <v>656</v>
      </c>
      <c r="P764" s="147">
        <v>101</v>
      </c>
      <c r="Q764" s="156">
        <v>455</v>
      </c>
      <c r="R764" s="157">
        <v>0</v>
      </c>
      <c r="S764" s="158" t="s">
        <v>661</v>
      </c>
      <c r="T764" s="155" t="s">
        <v>397</v>
      </c>
      <c r="U764" s="163"/>
      <c r="V764" s="147"/>
    </row>
    <row r="765" spans="1:22">
      <c r="A765" s="159">
        <v>95</v>
      </c>
      <c r="B765" s="160">
        <v>4</v>
      </c>
      <c r="C765" s="160">
        <v>101</v>
      </c>
      <c r="D765" s="159">
        <v>406</v>
      </c>
      <c r="E765" s="159">
        <v>40</v>
      </c>
      <c r="F765" s="160">
        <v>3</v>
      </c>
      <c r="G765" s="161">
        <f t="shared" si="56"/>
        <v>5902</v>
      </c>
      <c r="H765" s="159">
        <f t="shared" si="57"/>
        <v>4</v>
      </c>
      <c r="I765" s="159">
        <f t="shared" si="58"/>
        <v>10150</v>
      </c>
      <c r="J765" s="147">
        <v>29</v>
      </c>
      <c r="K765" s="147">
        <v>2</v>
      </c>
      <c r="L765" s="147" t="s">
        <v>656</v>
      </c>
      <c r="M765" s="147">
        <v>9</v>
      </c>
      <c r="N765" s="147">
        <v>2</v>
      </c>
      <c r="O765" s="147" t="s">
        <v>656</v>
      </c>
      <c r="P765" s="147">
        <v>101</v>
      </c>
      <c r="Q765" s="156">
        <v>498</v>
      </c>
      <c r="R765" s="157">
        <v>0</v>
      </c>
      <c r="S765" s="158" t="s">
        <v>661</v>
      </c>
      <c r="T765" s="155" t="s">
        <v>397</v>
      </c>
      <c r="U765" s="163"/>
      <c r="V765" s="147"/>
    </row>
    <row r="766" spans="1:22">
      <c r="A766" s="159">
        <v>95</v>
      </c>
      <c r="B766" s="160">
        <v>5</v>
      </c>
      <c r="C766" s="160">
        <v>101</v>
      </c>
      <c r="D766" s="159">
        <v>508</v>
      </c>
      <c r="E766" s="159">
        <v>50</v>
      </c>
      <c r="F766" s="160">
        <v>3</v>
      </c>
      <c r="G766" s="161">
        <f t="shared" si="56"/>
        <v>5902</v>
      </c>
      <c r="H766" s="159">
        <f t="shared" si="57"/>
        <v>6</v>
      </c>
      <c r="I766" s="159">
        <f t="shared" si="58"/>
        <v>12700</v>
      </c>
      <c r="J766" s="147">
        <v>29</v>
      </c>
      <c r="K766" s="147">
        <v>2</v>
      </c>
      <c r="L766" s="147" t="s">
        <v>656</v>
      </c>
      <c r="M766" s="147">
        <v>9</v>
      </c>
      <c r="N766" s="147">
        <v>2</v>
      </c>
      <c r="O766" s="147" t="s">
        <v>656</v>
      </c>
      <c r="P766" s="147">
        <v>101</v>
      </c>
      <c r="Q766" s="156">
        <v>553</v>
      </c>
      <c r="R766" s="157">
        <v>0</v>
      </c>
      <c r="S766" s="158" t="s">
        <v>661</v>
      </c>
      <c r="T766" s="155" t="s">
        <v>397</v>
      </c>
      <c r="U766" s="163"/>
      <c r="V766" s="147"/>
    </row>
    <row r="767" spans="1:22">
      <c r="A767" s="159">
        <v>95</v>
      </c>
      <c r="B767" s="160">
        <v>6</v>
      </c>
      <c r="C767" s="160">
        <v>101</v>
      </c>
      <c r="D767" s="159">
        <v>609</v>
      </c>
      <c r="E767" s="159">
        <v>60</v>
      </c>
      <c r="F767" s="160">
        <v>4</v>
      </c>
      <c r="G767" s="161">
        <f t="shared" si="56"/>
        <v>5902</v>
      </c>
      <c r="H767" s="159">
        <f t="shared" si="57"/>
        <v>8</v>
      </c>
      <c r="I767" s="159">
        <f t="shared" si="58"/>
        <v>15225</v>
      </c>
      <c r="J767" s="147">
        <v>29</v>
      </c>
      <c r="K767" s="147">
        <v>2</v>
      </c>
      <c r="L767" s="147" t="s">
        <v>656</v>
      </c>
      <c r="M767" s="147">
        <v>9</v>
      </c>
      <c r="N767" s="147">
        <v>2</v>
      </c>
      <c r="O767" s="147" t="s">
        <v>656</v>
      </c>
      <c r="P767" s="147">
        <v>101</v>
      </c>
      <c r="Q767" s="156">
        <v>621</v>
      </c>
      <c r="R767" s="157">
        <v>0</v>
      </c>
      <c r="S767" s="158" t="s">
        <v>661</v>
      </c>
      <c r="T767" s="155" t="s">
        <v>397</v>
      </c>
      <c r="U767" s="163"/>
      <c r="V767" s="147"/>
    </row>
    <row r="768" spans="1:22">
      <c r="A768" s="159">
        <v>95</v>
      </c>
      <c r="B768" s="160">
        <v>7</v>
      </c>
      <c r="C768" s="160">
        <v>101</v>
      </c>
      <c r="D768" s="159">
        <v>711</v>
      </c>
      <c r="E768" s="159">
        <v>70</v>
      </c>
      <c r="F768" s="160">
        <v>4</v>
      </c>
      <c r="G768" s="161">
        <f t="shared" si="56"/>
        <v>5902</v>
      </c>
      <c r="H768" s="159">
        <f t="shared" si="57"/>
        <v>10</v>
      </c>
      <c r="I768" s="159">
        <f t="shared" si="58"/>
        <v>17775</v>
      </c>
      <c r="J768" s="147">
        <v>29</v>
      </c>
      <c r="K768" s="147">
        <v>2</v>
      </c>
      <c r="L768" s="147" t="s">
        <v>656</v>
      </c>
      <c r="M768" s="147">
        <v>9</v>
      </c>
      <c r="N768" s="147">
        <v>2</v>
      </c>
      <c r="O768" s="147" t="s">
        <v>656</v>
      </c>
      <c r="P768" s="147">
        <v>101</v>
      </c>
      <c r="Q768" s="156">
        <v>701</v>
      </c>
      <c r="R768" s="157">
        <v>0</v>
      </c>
      <c r="S768" s="158" t="s">
        <v>661</v>
      </c>
      <c r="T768" s="155" t="s">
        <v>397</v>
      </c>
      <c r="U768" s="163"/>
      <c r="V768" s="147"/>
    </row>
    <row r="769" spans="1:22">
      <c r="A769" s="159">
        <v>95</v>
      </c>
      <c r="B769" s="160">
        <v>8</v>
      </c>
      <c r="C769" s="160">
        <v>101</v>
      </c>
      <c r="D769" s="159">
        <v>812</v>
      </c>
      <c r="E769" s="159">
        <v>80</v>
      </c>
      <c r="F769" s="160">
        <v>5</v>
      </c>
      <c r="G769" s="161">
        <f t="shared" si="56"/>
        <v>5902</v>
      </c>
      <c r="H769" s="159">
        <f t="shared" si="57"/>
        <v>12</v>
      </c>
      <c r="I769" s="159">
        <f t="shared" si="58"/>
        <v>20300</v>
      </c>
      <c r="J769" s="147">
        <v>29</v>
      </c>
      <c r="K769" s="147">
        <v>2</v>
      </c>
      <c r="L769" s="147" t="s">
        <v>656</v>
      </c>
      <c r="M769" s="147">
        <v>9</v>
      </c>
      <c r="N769" s="147">
        <v>2</v>
      </c>
      <c r="O769" s="147" t="s">
        <v>656</v>
      </c>
      <c r="P769" s="147">
        <v>101</v>
      </c>
      <c r="Q769" s="156">
        <v>793</v>
      </c>
      <c r="R769" s="157">
        <v>0</v>
      </c>
      <c r="S769" s="158" t="s">
        <v>661</v>
      </c>
      <c r="T769" s="155" t="s">
        <v>397</v>
      </c>
      <c r="U769" s="163"/>
      <c r="V769" s="147"/>
    </row>
    <row r="770" spans="1:22">
      <c r="A770" s="159">
        <v>95</v>
      </c>
      <c r="B770" s="160">
        <v>9</v>
      </c>
      <c r="C770" s="160">
        <v>101</v>
      </c>
      <c r="D770" s="159">
        <v>914</v>
      </c>
      <c r="E770" s="159">
        <v>90</v>
      </c>
      <c r="F770" s="160">
        <v>5</v>
      </c>
      <c r="G770" s="161">
        <f t="shared" ref="G770:G833" si="59">VLOOKUP(B770,AA$2:AC$11,2,FALSE)</f>
        <v>5902</v>
      </c>
      <c r="H770" s="159">
        <f t="shared" ref="H770:H833" si="60">VLOOKUP(B770,AA$2:AC$11,3,FALSE)</f>
        <v>15</v>
      </c>
      <c r="I770" s="159">
        <f t="shared" si="58"/>
        <v>22850</v>
      </c>
      <c r="J770" s="147">
        <v>29</v>
      </c>
      <c r="K770" s="147">
        <v>2</v>
      </c>
      <c r="L770" s="147" t="s">
        <v>656</v>
      </c>
      <c r="M770" s="147">
        <v>9</v>
      </c>
      <c r="N770" s="147">
        <v>2</v>
      </c>
      <c r="O770" s="147" t="s">
        <v>656</v>
      </c>
      <c r="P770" s="147">
        <v>101</v>
      </c>
      <c r="Q770" s="156">
        <v>898</v>
      </c>
      <c r="R770" s="157">
        <v>0</v>
      </c>
      <c r="S770" s="158" t="s">
        <v>661</v>
      </c>
      <c r="T770" s="155" t="s">
        <v>397</v>
      </c>
      <c r="U770" s="163"/>
      <c r="V770" s="147"/>
    </row>
    <row r="771" spans="1:22">
      <c r="A771" s="159">
        <v>95</v>
      </c>
      <c r="B771" s="160">
        <v>10</v>
      </c>
      <c r="C771" s="160">
        <v>101</v>
      </c>
      <c r="D771" s="159">
        <v>1015</v>
      </c>
      <c r="E771" s="159">
        <v>90</v>
      </c>
      <c r="F771" s="160">
        <v>6</v>
      </c>
      <c r="G771" s="161">
        <f t="shared" si="59"/>
        <v>5902</v>
      </c>
      <c r="H771" s="159">
        <f t="shared" si="60"/>
        <v>18</v>
      </c>
      <c r="I771" s="159">
        <f t="shared" ref="I771:I834" si="61">INT(IF(C771=104,D771,D771*25))</f>
        <v>25375</v>
      </c>
      <c r="J771" s="147">
        <v>29</v>
      </c>
      <c r="K771" s="147">
        <v>2</v>
      </c>
      <c r="L771" s="147" t="s">
        <v>656</v>
      </c>
      <c r="M771" s="147">
        <v>9</v>
      </c>
      <c r="N771" s="147">
        <v>2</v>
      </c>
      <c r="O771" s="147" t="s">
        <v>656</v>
      </c>
      <c r="P771" s="147">
        <v>101</v>
      </c>
      <c r="Q771" s="156">
        <v>1015</v>
      </c>
      <c r="R771" s="157">
        <v>0</v>
      </c>
      <c r="S771" s="158" t="s">
        <v>661</v>
      </c>
      <c r="T771" s="155" t="s">
        <v>397</v>
      </c>
      <c r="U771" s="163"/>
      <c r="V771" s="147"/>
    </row>
    <row r="772" spans="1:22">
      <c r="A772" s="166">
        <v>96</v>
      </c>
      <c r="B772" s="167">
        <v>1</v>
      </c>
      <c r="C772" s="167">
        <v>104</v>
      </c>
      <c r="D772" s="166">
        <v>1416</v>
      </c>
      <c r="E772" s="166">
        <v>10</v>
      </c>
      <c r="F772" s="167">
        <v>1</v>
      </c>
      <c r="G772" s="168">
        <f t="shared" si="59"/>
        <v>5902</v>
      </c>
      <c r="H772" s="166">
        <f t="shared" si="60"/>
        <v>1</v>
      </c>
      <c r="I772" s="166">
        <f t="shared" si="61"/>
        <v>1416</v>
      </c>
      <c r="J772" s="147">
        <v>29</v>
      </c>
      <c r="K772" s="147">
        <v>2</v>
      </c>
      <c r="L772" s="147" t="s">
        <v>656</v>
      </c>
      <c r="M772" s="147">
        <v>11</v>
      </c>
      <c r="N772" s="147">
        <v>3</v>
      </c>
      <c r="O772" s="147" t="s">
        <v>657</v>
      </c>
      <c r="P772" s="147">
        <v>104</v>
      </c>
      <c r="Q772" s="156">
        <v>5663</v>
      </c>
      <c r="R772" s="157">
        <v>0</v>
      </c>
      <c r="S772" s="158" t="s">
        <v>661</v>
      </c>
      <c r="T772" s="155" t="s">
        <v>399</v>
      </c>
      <c r="U772" s="163"/>
      <c r="V772" s="147"/>
    </row>
    <row r="773" spans="1:22">
      <c r="A773" s="166">
        <v>96</v>
      </c>
      <c r="B773" s="167">
        <v>2</v>
      </c>
      <c r="C773" s="167">
        <v>104</v>
      </c>
      <c r="D773" s="166">
        <v>2832</v>
      </c>
      <c r="E773" s="166">
        <v>20</v>
      </c>
      <c r="F773" s="167">
        <v>2</v>
      </c>
      <c r="G773" s="168">
        <f t="shared" si="59"/>
        <v>5902</v>
      </c>
      <c r="H773" s="166">
        <f t="shared" si="60"/>
        <v>2</v>
      </c>
      <c r="I773" s="166">
        <f t="shared" si="61"/>
        <v>2832</v>
      </c>
      <c r="J773" s="147">
        <v>29</v>
      </c>
      <c r="K773" s="147">
        <v>2</v>
      </c>
      <c r="L773" s="147" t="s">
        <v>656</v>
      </c>
      <c r="M773" s="147">
        <v>11</v>
      </c>
      <c r="N773" s="147">
        <v>3</v>
      </c>
      <c r="O773" s="147" t="s">
        <v>657</v>
      </c>
      <c r="P773" s="147">
        <v>104</v>
      </c>
      <c r="Q773" s="156">
        <v>5920</v>
      </c>
      <c r="R773" s="157">
        <v>0</v>
      </c>
      <c r="S773" s="158" t="s">
        <v>661</v>
      </c>
      <c r="T773" s="155" t="s">
        <v>399</v>
      </c>
      <c r="U773" s="163"/>
      <c r="V773" s="147"/>
    </row>
    <row r="774" spans="1:22">
      <c r="A774" s="166">
        <v>96</v>
      </c>
      <c r="B774" s="167">
        <v>3</v>
      </c>
      <c r="C774" s="167">
        <v>104</v>
      </c>
      <c r="D774" s="166">
        <v>4248</v>
      </c>
      <c r="E774" s="166">
        <v>30</v>
      </c>
      <c r="F774" s="167">
        <v>2</v>
      </c>
      <c r="G774" s="168">
        <f t="shared" si="59"/>
        <v>5902</v>
      </c>
      <c r="H774" s="166">
        <f t="shared" si="60"/>
        <v>3</v>
      </c>
      <c r="I774" s="166">
        <f t="shared" si="61"/>
        <v>4248</v>
      </c>
      <c r="J774" s="147">
        <v>29</v>
      </c>
      <c r="K774" s="147">
        <v>2</v>
      </c>
      <c r="L774" s="147" t="s">
        <v>656</v>
      </c>
      <c r="M774" s="147">
        <v>11</v>
      </c>
      <c r="N774" s="147">
        <v>3</v>
      </c>
      <c r="O774" s="147" t="s">
        <v>657</v>
      </c>
      <c r="P774" s="147">
        <v>104</v>
      </c>
      <c r="Q774" s="156">
        <v>6349</v>
      </c>
      <c r="R774" s="157">
        <v>0</v>
      </c>
      <c r="S774" s="158" t="s">
        <v>661</v>
      </c>
      <c r="T774" s="155" t="s">
        <v>399</v>
      </c>
      <c r="U774" s="163"/>
      <c r="V774" s="147"/>
    </row>
    <row r="775" spans="1:22">
      <c r="A775" s="166">
        <v>96</v>
      </c>
      <c r="B775" s="167">
        <v>4</v>
      </c>
      <c r="C775" s="167">
        <v>104</v>
      </c>
      <c r="D775" s="166">
        <v>5664</v>
      </c>
      <c r="E775" s="166">
        <v>40</v>
      </c>
      <c r="F775" s="167">
        <v>3</v>
      </c>
      <c r="G775" s="168">
        <f t="shared" si="59"/>
        <v>5902</v>
      </c>
      <c r="H775" s="166">
        <f t="shared" si="60"/>
        <v>4</v>
      </c>
      <c r="I775" s="166">
        <f t="shared" si="61"/>
        <v>5664</v>
      </c>
      <c r="J775" s="147">
        <v>29</v>
      </c>
      <c r="K775" s="147">
        <v>2</v>
      </c>
      <c r="L775" s="147" t="s">
        <v>656</v>
      </c>
      <c r="M775" s="147">
        <v>11</v>
      </c>
      <c r="N775" s="147">
        <v>3</v>
      </c>
      <c r="O775" s="147" t="s">
        <v>657</v>
      </c>
      <c r="P775" s="147">
        <v>104</v>
      </c>
      <c r="Q775" s="156">
        <v>6950</v>
      </c>
      <c r="R775" s="157">
        <v>0</v>
      </c>
      <c r="S775" s="158" t="s">
        <v>661</v>
      </c>
      <c r="T775" s="155" t="s">
        <v>399</v>
      </c>
      <c r="U775" s="163"/>
      <c r="V775" s="147"/>
    </row>
    <row r="776" spans="1:22">
      <c r="A776" s="166">
        <v>96</v>
      </c>
      <c r="B776" s="167">
        <v>5</v>
      </c>
      <c r="C776" s="167">
        <v>104</v>
      </c>
      <c r="D776" s="166">
        <v>7079</v>
      </c>
      <c r="E776" s="166">
        <v>50</v>
      </c>
      <c r="F776" s="167">
        <v>3</v>
      </c>
      <c r="G776" s="168">
        <f t="shared" si="59"/>
        <v>5902</v>
      </c>
      <c r="H776" s="166">
        <f t="shared" si="60"/>
        <v>6</v>
      </c>
      <c r="I776" s="166">
        <f t="shared" si="61"/>
        <v>7079</v>
      </c>
      <c r="J776" s="147">
        <v>29</v>
      </c>
      <c r="K776" s="147">
        <v>2</v>
      </c>
      <c r="L776" s="147" t="s">
        <v>656</v>
      </c>
      <c r="M776" s="147">
        <v>11</v>
      </c>
      <c r="N776" s="147">
        <v>3</v>
      </c>
      <c r="O776" s="147" t="s">
        <v>657</v>
      </c>
      <c r="P776" s="147">
        <v>104</v>
      </c>
      <c r="Q776" s="156">
        <v>7722</v>
      </c>
      <c r="R776" s="157">
        <v>0</v>
      </c>
      <c r="S776" s="158" t="s">
        <v>661</v>
      </c>
      <c r="T776" s="155" t="s">
        <v>399</v>
      </c>
      <c r="U776" s="163"/>
      <c r="V776" s="147"/>
    </row>
    <row r="777" spans="1:22">
      <c r="A777" s="166">
        <v>96</v>
      </c>
      <c r="B777" s="167">
        <v>6</v>
      </c>
      <c r="C777" s="167">
        <v>104</v>
      </c>
      <c r="D777" s="166">
        <v>8495</v>
      </c>
      <c r="E777" s="166">
        <v>60</v>
      </c>
      <c r="F777" s="167">
        <v>4</v>
      </c>
      <c r="G777" s="168">
        <f t="shared" si="59"/>
        <v>5902</v>
      </c>
      <c r="H777" s="166">
        <f t="shared" si="60"/>
        <v>8</v>
      </c>
      <c r="I777" s="166">
        <f t="shared" si="61"/>
        <v>8495</v>
      </c>
      <c r="J777" s="147">
        <v>29</v>
      </c>
      <c r="K777" s="147">
        <v>2</v>
      </c>
      <c r="L777" s="147" t="s">
        <v>656</v>
      </c>
      <c r="M777" s="147">
        <v>11</v>
      </c>
      <c r="N777" s="147">
        <v>3</v>
      </c>
      <c r="O777" s="147" t="s">
        <v>657</v>
      </c>
      <c r="P777" s="147">
        <v>104</v>
      </c>
      <c r="Q777" s="156">
        <v>8666</v>
      </c>
      <c r="R777" s="157">
        <v>0</v>
      </c>
      <c r="S777" s="158" t="s">
        <v>661</v>
      </c>
      <c r="T777" s="155" t="s">
        <v>399</v>
      </c>
      <c r="U777" s="163"/>
      <c r="V777" s="147"/>
    </row>
    <row r="778" spans="1:22">
      <c r="A778" s="166">
        <v>96</v>
      </c>
      <c r="B778" s="167">
        <v>7</v>
      </c>
      <c r="C778" s="167">
        <v>104</v>
      </c>
      <c r="D778" s="166">
        <v>9911</v>
      </c>
      <c r="E778" s="166">
        <v>70</v>
      </c>
      <c r="F778" s="167">
        <v>4</v>
      </c>
      <c r="G778" s="168">
        <f t="shared" si="59"/>
        <v>5902</v>
      </c>
      <c r="H778" s="166">
        <f t="shared" si="60"/>
        <v>10</v>
      </c>
      <c r="I778" s="166">
        <f t="shared" si="61"/>
        <v>9911</v>
      </c>
      <c r="J778" s="147">
        <v>29</v>
      </c>
      <c r="K778" s="147">
        <v>2</v>
      </c>
      <c r="L778" s="147" t="s">
        <v>656</v>
      </c>
      <c r="M778" s="147">
        <v>11</v>
      </c>
      <c r="N778" s="147">
        <v>3</v>
      </c>
      <c r="O778" s="147" t="s">
        <v>657</v>
      </c>
      <c r="P778" s="147">
        <v>104</v>
      </c>
      <c r="Q778" s="156">
        <v>9781</v>
      </c>
      <c r="R778" s="157">
        <v>0</v>
      </c>
      <c r="S778" s="158" t="s">
        <v>661</v>
      </c>
      <c r="T778" s="155" t="s">
        <v>399</v>
      </c>
      <c r="U778" s="163"/>
      <c r="V778" s="147"/>
    </row>
    <row r="779" spans="1:22">
      <c r="A779" s="166">
        <v>96</v>
      </c>
      <c r="B779" s="167">
        <v>8</v>
      </c>
      <c r="C779" s="167">
        <v>104</v>
      </c>
      <c r="D779" s="166">
        <v>11327</v>
      </c>
      <c r="E779" s="166">
        <v>80</v>
      </c>
      <c r="F779" s="167">
        <v>5</v>
      </c>
      <c r="G779" s="168">
        <f t="shared" si="59"/>
        <v>5902</v>
      </c>
      <c r="H779" s="166">
        <f t="shared" si="60"/>
        <v>12</v>
      </c>
      <c r="I779" s="166">
        <f t="shared" si="61"/>
        <v>11327</v>
      </c>
      <c r="J779" s="147">
        <v>29</v>
      </c>
      <c r="K779" s="147">
        <v>2</v>
      </c>
      <c r="L779" s="147" t="s">
        <v>656</v>
      </c>
      <c r="M779" s="147">
        <v>11</v>
      </c>
      <c r="N779" s="147">
        <v>3</v>
      </c>
      <c r="O779" s="147" t="s">
        <v>657</v>
      </c>
      <c r="P779" s="147">
        <v>104</v>
      </c>
      <c r="Q779" s="156">
        <v>11068</v>
      </c>
      <c r="R779" s="157">
        <v>0</v>
      </c>
      <c r="S779" s="158" t="s">
        <v>661</v>
      </c>
      <c r="T779" s="155" t="s">
        <v>399</v>
      </c>
      <c r="U779" s="163"/>
      <c r="V779" s="147"/>
    </row>
    <row r="780" spans="1:22">
      <c r="A780" s="166">
        <v>96</v>
      </c>
      <c r="B780" s="167">
        <v>9</v>
      </c>
      <c r="C780" s="167">
        <v>104</v>
      </c>
      <c r="D780" s="166">
        <v>12743</v>
      </c>
      <c r="E780" s="166">
        <v>90</v>
      </c>
      <c r="F780" s="167">
        <v>5</v>
      </c>
      <c r="G780" s="168">
        <f t="shared" si="59"/>
        <v>5902</v>
      </c>
      <c r="H780" s="166">
        <f t="shared" si="60"/>
        <v>15</v>
      </c>
      <c r="I780" s="166">
        <f t="shared" si="61"/>
        <v>12743</v>
      </c>
      <c r="J780" s="147">
        <v>29</v>
      </c>
      <c r="K780" s="147">
        <v>2</v>
      </c>
      <c r="L780" s="147" t="s">
        <v>656</v>
      </c>
      <c r="M780" s="147">
        <v>11</v>
      </c>
      <c r="N780" s="147">
        <v>3</v>
      </c>
      <c r="O780" s="147" t="s">
        <v>657</v>
      </c>
      <c r="P780" s="147">
        <v>104</v>
      </c>
      <c r="Q780" s="156">
        <v>12527</v>
      </c>
      <c r="R780" s="157">
        <v>0</v>
      </c>
      <c r="S780" s="158" t="s">
        <v>661</v>
      </c>
      <c r="T780" s="155" t="s">
        <v>399</v>
      </c>
      <c r="U780" s="163"/>
      <c r="V780" s="147"/>
    </row>
    <row r="781" spans="1:22">
      <c r="A781" s="166">
        <v>96</v>
      </c>
      <c r="B781" s="167">
        <v>10</v>
      </c>
      <c r="C781" s="167">
        <v>104</v>
      </c>
      <c r="D781" s="166">
        <v>14158</v>
      </c>
      <c r="E781" s="166">
        <v>90</v>
      </c>
      <c r="F781" s="167">
        <v>6</v>
      </c>
      <c r="G781" s="168">
        <f t="shared" si="59"/>
        <v>5902</v>
      </c>
      <c r="H781" s="166">
        <f t="shared" si="60"/>
        <v>18</v>
      </c>
      <c r="I781" s="166">
        <f t="shared" si="61"/>
        <v>14158</v>
      </c>
      <c r="J781" s="147">
        <v>29</v>
      </c>
      <c r="K781" s="147">
        <v>2</v>
      </c>
      <c r="L781" s="147" t="s">
        <v>656</v>
      </c>
      <c r="M781" s="147">
        <v>11</v>
      </c>
      <c r="N781" s="147">
        <v>3</v>
      </c>
      <c r="O781" s="147" t="s">
        <v>657</v>
      </c>
      <c r="P781" s="147">
        <v>104</v>
      </c>
      <c r="Q781" s="156">
        <v>14158</v>
      </c>
      <c r="R781" s="157">
        <v>0</v>
      </c>
      <c r="S781" s="158" t="s">
        <v>661</v>
      </c>
      <c r="T781" s="155" t="s">
        <v>399</v>
      </c>
      <c r="U781" s="163"/>
      <c r="V781" s="147"/>
    </row>
    <row r="782" spans="1:22">
      <c r="A782" s="159">
        <v>97</v>
      </c>
      <c r="B782" s="160">
        <v>1</v>
      </c>
      <c r="C782" s="160">
        <v>102</v>
      </c>
      <c r="D782" s="159">
        <v>83</v>
      </c>
      <c r="E782" s="159">
        <v>10</v>
      </c>
      <c r="F782" s="160">
        <v>1</v>
      </c>
      <c r="G782" s="161">
        <f t="shared" si="59"/>
        <v>5902</v>
      </c>
      <c r="H782" s="159">
        <f t="shared" si="60"/>
        <v>1</v>
      </c>
      <c r="I782" s="159">
        <f t="shared" si="61"/>
        <v>2075</v>
      </c>
      <c r="J782" s="147">
        <v>29</v>
      </c>
      <c r="K782" s="147">
        <v>2</v>
      </c>
      <c r="L782" s="147" t="s">
        <v>656</v>
      </c>
      <c r="M782" s="147">
        <v>24</v>
      </c>
      <c r="N782" s="147">
        <v>1</v>
      </c>
      <c r="O782" s="147" t="s">
        <v>655</v>
      </c>
      <c r="P782" s="147">
        <v>102</v>
      </c>
      <c r="Q782" s="156">
        <v>331</v>
      </c>
      <c r="R782" s="157">
        <v>0</v>
      </c>
      <c r="S782" s="158" t="s">
        <v>661</v>
      </c>
      <c r="T782" s="155" t="s">
        <v>411</v>
      </c>
      <c r="U782" s="163"/>
      <c r="V782" s="147"/>
    </row>
    <row r="783" spans="1:22">
      <c r="A783" s="159">
        <v>97</v>
      </c>
      <c r="B783" s="160">
        <v>2</v>
      </c>
      <c r="C783" s="160">
        <v>102</v>
      </c>
      <c r="D783" s="159">
        <v>166</v>
      </c>
      <c r="E783" s="159">
        <v>20</v>
      </c>
      <c r="F783" s="160">
        <v>2</v>
      </c>
      <c r="G783" s="161">
        <f t="shared" si="59"/>
        <v>5902</v>
      </c>
      <c r="H783" s="159">
        <f t="shared" si="60"/>
        <v>2</v>
      </c>
      <c r="I783" s="159">
        <f t="shared" si="61"/>
        <v>4150</v>
      </c>
      <c r="J783" s="147">
        <v>29</v>
      </c>
      <c r="K783" s="147">
        <v>2</v>
      </c>
      <c r="L783" s="147" t="s">
        <v>656</v>
      </c>
      <c r="M783" s="147">
        <v>24</v>
      </c>
      <c r="N783" s="147">
        <v>1</v>
      </c>
      <c r="O783" s="147" t="s">
        <v>655</v>
      </c>
      <c r="P783" s="147">
        <v>102</v>
      </c>
      <c r="Q783" s="156">
        <v>346</v>
      </c>
      <c r="R783" s="157">
        <v>0</v>
      </c>
      <c r="S783" s="158" t="s">
        <v>661</v>
      </c>
      <c r="T783" s="155" t="s">
        <v>411</v>
      </c>
      <c r="U783" s="163"/>
      <c r="V783" s="147"/>
    </row>
    <row r="784" spans="1:22">
      <c r="A784" s="159">
        <v>97</v>
      </c>
      <c r="B784" s="160">
        <v>3</v>
      </c>
      <c r="C784" s="160">
        <v>102</v>
      </c>
      <c r="D784" s="159">
        <v>249</v>
      </c>
      <c r="E784" s="159">
        <v>30</v>
      </c>
      <c r="F784" s="160">
        <v>2</v>
      </c>
      <c r="G784" s="161">
        <f t="shared" si="59"/>
        <v>5902</v>
      </c>
      <c r="H784" s="159">
        <f t="shared" si="60"/>
        <v>3</v>
      </c>
      <c r="I784" s="159">
        <f t="shared" si="61"/>
        <v>6225</v>
      </c>
      <c r="J784" s="147">
        <v>29</v>
      </c>
      <c r="K784" s="147">
        <v>2</v>
      </c>
      <c r="L784" s="147" t="s">
        <v>656</v>
      </c>
      <c r="M784" s="147">
        <v>24</v>
      </c>
      <c r="N784" s="147">
        <v>1</v>
      </c>
      <c r="O784" s="147" t="s">
        <v>655</v>
      </c>
      <c r="P784" s="147">
        <v>102</v>
      </c>
      <c r="Q784" s="156">
        <v>371</v>
      </c>
      <c r="R784" s="157">
        <v>0</v>
      </c>
      <c r="S784" s="158" t="s">
        <v>661</v>
      </c>
      <c r="T784" s="155" t="s">
        <v>411</v>
      </c>
      <c r="U784" s="163"/>
      <c r="V784" s="147"/>
    </row>
    <row r="785" spans="1:22">
      <c r="A785" s="159">
        <v>97</v>
      </c>
      <c r="B785" s="160">
        <v>4</v>
      </c>
      <c r="C785" s="160">
        <v>102</v>
      </c>
      <c r="D785" s="159">
        <v>332</v>
      </c>
      <c r="E785" s="159">
        <v>40</v>
      </c>
      <c r="F785" s="160">
        <v>3</v>
      </c>
      <c r="G785" s="161">
        <f t="shared" si="59"/>
        <v>5902</v>
      </c>
      <c r="H785" s="159">
        <f t="shared" si="60"/>
        <v>4</v>
      </c>
      <c r="I785" s="159">
        <f t="shared" si="61"/>
        <v>8300</v>
      </c>
      <c r="J785" s="147">
        <v>29</v>
      </c>
      <c r="K785" s="147">
        <v>2</v>
      </c>
      <c r="L785" s="147" t="s">
        <v>656</v>
      </c>
      <c r="M785" s="147">
        <v>24</v>
      </c>
      <c r="N785" s="147">
        <v>1</v>
      </c>
      <c r="O785" s="147" t="s">
        <v>655</v>
      </c>
      <c r="P785" s="147">
        <v>102</v>
      </c>
      <c r="Q785" s="156">
        <v>406</v>
      </c>
      <c r="R785" s="157">
        <v>0</v>
      </c>
      <c r="S785" s="158" t="s">
        <v>661</v>
      </c>
      <c r="T785" s="155" t="s">
        <v>411</v>
      </c>
      <c r="U785" s="163"/>
      <c r="V785" s="147"/>
    </row>
    <row r="786" spans="1:22">
      <c r="A786" s="159">
        <v>97</v>
      </c>
      <c r="B786" s="160">
        <v>5</v>
      </c>
      <c r="C786" s="160">
        <v>102</v>
      </c>
      <c r="D786" s="159">
        <v>414</v>
      </c>
      <c r="E786" s="159">
        <v>50</v>
      </c>
      <c r="F786" s="160">
        <v>3</v>
      </c>
      <c r="G786" s="161">
        <f t="shared" si="59"/>
        <v>5902</v>
      </c>
      <c r="H786" s="159">
        <f t="shared" si="60"/>
        <v>6</v>
      </c>
      <c r="I786" s="159">
        <f t="shared" si="61"/>
        <v>10350</v>
      </c>
      <c r="J786" s="147">
        <v>29</v>
      </c>
      <c r="K786" s="147">
        <v>2</v>
      </c>
      <c r="L786" s="147" t="s">
        <v>656</v>
      </c>
      <c r="M786" s="147">
        <v>24</v>
      </c>
      <c r="N786" s="147">
        <v>1</v>
      </c>
      <c r="O786" s="147" t="s">
        <v>655</v>
      </c>
      <c r="P786" s="147">
        <v>102</v>
      </c>
      <c r="Q786" s="156">
        <v>451</v>
      </c>
      <c r="R786" s="157">
        <v>0</v>
      </c>
      <c r="S786" s="158" t="s">
        <v>661</v>
      </c>
      <c r="T786" s="155" t="s">
        <v>411</v>
      </c>
      <c r="U786" s="163"/>
      <c r="V786" s="147"/>
    </row>
    <row r="787" spans="1:22">
      <c r="A787" s="159">
        <v>97</v>
      </c>
      <c r="B787" s="160">
        <v>6</v>
      </c>
      <c r="C787" s="160">
        <v>102</v>
      </c>
      <c r="D787" s="159">
        <v>497</v>
      </c>
      <c r="E787" s="159">
        <v>60</v>
      </c>
      <c r="F787" s="160">
        <v>4</v>
      </c>
      <c r="G787" s="161">
        <f t="shared" si="59"/>
        <v>5902</v>
      </c>
      <c r="H787" s="159">
        <f t="shared" si="60"/>
        <v>8</v>
      </c>
      <c r="I787" s="159">
        <f t="shared" si="61"/>
        <v>12425</v>
      </c>
      <c r="J787" s="147">
        <v>29</v>
      </c>
      <c r="K787" s="147">
        <v>2</v>
      </c>
      <c r="L787" s="147" t="s">
        <v>656</v>
      </c>
      <c r="M787" s="147">
        <v>24</v>
      </c>
      <c r="N787" s="147">
        <v>1</v>
      </c>
      <c r="O787" s="147" t="s">
        <v>655</v>
      </c>
      <c r="P787" s="147">
        <v>102</v>
      </c>
      <c r="Q787" s="156">
        <v>506</v>
      </c>
      <c r="R787" s="157">
        <v>0</v>
      </c>
      <c r="S787" s="158" t="s">
        <v>661</v>
      </c>
      <c r="T787" s="155" t="s">
        <v>411</v>
      </c>
      <c r="U787" s="163"/>
      <c r="V787" s="147"/>
    </row>
    <row r="788" spans="1:22">
      <c r="A788" s="159">
        <v>97</v>
      </c>
      <c r="B788" s="160">
        <v>7</v>
      </c>
      <c r="C788" s="160">
        <v>102</v>
      </c>
      <c r="D788" s="159">
        <v>580</v>
      </c>
      <c r="E788" s="159">
        <v>70</v>
      </c>
      <c r="F788" s="160">
        <v>4</v>
      </c>
      <c r="G788" s="161">
        <f t="shared" si="59"/>
        <v>5902</v>
      </c>
      <c r="H788" s="159">
        <f t="shared" si="60"/>
        <v>10</v>
      </c>
      <c r="I788" s="159">
        <f t="shared" si="61"/>
        <v>14500</v>
      </c>
      <c r="J788" s="147">
        <v>29</v>
      </c>
      <c r="K788" s="147">
        <v>2</v>
      </c>
      <c r="L788" s="147" t="s">
        <v>656</v>
      </c>
      <c r="M788" s="147">
        <v>24</v>
      </c>
      <c r="N788" s="147">
        <v>1</v>
      </c>
      <c r="O788" s="147" t="s">
        <v>655</v>
      </c>
      <c r="P788" s="147">
        <v>102</v>
      </c>
      <c r="Q788" s="156">
        <v>572</v>
      </c>
      <c r="R788" s="157">
        <v>0</v>
      </c>
      <c r="S788" s="158" t="s">
        <v>661</v>
      </c>
      <c r="T788" s="155" t="s">
        <v>411</v>
      </c>
      <c r="U788" s="163"/>
      <c r="V788" s="147"/>
    </row>
    <row r="789" spans="1:22">
      <c r="A789" s="159">
        <v>97</v>
      </c>
      <c r="B789" s="160">
        <v>8</v>
      </c>
      <c r="C789" s="160">
        <v>102</v>
      </c>
      <c r="D789" s="159">
        <v>663</v>
      </c>
      <c r="E789" s="159">
        <v>80</v>
      </c>
      <c r="F789" s="160">
        <v>5</v>
      </c>
      <c r="G789" s="161">
        <f t="shared" si="59"/>
        <v>5902</v>
      </c>
      <c r="H789" s="159">
        <f t="shared" si="60"/>
        <v>12</v>
      </c>
      <c r="I789" s="159">
        <f t="shared" si="61"/>
        <v>16575</v>
      </c>
      <c r="J789" s="147">
        <v>29</v>
      </c>
      <c r="K789" s="147">
        <v>2</v>
      </c>
      <c r="L789" s="147" t="s">
        <v>656</v>
      </c>
      <c r="M789" s="147">
        <v>24</v>
      </c>
      <c r="N789" s="147">
        <v>1</v>
      </c>
      <c r="O789" s="147" t="s">
        <v>655</v>
      </c>
      <c r="P789" s="147">
        <v>102</v>
      </c>
      <c r="Q789" s="156">
        <v>647</v>
      </c>
      <c r="R789" s="157">
        <v>0</v>
      </c>
      <c r="S789" s="158" t="s">
        <v>661</v>
      </c>
      <c r="T789" s="155" t="s">
        <v>411</v>
      </c>
      <c r="U789" s="163"/>
      <c r="V789" s="147"/>
    </row>
    <row r="790" spans="1:22">
      <c r="A790" s="159">
        <v>97</v>
      </c>
      <c r="B790" s="160">
        <v>9</v>
      </c>
      <c r="C790" s="160">
        <v>102</v>
      </c>
      <c r="D790" s="159">
        <v>746</v>
      </c>
      <c r="E790" s="159">
        <v>90</v>
      </c>
      <c r="F790" s="160">
        <v>5</v>
      </c>
      <c r="G790" s="161">
        <f t="shared" si="59"/>
        <v>5902</v>
      </c>
      <c r="H790" s="159">
        <f t="shared" si="60"/>
        <v>15</v>
      </c>
      <c r="I790" s="159">
        <f t="shared" si="61"/>
        <v>18650</v>
      </c>
      <c r="J790" s="147">
        <v>29</v>
      </c>
      <c r="K790" s="147">
        <v>2</v>
      </c>
      <c r="L790" s="147" t="s">
        <v>656</v>
      </c>
      <c r="M790" s="147">
        <v>24</v>
      </c>
      <c r="N790" s="147">
        <v>1</v>
      </c>
      <c r="O790" s="147" t="s">
        <v>655</v>
      </c>
      <c r="P790" s="147">
        <v>102</v>
      </c>
      <c r="Q790" s="156">
        <v>732</v>
      </c>
      <c r="R790" s="157">
        <v>0</v>
      </c>
      <c r="S790" s="158" t="s">
        <v>661</v>
      </c>
      <c r="T790" s="155" t="s">
        <v>411</v>
      </c>
      <c r="U790" s="163"/>
      <c r="V790" s="147"/>
    </row>
    <row r="791" spans="1:22">
      <c r="A791" s="159">
        <v>97</v>
      </c>
      <c r="B791" s="160">
        <v>10</v>
      </c>
      <c r="C791" s="160">
        <v>102</v>
      </c>
      <c r="D791" s="159">
        <v>828</v>
      </c>
      <c r="E791" s="159">
        <v>90</v>
      </c>
      <c r="F791" s="160">
        <v>6</v>
      </c>
      <c r="G791" s="161">
        <f t="shared" si="59"/>
        <v>5902</v>
      </c>
      <c r="H791" s="159">
        <f t="shared" si="60"/>
        <v>18</v>
      </c>
      <c r="I791" s="159">
        <f t="shared" si="61"/>
        <v>20700</v>
      </c>
      <c r="J791" s="147">
        <v>29</v>
      </c>
      <c r="K791" s="147">
        <v>2</v>
      </c>
      <c r="L791" s="147" t="s">
        <v>656</v>
      </c>
      <c r="M791" s="147">
        <v>24</v>
      </c>
      <c r="N791" s="147">
        <v>1</v>
      </c>
      <c r="O791" s="147" t="s">
        <v>655</v>
      </c>
      <c r="P791" s="147">
        <v>102</v>
      </c>
      <c r="Q791" s="156">
        <v>828</v>
      </c>
      <c r="R791" s="157">
        <v>0</v>
      </c>
      <c r="S791" s="158" t="s">
        <v>661</v>
      </c>
      <c r="T791" s="155" t="s">
        <v>411</v>
      </c>
      <c r="U791" s="163"/>
      <c r="V791" s="147"/>
    </row>
    <row r="792" spans="1:22">
      <c r="A792" s="166">
        <v>98</v>
      </c>
      <c r="B792" s="167">
        <v>1</v>
      </c>
      <c r="C792" s="167">
        <v>102</v>
      </c>
      <c r="D792" s="166">
        <v>83</v>
      </c>
      <c r="E792" s="166">
        <v>10</v>
      </c>
      <c r="F792" s="167">
        <v>1</v>
      </c>
      <c r="G792" s="168">
        <f t="shared" si="59"/>
        <v>5902</v>
      </c>
      <c r="H792" s="166">
        <f t="shared" si="60"/>
        <v>1</v>
      </c>
      <c r="I792" s="166">
        <f t="shared" si="61"/>
        <v>2075</v>
      </c>
      <c r="J792" s="147">
        <v>29</v>
      </c>
      <c r="K792" s="147">
        <v>2</v>
      </c>
      <c r="L792" s="147" t="s">
        <v>656</v>
      </c>
      <c r="M792" s="147">
        <v>15</v>
      </c>
      <c r="N792" s="147">
        <v>1</v>
      </c>
      <c r="O792" s="147" t="s">
        <v>655</v>
      </c>
      <c r="P792" s="147">
        <v>102</v>
      </c>
      <c r="Q792" s="156">
        <v>331</v>
      </c>
      <c r="R792" s="157">
        <v>0</v>
      </c>
      <c r="S792" s="158" t="s">
        <v>661</v>
      </c>
      <c r="T792" s="155" t="s">
        <v>403</v>
      </c>
      <c r="U792" s="163"/>
      <c r="V792" s="147"/>
    </row>
    <row r="793" spans="1:22">
      <c r="A793" s="166">
        <v>98</v>
      </c>
      <c r="B793" s="167">
        <v>2</v>
      </c>
      <c r="C793" s="167">
        <v>102</v>
      </c>
      <c r="D793" s="166">
        <v>166</v>
      </c>
      <c r="E793" s="166">
        <v>20</v>
      </c>
      <c r="F793" s="167">
        <v>2</v>
      </c>
      <c r="G793" s="168">
        <f t="shared" si="59"/>
        <v>5902</v>
      </c>
      <c r="H793" s="166">
        <f t="shared" si="60"/>
        <v>2</v>
      </c>
      <c r="I793" s="166">
        <f t="shared" si="61"/>
        <v>4150</v>
      </c>
      <c r="J793" s="147">
        <v>29</v>
      </c>
      <c r="K793" s="147">
        <v>2</v>
      </c>
      <c r="L793" s="147" t="s">
        <v>656</v>
      </c>
      <c r="M793" s="147">
        <v>15</v>
      </c>
      <c r="N793" s="147">
        <v>1</v>
      </c>
      <c r="O793" s="147" t="s">
        <v>655</v>
      </c>
      <c r="P793" s="147">
        <v>102</v>
      </c>
      <c r="Q793" s="156">
        <v>346</v>
      </c>
      <c r="R793" s="157">
        <v>0</v>
      </c>
      <c r="S793" s="158" t="s">
        <v>661</v>
      </c>
      <c r="T793" s="155" t="s">
        <v>403</v>
      </c>
      <c r="U793" s="163"/>
      <c r="V793" s="147"/>
    </row>
    <row r="794" spans="1:22">
      <c r="A794" s="166">
        <v>98</v>
      </c>
      <c r="B794" s="167">
        <v>3</v>
      </c>
      <c r="C794" s="167">
        <v>102</v>
      </c>
      <c r="D794" s="166">
        <v>249</v>
      </c>
      <c r="E794" s="166">
        <v>30</v>
      </c>
      <c r="F794" s="167">
        <v>2</v>
      </c>
      <c r="G794" s="168">
        <f t="shared" si="59"/>
        <v>5902</v>
      </c>
      <c r="H794" s="166">
        <f t="shared" si="60"/>
        <v>3</v>
      </c>
      <c r="I794" s="166">
        <f t="shared" si="61"/>
        <v>6225</v>
      </c>
      <c r="J794" s="147">
        <v>29</v>
      </c>
      <c r="K794" s="147">
        <v>2</v>
      </c>
      <c r="L794" s="147" t="s">
        <v>656</v>
      </c>
      <c r="M794" s="147">
        <v>15</v>
      </c>
      <c r="N794" s="147">
        <v>1</v>
      </c>
      <c r="O794" s="147" t="s">
        <v>655</v>
      </c>
      <c r="P794" s="147">
        <v>102</v>
      </c>
      <c r="Q794" s="156">
        <v>371</v>
      </c>
      <c r="R794" s="157">
        <v>0</v>
      </c>
      <c r="S794" s="158" t="s">
        <v>661</v>
      </c>
      <c r="T794" s="155" t="s">
        <v>403</v>
      </c>
      <c r="U794" s="163"/>
      <c r="V794" s="147"/>
    </row>
    <row r="795" spans="1:22">
      <c r="A795" s="166">
        <v>98</v>
      </c>
      <c r="B795" s="167">
        <v>4</v>
      </c>
      <c r="C795" s="167">
        <v>102</v>
      </c>
      <c r="D795" s="166">
        <v>332</v>
      </c>
      <c r="E795" s="166">
        <v>40</v>
      </c>
      <c r="F795" s="167">
        <v>3</v>
      </c>
      <c r="G795" s="168">
        <f t="shared" si="59"/>
        <v>5902</v>
      </c>
      <c r="H795" s="166">
        <f t="shared" si="60"/>
        <v>4</v>
      </c>
      <c r="I795" s="166">
        <f t="shared" si="61"/>
        <v>8300</v>
      </c>
      <c r="J795" s="147">
        <v>29</v>
      </c>
      <c r="K795" s="147">
        <v>2</v>
      </c>
      <c r="L795" s="147" t="s">
        <v>656</v>
      </c>
      <c r="M795" s="147">
        <v>15</v>
      </c>
      <c r="N795" s="147">
        <v>1</v>
      </c>
      <c r="O795" s="147" t="s">
        <v>655</v>
      </c>
      <c r="P795" s="147">
        <v>102</v>
      </c>
      <c r="Q795" s="156">
        <v>406</v>
      </c>
      <c r="R795" s="157">
        <v>0</v>
      </c>
      <c r="S795" s="158" t="s">
        <v>661</v>
      </c>
      <c r="T795" s="155" t="s">
        <v>403</v>
      </c>
      <c r="U795" s="163"/>
      <c r="V795" s="147"/>
    </row>
    <row r="796" spans="1:22">
      <c r="A796" s="166">
        <v>98</v>
      </c>
      <c r="B796" s="167">
        <v>5</v>
      </c>
      <c r="C796" s="167">
        <v>102</v>
      </c>
      <c r="D796" s="166">
        <v>414</v>
      </c>
      <c r="E796" s="166">
        <v>50</v>
      </c>
      <c r="F796" s="167">
        <v>3</v>
      </c>
      <c r="G796" s="168">
        <f t="shared" si="59"/>
        <v>5902</v>
      </c>
      <c r="H796" s="166">
        <f t="shared" si="60"/>
        <v>6</v>
      </c>
      <c r="I796" s="166">
        <f t="shared" si="61"/>
        <v>10350</v>
      </c>
      <c r="J796" s="147">
        <v>29</v>
      </c>
      <c r="K796" s="147">
        <v>2</v>
      </c>
      <c r="L796" s="147" t="s">
        <v>656</v>
      </c>
      <c r="M796" s="147">
        <v>15</v>
      </c>
      <c r="N796" s="147">
        <v>1</v>
      </c>
      <c r="O796" s="147" t="s">
        <v>655</v>
      </c>
      <c r="P796" s="147">
        <v>102</v>
      </c>
      <c r="Q796" s="156">
        <v>451</v>
      </c>
      <c r="R796" s="157">
        <v>0</v>
      </c>
      <c r="S796" s="158" t="s">
        <v>661</v>
      </c>
      <c r="T796" s="155" t="s">
        <v>403</v>
      </c>
      <c r="U796" s="163"/>
      <c r="V796" s="147"/>
    </row>
    <row r="797" spans="1:22">
      <c r="A797" s="166">
        <v>98</v>
      </c>
      <c r="B797" s="167">
        <v>6</v>
      </c>
      <c r="C797" s="167">
        <v>102</v>
      </c>
      <c r="D797" s="166">
        <v>497</v>
      </c>
      <c r="E797" s="166">
        <v>60</v>
      </c>
      <c r="F797" s="167">
        <v>4</v>
      </c>
      <c r="G797" s="168">
        <f t="shared" si="59"/>
        <v>5902</v>
      </c>
      <c r="H797" s="166">
        <f t="shared" si="60"/>
        <v>8</v>
      </c>
      <c r="I797" s="166">
        <f t="shared" si="61"/>
        <v>12425</v>
      </c>
      <c r="J797" s="147">
        <v>29</v>
      </c>
      <c r="K797" s="147">
        <v>2</v>
      </c>
      <c r="L797" s="147" t="s">
        <v>656</v>
      </c>
      <c r="M797" s="147">
        <v>15</v>
      </c>
      <c r="N797" s="147">
        <v>1</v>
      </c>
      <c r="O797" s="147" t="s">
        <v>655</v>
      </c>
      <c r="P797" s="147">
        <v>102</v>
      </c>
      <c r="Q797" s="156">
        <v>506</v>
      </c>
      <c r="R797" s="157">
        <v>0</v>
      </c>
      <c r="S797" s="158" t="s">
        <v>661</v>
      </c>
      <c r="T797" s="155" t="s">
        <v>403</v>
      </c>
      <c r="U797" s="163"/>
      <c r="V797" s="147"/>
    </row>
    <row r="798" spans="1:22">
      <c r="A798" s="166">
        <v>98</v>
      </c>
      <c r="B798" s="167">
        <v>7</v>
      </c>
      <c r="C798" s="167">
        <v>102</v>
      </c>
      <c r="D798" s="166">
        <v>580</v>
      </c>
      <c r="E798" s="166">
        <v>70</v>
      </c>
      <c r="F798" s="167">
        <v>4</v>
      </c>
      <c r="G798" s="168">
        <f t="shared" si="59"/>
        <v>5902</v>
      </c>
      <c r="H798" s="166">
        <f t="shared" si="60"/>
        <v>10</v>
      </c>
      <c r="I798" s="166">
        <f t="shared" si="61"/>
        <v>14500</v>
      </c>
      <c r="J798" s="147">
        <v>29</v>
      </c>
      <c r="K798" s="147">
        <v>2</v>
      </c>
      <c r="L798" s="147" t="s">
        <v>656</v>
      </c>
      <c r="M798" s="147">
        <v>15</v>
      </c>
      <c r="N798" s="147">
        <v>1</v>
      </c>
      <c r="O798" s="147" t="s">
        <v>655</v>
      </c>
      <c r="P798" s="147">
        <v>102</v>
      </c>
      <c r="Q798" s="156">
        <v>572</v>
      </c>
      <c r="R798" s="157">
        <v>0</v>
      </c>
      <c r="S798" s="158" t="s">
        <v>661</v>
      </c>
      <c r="T798" s="155" t="s">
        <v>403</v>
      </c>
      <c r="U798" s="163"/>
      <c r="V798" s="147"/>
    </row>
    <row r="799" spans="1:22">
      <c r="A799" s="166">
        <v>98</v>
      </c>
      <c r="B799" s="167">
        <v>8</v>
      </c>
      <c r="C799" s="167">
        <v>102</v>
      </c>
      <c r="D799" s="166">
        <v>663</v>
      </c>
      <c r="E799" s="166">
        <v>80</v>
      </c>
      <c r="F799" s="167">
        <v>5</v>
      </c>
      <c r="G799" s="168">
        <f t="shared" si="59"/>
        <v>5902</v>
      </c>
      <c r="H799" s="166">
        <f t="shared" si="60"/>
        <v>12</v>
      </c>
      <c r="I799" s="166">
        <f t="shared" si="61"/>
        <v>16575</v>
      </c>
      <c r="J799" s="147">
        <v>29</v>
      </c>
      <c r="K799" s="147">
        <v>2</v>
      </c>
      <c r="L799" s="147" t="s">
        <v>656</v>
      </c>
      <c r="M799" s="147">
        <v>15</v>
      </c>
      <c r="N799" s="147">
        <v>1</v>
      </c>
      <c r="O799" s="147" t="s">
        <v>655</v>
      </c>
      <c r="P799" s="147">
        <v>102</v>
      </c>
      <c r="Q799" s="156">
        <v>647</v>
      </c>
      <c r="R799" s="157">
        <v>0</v>
      </c>
      <c r="S799" s="158" t="s">
        <v>661</v>
      </c>
      <c r="T799" s="155" t="s">
        <v>403</v>
      </c>
      <c r="U799" s="163"/>
      <c r="V799" s="147"/>
    </row>
    <row r="800" spans="1:22">
      <c r="A800" s="166">
        <v>98</v>
      </c>
      <c r="B800" s="167">
        <v>9</v>
      </c>
      <c r="C800" s="167">
        <v>102</v>
      </c>
      <c r="D800" s="166">
        <v>746</v>
      </c>
      <c r="E800" s="166">
        <v>90</v>
      </c>
      <c r="F800" s="167">
        <v>5</v>
      </c>
      <c r="G800" s="168">
        <f t="shared" si="59"/>
        <v>5902</v>
      </c>
      <c r="H800" s="166">
        <f t="shared" si="60"/>
        <v>15</v>
      </c>
      <c r="I800" s="166">
        <f t="shared" si="61"/>
        <v>18650</v>
      </c>
      <c r="J800" s="147">
        <v>29</v>
      </c>
      <c r="K800" s="147">
        <v>2</v>
      </c>
      <c r="L800" s="147" t="s">
        <v>656</v>
      </c>
      <c r="M800" s="147">
        <v>15</v>
      </c>
      <c r="N800" s="147">
        <v>1</v>
      </c>
      <c r="O800" s="147" t="s">
        <v>655</v>
      </c>
      <c r="P800" s="147">
        <v>102</v>
      </c>
      <c r="Q800" s="156">
        <v>732</v>
      </c>
      <c r="R800" s="157">
        <v>0</v>
      </c>
      <c r="S800" s="158" t="s">
        <v>661</v>
      </c>
      <c r="T800" s="155" t="s">
        <v>403</v>
      </c>
      <c r="U800" s="163"/>
      <c r="V800" s="147"/>
    </row>
    <row r="801" spans="1:22">
      <c r="A801" s="166">
        <v>98</v>
      </c>
      <c r="B801" s="167">
        <v>10</v>
      </c>
      <c r="C801" s="167">
        <v>102</v>
      </c>
      <c r="D801" s="166">
        <v>828</v>
      </c>
      <c r="E801" s="166">
        <v>90</v>
      </c>
      <c r="F801" s="167">
        <v>6</v>
      </c>
      <c r="G801" s="168">
        <f t="shared" si="59"/>
        <v>5902</v>
      </c>
      <c r="H801" s="166">
        <f t="shared" si="60"/>
        <v>18</v>
      </c>
      <c r="I801" s="166">
        <f t="shared" si="61"/>
        <v>20700</v>
      </c>
      <c r="J801" s="147">
        <v>29</v>
      </c>
      <c r="K801" s="147">
        <v>2</v>
      </c>
      <c r="L801" s="147" t="s">
        <v>656</v>
      </c>
      <c r="M801" s="147">
        <v>15</v>
      </c>
      <c r="N801" s="147">
        <v>1</v>
      </c>
      <c r="O801" s="147" t="s">
        <v>655</v>
      </c>
      <c r="P801" s="147">
        <v>102</v>
      </c>
      <c r="Q801" s="156">
        <v>828</v>
      </c>
      <c r="R801" s="157">
        <v>0</v>
      </c>
      <c r="S801" s="158" t="s">
        <v>661</v>
      </c>
      <c r="T801" s="155" t="s">
        <v>403</v>
      </c>
      <c r="U801" s="163"/>
      <c r="V801" s="147"/>
    </row>
    <row r="802" spans="1:22">
      <c r="A802" s="159">
        <v>99</v>
      </c>
      <c r="B802" s="160">
        <v>1</v>
      </c>
      <c r="C802" s="160">
        <v>102</v>
      </c>
      <c r="D802" s="159">
        <v>83</v>
      </c>
      <c r="E802" s="159">
        <v>10</v>
      </c>
      <c r="F802" s="160">
        <v>1</v>
      </c>
      <c r="G802" s="161">
        <f t="shared" si="59"/>
        <v>5902</v>
      </c>
      <c r="H802" s="159">
        <f t="shared" si="60"/>
        <v>1</v>
      </c>
      <c r="I802" s="159">
        <f t="shared" si="61"/>
        <v>2075</v>
      </c>
      <c r="J802" s="147">
        <v>29</v>
      </c>
      <c r="K802" s="147">
        <v>2</v>
      </c>
      <c r="L802" s="147" t="s">
        <v>656</v>
      </c>
      <c r="M802" s="147">
        <v>16</v>
      </c>
      <c r="N802" s="147">
        <v>1</v>
      </c>
      <c r="O802" s="147" t="s">
        <v>655</v>
      </c>
      <c r="P802" s="147">
        <v>102</v>
      </c>
      <c r="Q802" s="156">
        <v>331</v>
      </c>
      <c r="R802" s="157">
        <v>0</v>
      </c>
      <c r="S802" s="158" t="s">
        <v>661</v>
      </c>
      <c r="T802" s="155" t="s">
        <v>404</v>
      </c>
      <c r="U802" s="163"/>
      <c r="V802" s="147"/>
    </row>
    <row r="803" spans="1:22">
      <c r="A803" s="159">
        <v>99</v>
      </c>
      <c r="B803" s="160">
        <v>2</v>
      </c>
      <c r="C803" s="160">
        <v>102</v>
      </c>
      <c r="D803" s="159">
        <v>166</v>
      </c>
      <c r="E803" s="159">
        <v>20</v>
      </c>
      <c r="F803" s="160">
        <v>2</v>
      </c>
      <c r="G803" s="161">
        <f t="shared" si="59"/>
        <v>5902</v>
      </c>
      <c r="H803" s="159">
        <f t="shared" si="60"/>
        <v>2</v>
      </c>
      <c r="I803" s="159">
        <f t="shared" si="61"/>
        <v>4150</v>
      </c>
      <c r="J803" s="147">
        <v>29</v>
      </c>
      <c r="K803" s="147">
        <v>2</v>
      </c>
      <c r="L803" s="147" t="s">
        <v>656</v>
      </c>
      <c r="M803" s="147">
        <v>16</v>
      </c>
      <c r="N803" s="147">
        <v>1</v>
      </c>
      <c r="O803" s="147" t="s">
        <v>655</v>
      </c>
      <c r="P803" s="147">
        <v>102</v>
      </c>
      <c r="Q803" s="156">
        <v>346</v>
      </c>
      <c r="R803" s="157">
        <v>0</v>
      </c>
      <c r="S803" s="158" t="s">
        <v>661</v>
      </c>
      <c r="T803" s="155" t="s">
        <v>404</v>
      </c>
      <c r="U803" s="163"/>
      <c r="V803" s="147"/>
    </row>
    <row r="804" spans="1:22">
      <c r="A804" s="159">
        <v>99</v>
      </c>
      <c r="B804" s="160">
        <v>3</v>
      </c>
      <c r="C804" s="160">
        <v>102</v>
      </c>
      <c r="D804" s="159">
        <v>249</v>
      </c>
      <c r="E804" s="159">
        <v>30</v>
      </c>
      <c r="F804" s="160">
        <v>2</v>
      </c>
      <c r="G804" s="161">
        <f t="shared" si="59"/>
        <v>5902</v>
      </c>
      <c r="H804" s="159">
        <f t="shared" si="60"/>
        <v>3</v>
      </c>
      <c r="I804" s="159">
        <f t="shared" si="61"/>
        <v>6225</v>
      </c>
      <c r="J804" s="147">
        <v>29</v>
      </c>
      <c r="K804" s="147">
        <v>2</v>
      </c>
      <c r="L804" s="147" t="s">
        <v>656</v>
      </c>
      <c r="M804" s="147">
        <v>16</v>
      </c>
      <c r="N804" s="147">
        <v>1</v>
      </c>
      <c r="O804" s="147" t="s">
        <v>655</v>
      </c>
      <c r="P804" s="147">
        <v>102</v>
      </c>
      <c r="Q804" s="156">
        <v>371</v>
      </c>
      <c r="R804" s="157">
        <v>0</v>
      </c>
      <c r="S804" s="158" t="s">
        <v>661</v>
      </c>
      <c r="T804" s="155" t="s">
        <v>404</v>
      </c>
      <c r="U804" s="163"/>
      <c r="V804" s="147"/>
    </row>
    <row r="805" spans="1:22">
      <c r="A805" s="159">
        <v>99</v>
      </c>
      <c r="B805" s="160">
        <v>4</v>
      </c>
      <c r="C805" s="160">
        <v>102</v>
      </c>
      <c r="D805" s="159">
        <v>332</v>
      </c>
      <c r="E805" s="159">
        <v>40</v>
      </c>
      <c r="F805" s="160">
        <v>3</v>
      </c>
      <c r="G805" s="161">
        <f t="shared" si="59"/>
        <v>5902</v>
      </c>
      <c r="H805" s="159">
        <f t="shared" si="60"/>
        <v>4</v>
      </c>
      <c r="I805" s="159">
        <f t="shared" si="61"/>
        <v>8300</v>
      </c>
      <c r="J805" s="147">
        <v>29</v>
      </c>
      <c r="K805" s="147">
        <v>2</v>
      </c>
      <c r="L805" s="147" t="s">
        <v>656</v>
      </c>
      <c r="M805" s="147">
        <v>16</v>
      </c>
      <c r="N805" s="147">
        <v>1</v>
      </c>
      <c r="O805" s="147" t="s">
        <v>655</v>
      </c>
      <c r="P805" s="147">
        <v>102</v>
      </c>
      <c r="Q805" s="156">
        <v>406</v>
      </c>
      <c r="R805" s="157">
        <v>0</v>
      </c>
      <c r="S805" s="158" t="s">
        <v>661</v>
      </c>
      <c r="T805" s="155" t="s">
        <v>404</v>
      </c>
      <c r="U805" s="163"/>
      <c r="V805" s="147"/>
    </row>
    <row r="806" spans="1:22">
      <c r="A806" s="159">
        <v>99</v>
      </c>
      <c r="B806" s="160">
        <v>5</v>
      </c>
      <c r="C806" s="160">
        <v>102</v>
      </c>
      <c r="D806" s="159">
        <v>414</v>
      </c>
      <c r="E806" s="159">
        <v>50</v>
      </c>
      <c r="F806" s="160">
        <v>3</v>
      </c>
      <c r="G806" s="161">
        <f t="shared" si="59"/>
        <v>5902</v>
      </c>
      <c r="H806" s="159">
        <f t="shared" si="60"/>
        <v>6</v>
      </c>
      <c r="I806" s="159">
        <f t="shared" si="61"/>
        <v>10350</v>
      </c>
      <c r="J806" s="147">
        <v>29</v>
      </c>
      <c r="K806" s="147">
        <v>2</v>
      </c>
      <c r="L806" s="147" t="s">
        <v>656</v>
      </c>
      <c r="M806" s="147">
        <v>16</v>
      </c>
      <c r="N806" s="147">
        <v>1</v>
      </c>
      <c r="O806" s="147" t="s">
        <v>655</v>
      </c>
      <c r="P806" s="147">
        <v>102</v>
      </c>
      <c r="Q806" s="156">
        <v>451</v>
      </c>
      <c r="R806" s="157">
        <v>0</v>
      </c>
      <c r="S806" s="158" t="s">
        <v>661</v>
      </c>
      <c r="T806" s="155" t="s">
        <v>404</v>
      </c>
      <c r="U806" s="163"/>
      <c r="V806" s="147"/>
    </row>
    <row r="807" spans="1:22">
      <c r="A807" s="159">
        <v>99</v>
      </c>
      <c r="B807" s="160">
        <v>6</v>
      </c>
      <c r="C807" s="160">
        <v>102</v>
      </c>
      <c r="D807" s="159">
        <v>497</v>
      </c>
      <c r="E807" s="159">
        <v>60</v>
      </c>
      <c r="F807" s="160">
        <v>4</v>
      </c>
      <c r="G807" s="161">
        <f t="shared" si="59"/>
        <v>5902</v>
      </c>
      <c r="H807" s="159">
        <f t="shared" si="60"/>
        <v>8</v>
      </c>
      <c r="I807" s="159">
        <f t="shared" si="61"/>
        <v>12425</v>
      </c>
      <c r="J807" s="147">
        <v>29</v>
      </c>
      <c r="K807" s="147">
        <v>2</v>
      </c>
      <c r="L807" s="147" t="s">
        <v>656</v>
      </c>
      <c r="M807" s="147">
        <v>16</v>
      </c>
      <c r="N807" s="147">
        <v>1</v>
      </c>
      <c r="O807" s="147" t="s">
        <v>655</v>
      </c>
      <c r="P807" s="147">
        <v>102</v>
      </c>
      <c r="Q807" s="156">
        <v>506</v>
      </c>
      <c r="R807" s="157">
        <v>0</v>
      </c>
      <c r="S807" s="158" t="s">
        <v>661</v>
      </c>
      <c r="T807" s="155" t="s">
        <v>404</v>
      </c>
      <c r="U807" s="163"/>
      <c r="V807" s="147"/>
    </row>
    <row r="808" spans="1:22">
      <c r="A808" s="159">
        <v>99</v>
      </c>
      <c r="B808" s="160">
        <v>7</v>
      </c>
      <c r="C808" s="160">
        <v>102</v>
      </c>
      <c r="D808" s="159">
        <v>580</v>
      </c>
      <c r="E808" s="159">
        <v>70</v>
      </c>
      <c r="F808" s="160">
        <v>4</v>
      </c>
      <c r="G808" s="161">
        <f t="shared" si="59"/>
        <v>5902</v>
      </c>
      <c r="H808" s="159">
        <f t="shared" si="60"/>
        <v>10</v>
      </c>
      <c r="I808" s="159">
        <f t="shared" si="61"/>
        <v>14500</v>
      </c>
      <c r="J808" s="147">
        <v>29</v>
      </c>
      <c r="K808" s="147">
        <v>2</v>
      </c>
      <c r="L808" s="147" t="s">
        <v>656</v>
      </c>
      <c r="M808" s="147">
        <v>16</v>
      </c>
      <c r="N808" s="147">
        <v>1</v>
      </c>
      <c r="O808" s="147" t="s">
        <v>655</v>
      </c>
      <c r="P808" s="147">
        <v>102</v>
      </c>
      <c r="Q808" s="156">
        <v>572</v>
      </c>
      <c r="R808" s="157">
        <v>0</v>
      </c>
      <c r="S808" s="158" t="s">
        <v>661</v>
      </c>
      <c r="T808" s="155" t="s">
        <v>404</v>
      </c>
      <c r="U808" s="163"/>
      <c r="V808" s="147"/>
    </row>
    <row r="809" spans="1:22">
      <c r="A809" s="159">
        <v>99</v>
      </c>
      <c r="B809" s="160">
        <v>8</v>
      </c>
      <c r="C809" s="160">
        <v>102</v>
      </c>
      <c r="D809" s="159">
        <v>663</v>
      </c>
      <c r="E809" s="159">
        <v>80</v>
      </c>
      <c r="F809" s="160">
        <v>5</v>
      </c>
      <c r="G809" s="161">
        <f t="shared" si="59"/>
        <v>5902</v>
      </c>
      <c r="H809" s="159">
        <f t="shared" si="60"/>
        <v>12</v>
      </c>
      <c r="I809" s="159">
        <f t="shared" si="61"/>
        <v>16575</v>
      </c>
      <c r="J809" s="147">
        <v>29</v>
      </c>
      <c r="K809" s="147">
        <v>2</v>
      </c>
      <c r="L809" s="147" t="s">
        <v>656</v>
      </c>
      <c r="M809" s="147">
        <v>16</v>
      </c>
      <c r="N809" s="147">
        <v>1</v>
      </c>
      <c r="O809" s="147" t="s">
        <v>655</v>
      </c>
      <c r="P809" s="147">
        <v>102</v>
      </c>
      <c r="Q809" s="156">
        <v>647</v>
      </c>
      <c r="R809" s="157">
        <v>0</v>
      </c>
      <c r="S809" s="158" t="s">
        <v>661</v>
      </c>
      <c r="T809" s="155" t="s">
        <v>404</v>
      </c>
      <c r="U809" s="163"/>
      <c r="V809" s="147"/>
    </row>
    <row r="810" spans="1:22">
      <c r="A810" s="159">
        <v>99</v>
      </c>
      <c r="B810" s="160">
        <v>9</v>
      </c>
      <c r="C810" s="160">
        <v>102</v>
      </c>
      <c r="D810" s="159">
        <v>746</v>
      </c>
      <c r="E810" s="159">
        <v>90</v>
      </c>
      <c r="F810" s="160">
        <v>5</v>
      </c>
      <c r="G810" s="161">
        <f t="shared" si="59"/>
        <v>5902</v>
      </c>
      <c r="H810" s="159">
        <f t="shared" si="60"/>
        <v>15</v>
      </c>
      <c r="I810" s="159">
        <f t="shared" si="61"/>
        <v>18650</v>
      </c>
      <c r="J810" s="147">
        <v>29</v>
      </c>
      <c r="K810" s="147">
        <v>2</v>
      </c>
      <c r="L810" s="147" t="s">
        <v>656</v>
      </c>
      <c r="M810" s="147">
        <v>16</v>
      </c>
      <c r="N810" s="147">
        <v>1</v>
      </c>
      <c r="O810" s="147" t="s">
        <v>655</v>
      </c>
      <c r="P810" s="147">
        <v>102</v>
      </c>
      <c r="Q810" s="156">
        <v>732</v>
      </c>
      <c r="R810" s="157">
        <v>0</v>
      </c>
      <c r="S810" s="158" t="s">
        <v>661</v>
      </c>
      <c r="T810" s="155" t="s">
        <v>404</v>
      </c>
      <c r="U810" s="163"/>
      <c r="V810" s="147"/>
    </row>
    <row r="811" spans="1:22">
      <c r="A811" s="159">
        <v>99</v>
      </c>
      <c r="B811" s="160">
        <v>10</v>
      </c>
      <c r="C811" s="160">
        <v>102</v>
      </c>
      <c r="D811" s="159">
        <v>828</v>
      </c>
      <c r="E811" s="159">
        <v>90</v>
      </c>
      <c r="F811" s="160">
        <v>6</v>
      </c>
      <c r="G811" s="161">
        <f t="shared" si="59"/>
        <v>5902</v>
      </c>
      <c r="H811" s="159">
        <f t="shared" si="60"/>
        <v>18</v>
      </c>
      <c r="I811" s="159">
        <f t="shared" si="61"/>
        <v>20700</v>
      </c>
      <c r="J811" s="147">
        <v>29</v>
      </c>
      <c r="K811" s="147">
        <v>2</v>
      </c>
      <c r="L811" s="147" t="s">
        <v>656</v>
      </c>
      <c r="M811" s="147">
        <v>16</v>
      </c>
      <c r="N811" s="147">
        <v>1</v>
      </c>
      <c r="O811" s="147" t="s">
        <v>655</v>
      </c>
      <c r="P811" s="147">
        <v>102</v>
      </c>
      <c r="Q811" s="156">
        <v>828</v>
      </c>
      <c r="R811" s="157">
        <v>0</v>
      </c>
      <c r="S811" s="158" t="s">
        <v>661</v>
      </c>
      <c r="T811" s="155" t="s">
        <v>404</v>
      </c>
      <c r="U811" s="163"/>
      <c r="V811" s="147"/>
    </row>
    <row r="812" spans="1:22">
      <c r="A812" s="166">
        <v>100</v>
      </c>
      <c r="B812" s="167">
        <v>1</v>
      </c>
      <c r="C812" s="167">
        <v>102</v>
      </c>
      <c r="D812" s="166">
        <v>83</v>
      </c>
      <c r="E812" s="166">
        <v>10</v>
      </c>
      <c r="F812" s="167">
        <v>1</v>
      </c>
      <c r="G812" s="168">
        <f t="shared" si="59"/>
        <v>5902</v>
      </c>
      <c r="H812" s="166">
        <f t="shared" si="60"/>
        <v>1</v>
      </c>
      <c r="I812" s="166">
        <f t="shared" si="61"/>
        <v>2075</v>
      </c>
      <c r="J812" s="147">
        <v>29</v>
      </c>
      <c r="K812" s="147">
        <v>2</v>
      </c>
      <c r="L812" s="147" t="s">
        <v>656</v>
      </c>
      <c r="M812" s="147">
        <v>10</v>
      </c>
      <c r="N812" s="147">
        <v>1</v>
      </c>
      <c r="O812" s="147" t="s">
        <v>655</v>
      </c>
      <c r="P812" s="147">
        <v>102</v>
      </c>
      <c r="Q812" s="156">
        <v>331</v>
      </c>
      <c r="R812" s="157">
        <v>0</v>
      </c>
      <c r="S812" s="158" t="s">
        <v>661</v>
      </c>
      <c r="T812" s="155" t="s">
        <v>398</v>
      </c>
      <c r="U812" s="163"/>
      <c r="V812" s="147"/>
    </row>
    <row r="813" spans="1:22">
      <c r="A813" s="166">
        <v>100</v>
      </c>
      <c r="B813" s="167">
        <v>2</v>
      </c>
      <c r="C813" s="167">
        <v>102</v>
      </c>
      <c r="D813" s="166">
        <v>166</v>
      </c>
      <c r="E813" s="166">
        <v>20</v>
      </c>
      <c r="F813" s="167">
        <v>2</v>
      </c>
      <c r="G813" s="168">
        <f t="shared" si="59"/>
        <v>5902</v>
      </c>
      <c r="H813" s="166">
        <f t="shared" si="60"/>
        <v>2</v>
      </c>
      <c r="I813" s="166">
        <f t="shared" si="61"/>
        <v>4150</v>
      </c>
      <c r="J813" s="147">
        <v>29</v>
      </c>
      <c r="K813" s="147">
        <v>2</v>
      </c>
      <c r="L813" s="147" t="s">
        <v>656</v>
      </c>
      <c r="M813" s="147">
        <v>10</v>
      </c>
      <c r="N813" s="147">
        <v>1</v>
      </c>
      <c r="O813" s="147" t="s">
        <v>655</v>
      </c>
      <c r="P813" s="147">
        <v>102</v>
      </c>
      <c r="Q813" s="156">
        <v>346</v>
      </c>
      <c r="R813" s="157">
        <v>0</v>
      </c>
      <c r="S813" s="158" t="s">
        <v>661</v>
      </c>
      <c r="T813" s="155" t="s">
        <v>398</v>
      </c>
      <c r="U813" s="163"/>
      <c r="V813" s="147"/>
    </row>
    <row r="814" spans="1:22">
      <c r="A814" s="166">
        <v>100</v>
      </c>
      <c r="B814" s="167">
        <v>3</v>
      </c>
      <c r="C814" s="167">
        <v>102</v>
      </c>
      <c r="D814" s="166">
        <v>249</v>
      </c>
      <c r="E814" s="166">
        <v>30</v>
      </c>
      <c r="F814" s="167">
        <v>2</v>
      </c>
      <c r="G814" s="168">
        <f t="shared" si="59"/>
        <v>5902</v>
      </c>
      <c r="H814" s="166">
        <f t="shared" si="60"/>
        <v>3</v>
      </c>
      <c r="I814" s="166">
        <f t="shared" si="61"/>
        <v>6225</v>
      </c>
      <c r="J814" s="147">
        <v>29</v>
      </c>
      <c r="K814" s="147">
        <v>2</v>
      </c>
      <c r="L814" s="147" t="s">
        <v>656</v>
      </c>
      <c r="M814" s="147">
        <v>10</v>
      </c>
      <c r="N814" s="147">
        <v>1</v>
      </c>
      <c r="O814" s="147" t="s">
        <v>655</v>
      </c>
      <c r="P814" s="147">
        <v>102</v>
      </c>
      <c r="Q814" s="156">
        <v>371</v>
      </c>
      <c r="R814" s="157">
        <v>0</v>
      </c>
      <c r="S814" s="158" t="s">
        <v>661</v>
      </c>
      <c r="T814" s="155" t="s">
        <v>398</v>
      </c>
      <c r="U814" s="163"/>
      <c r="V814" s="147"/>
    </row>
    <row r="815" spans="1:22">
      <c r="A815" s="166">
        <v>100</v>
      </c>
      <c r="B815" s="167">
        <v>4</v>
      </c>
      <c r="C815" s="167">
        <v>102</v>
      </c>
      <c r="D815" s="166">
        <v>332</v>
      </c>
      <c r="E815" s="166">
        <v>40</v>
      </c>
      <c r="F815" s="167">
        <v>3</v>
      </c>
      <c r="G815" s="168">
        <f t="shared" si="59"/>
        <v>5902</v>
      </c>
      <c r="H815" s="166">
        <f t="shared" si="60"/>
        <v>4</v>
      </c>
      <c r="I815" s="166">
        <f t="shared" si="61"/>
        <v>8300</v>
      </c>
      <c r="J815" s="147">
        <v>29</v>
      </c>
      <c r="K815" s="147">
        <v>2</v>
      </c>
      <c r="L815" s="147" t="s">
        <v>656</v>
      </c>
      <c r="M815" s="147">
        <v>10</v>
      </c>
      <c r="N815" s="147">
        <v>1</v>
      </c>
      <c r="O815" s="147" t="s">
        <v>655</v>
      </c>
      <c r="P815" s="147">
        <v>102</v>
      </c>
      <c r="Q815" s="156">
        <v>406</v>
      </c>
      <c r="R815" s="157">
        <v>0</v>
      </c>
      <c r="S815" s="158" t="s">
        <v>661</v>
      </c>
      <c r="T815" s="155" t="s">
        <v>398</v>
      </c>
      <c r="U815" s="163"/>
      <c r="V815" s="147"/>
    </row>
    <row r="816" spans="1:22">
      <c r="A816" s="166">
        <v>100</v>
      </c>
      <c r="B816" s="167">
        <v>5</v>
      </c>
      <c r="C816" s="167">
        <v>102</v>
      </c>
      <c r="D816" s="166">
        <v>414</v>
      </c>
      <c r="E816" s="166">
        <v>50</v>
      </c>
      <c r="F816" s="167">
        <v>3</v>
      </c>
      <c r="G816" s="168">
        <f t="shared" si="59"/>
        <v>5902</v>
      </c>
      <c r="H816" s="166">
        <f t="shared" si="60"/>
        <v>6</v>
      </c>
      <c r="I816" s="166">
        <f t="shared" si="61"/>
        <v>10350</v>
      </c>
      <c r="J816" s="147">
        <v>29</v>
      </c>
      <c r="K816" s="147">
        <v>2</v>
      </c>
      <c r="L816" s="147" t="s">
        <v>656</v>
      </c>
      <c r="M816" s="147">
        <v>10</v>
      </c>
      <c r="N816" s="147">
        <v>1</v>
      </c>
      <c r="O816" s="147" t="s">
        <v>655</v>
      </c>
      <c r="P816" s="147">
        <v>102</v>
      </c>
      <c r="Q816" s="156">
        <v>451</v>
      </c>
      <c r="R816" s="157">
        <v>0</v>
      </c>
      <c r="S816" s="158" t="s">
        <v>661</v>
      </c>
      <c r="T816" s="155" t="s">
        <v>398</v>
      </c>
      <c r="U816" s="163"/>
      <c r="V816" s="147"/>
    </row>
    <row r="817" spans="1:22">
      <c r="A817" s="166">
        <v>100</v>
      </c>
      <c r="B817" s="167">
        <v>6</v>
      </c>
      <c r="C817" s="167">
        <v>102</v>
      </c>
      <c r="D817" s="166">
        <v>497</v>
      </c>
      <c r="E817" s="166">
        <v>60</v>
      </c>
      <c r="F817" s="167">
        <v>4</v>
      </c>
      <c r="G817" s="168">
        <f t="shared" si="59"/>
        <v>5902</v>
      </c>
      <c r="H817" s="166">
        <f t="shared" si="60"/>
        <v>8</v>
      </c>
      <c r="I817" s="166">
        <f t="shared" si="61"/>
        <v>12425</v>
      </c>
      <c r="J817" s="147">
        <v>29</v>
      </c>
      <c r="K817" s="147">
        <v>2</v>
      </c>
      <c r="L817" s="147" t="s">
        <v>656</v>
      </c>
      <c r="M817" s="147">
        <v>10</v>
      </c>
      <c r="N817" s="147">
        <v>1</v>
      </c>
      <c r="O817" s="147" t="s">
        <v>655</v>
      </c>
      <c r="P817" s="147">
        <v>102</v>
      </c>
      <c r="Q817" s="156">
        <v>506</v>
      </c>
      <c r="R817" s="157">
        <v>0</v>
      </c>
      <c r="S817" s="158" t="s">
        <v>661</v>
      </c>
      <c r="T817" s="155" t="s">
        <v>398</v>
      </c>
      <c r="U817" s="163"/>
      <c r="V817" s="147"/>
    </row>
    <row r="818" spans="1:22">
      <c r="A818" s="166">
        <v>100</v>
      </c>
      <c r="B818" s="167">
        <v>7</v>
      </c>
      <c r="C818" s="167">
        <v>102</v>
      </c>
      <c r="D818" s="166">
        <v>580</v>
      </c>
      <c r="E818" s="166">
        <v>70</v>
      </c>
      <c r="F818" s="167">
        <v>4</v>
      </c>
      <c r="G818" s="168">
        <f t="shared" si="59"/>
        <v>5902</v>
      </c>
      <c r="H818" s="166">
        <f t="shared" si="60"/>
        <v>10</v>
      </c>
      <c r="I818" s="166">
        <f t="shared" si="61"/>
        <v>14500</v>
      </c>
      <c r="J818" s="147">
        <v>29</v>
      </c>
      <c r="K818" s="147">
        <v>2</v>
      </c>
      <c r="L818" s="147" t="s">
        <v>656</v>
      </c>
      <c r="M818" s="147">
        <v>10</v>
      </c>
      <c r="N818" s="147">
        <v>1</v>
      </c>
      <c r="O818" s="147" t="s">
        <v>655</v>
      </c>
      <c r="P818" s="147">
        <v>102</v>
      </c>
      <c r="Q818" s="156">
        <v>572</v>
      </c>
      <c r="R818" s="157">
        <v>0</v>
      </c>
      <c r="S818" s="158" t="s">
        <v>661</v>
      </c>
      <c r="T818" s="155" t="s">
        <v>398</v>
      </c>
      <c r="U818" s="163"/>
      <c r="V818" s="147"/>
    </row>
    <row r="819" spans="1:22">
      <c r="A819" s="166">
        <v>100</v>
      </c>
      <c r="B819" s="167">
        <v>8</v>
      </c>
      <c r="C819" s="167">
        <v>102</v>
      </c>
      <c r="D819" s="166">
        <v>663</v>
      </c>
      <c r="E819" s="166">
        <v>80</v>
      </c>
      <c r="F819" s="167">
        <v>5</v>
      </c>
      <c r="G819" s="168">
        <f t="shared" si="59"/>
        <v>5902</v>
      </c>
      <c r="H819" s="166">
        <f t="shared" si="60"/>
        <v>12</v>
      </c>
      <c r="I819" s="166">
        <f t="shared" si="61"/>
        <v>16575</v>
      </c>
      <c r="J819" s="147">
        <v>29</v>
      </c>
      <c r="K819" s="147">
        <v>2</v>
      </c>
      <c r="L819" s="147" t="s">
        <v>656</v>
      </c>
      <c r="M819" s="147">
        <v>10</v>
      </c>
      <c r="N819" s="147">
        <v>1</v>
      </c>
      <c r="O819" s="147" t="s">
        <v>655</v>
      </c>
      <c r="P819" s="147">
        <v>102</v>
      </c>
      <c r="Q819" s="156">
        <v>647</v>
      </c>
      <c r="R819" s="157">
        <v>0</v>
      </c>
      <c r="S819" s="158" t="s">
        <v>661</v>
      </c>
      <c r="T819" s="155" t="s">
        <v>398</v>
      </c>
      <c r="U819" s="163"/>
      <c r="V819" s="147"/>
    </row>
    <row r="820" spans="1:22">
      <c r="A820" s="166">
        <v>100</v>
      </c>
      <c r="B820" s="167">
        <v>9</v>
      </c>
      <c r="C820" s="167">
        <v>102</v>
      </c>
      <c r="D820" s="166">
        <v>746</v>
      </c>
      <c r="E820" s="166">
        <v>90</v>
      </c>
      <c r="F820" s="167">
        <v>5</v>
      </c>
      <c r="G820" s="168">
        <f t="shared" si="59"/>
        <v>5902</v>
      </c>
      <c r="H820" s="166">
        <f t="shared" si="60"/>
        <v>15</v>
      </c>
      <c r="I820" s="166">
        <f t="shared" si="61"/>
        <v>18650</v>
      </c>
      <c r="J820" s="147">
        <v>29</v>
      </c>
      <c r="K820" s="147">
        <v>2</v>
      </c>
      <c r="L820" s="147" t="s">
        <v>656</v>
      </c>
      <c r="M820" s="147">
        <v>10</v>
      </c>
      <c r="N820" s="147">
        <v>1</v>
      </c>
      <c r="O820" s="147" t="s">
        <v>655</v>
      </c>
      <c r="P820" s="147">
        <v>102</v>
      </c>
      <c r="Q820" s="156">
        <v>732</v>
      </c>
      <c r="R820" s="157">
        <v>0</v>
      </c>
      <c r="S820" s="158" t="s">
        <v>661</v>
      </c>
      <c r="T820" s="155" t="s">
        <v>398</v>
      </c>
      <c r="U820" s="163"/>
      <c r="V820" s="147"/>
    </row>
    <row r="821" spans="1:22">
      <c r="A821" s="166">
        <v>100</v>
      </c>
      <c r="B821" s="167">
        <v>10</v>
      </c>
      <c r="C821" s="167">
        <v>102</v>
      </c>
      <c r="D821" s="166">
        <v>828</v>
      </c>
      <c r="E821" s="166">
        <v>90</v>
      </c>
      <c r="F821" s="167">
        <v>6</v>
      </c>
      <c r="G821" s="168">
        <f t="shared" si="59"/>
        <v>5902</v>
      </c>
      <c r="H821" s="166">
        <f t="shared" si="60"/>
        <v>18</v>
      </c>
      <c r="I821" s="166">
        <f t="shared" si="61"/>
        <v>20700</v>
      </c>
      <c r="J821" s="147">
        <v>29</v>
      </c>
      <c r="K821" s="147">
        <v>2</v>
      </c>
      <c r="L821" s="147" t="s">
        <v>656</v>
      </c>
      <c r="M821" s="147">
        <v>10</v>
      </c>
      <c r="N821" s="147">
        <v>1</v>
      </c>
      <c r="O821" s="147" t="s">
        <v>655</v>
      </c>
      <c r="P821" s="147">
        <v>102</v>
      </c>
      <c r="Q821" s="156">
        <v>828</v>
      </c>
      <c r="R821" s="157">
        <v>0</v>
      </c>
      <c r="S821" s="158" t="s">
        <v>661</v>
      </c>
      <c r="T821" s="155" t="s">
        <v>398</v>
      </c>
      <c r="U821" s="163"/>
      <c r="V821" s="147"/>
    </row>
    <row r="822" spans="1:22">
      <c r="A822" s="159">
        <v>101</v>
      </c>
      <c r="B822" s="160">
        <v>1</v>
      </c>
      <c r="C822" s="160">
        <v>104</v>
      </c>
      <c r="D822" s="159">
        <v>1416</v>
      </c>
      <c r="E822" s="159">
        <v>10</v>
      </c>
      <c r="F822" s="160">
        <v>1</v>
      </c>
      <c r="G822" s="161">
        <f t="shared" si="59"/>
        <v>5902</v>
      </c>
      <c r="H822" s="159">
        <f t="shared" si="60"/>
        <v>1</v>
      </c>
      <c r="I822" s="159">
        <f t="shared" si="61"/>
        <v>1416</v>
      </c>
      <c r="J822" s="147">
        <v>29</v>
      </c>
      <c r="K822" s="147">
        <v>2</v>
      </c>
      <c r="L822" s="147" t="s">
        <v>656</v>
      </c>
      <c r="M822" s="147">
        <v>31</v>
      </c>
      <c r="N822" s="147">
        <v>3</v>
      </c>
      <c r="O822" s="147" t="s">
        <v>657</v>
      </c>
      <c r="P822" s="147">
        <v>104</v>
      </c>
      <c r="Q822" s="156">
        <v>5663</v>
      </c>
      <c r="R822" s="157">
        <v>0</v>
      </c>
      <c r="S822" s="158" t="s">
        <v>661</v>
      </c>
      <c r="T822" s="155" t="s">
        <v>659</v>
      </c>
      <c r="U822" s="163"/>
      <c r="V822" s="147"/>
    </row>
    <row r="823" spans="1:22">
      <c r="A823" s="159">
        <v>101</v>
      </c>
      <c r="B823" s="160">
        <v>2</v>
      </c>
      <c r="C823" s="160">
        <v>104</v>
      </c>
      <c r="D823" s="159">
        <v>2832</v>
      </c>
      <c r="E823" s="159">
        <v>20</v>
      </c>
      <c r="F823" s="160">
        <v>2</v>
      </c>
      <c r="G823" s="161">
        <f t="shared" si="59"/>
        <v>5902</v>
      </c>
      <c r="H823" s="159">
        <f t="shared" si="60"/>
        <v>2</v>
      </c>
      <c r="I823" s="159">
        <f t="shared" si="61"/>
        <v>2832</v>
      </c>
      <c r="J823" s="147">
        <v>29</v>
      </c>
      <c r="K823" s="147">
        <v>2</v>
      </c>
      <c r="L823" s="147" t="s">
        <v>656</v>
      </c>
      <c r="M823" s="147">
        <v>31</v>
      </c>
      <c r="N823" s="147">
        <v>3</v>
      </c>
      <c r="O823" s="147" t="s">
        <v>657</v>
      </c>
      <c r="P823" s="147">
        <v>104</v>
      </c>
      <c r="Q823" s="156">
        <v>5920</v>
      </c>
      <c r="R823" s="157">
        <v>0</v>
      </c>
      <c r="S823" s="158" t="s">
        <v>661</v>
      </c>
      <c r="T823" s="155" t="s">
        <v>659</v>
      </c>
      <c r="U823" s="163"/>
      <c r="V823" s="147"/>
    </row>
    <row r="824" spans="1:22">
      <c r="A824" s="159">
        <v>101</v>
      </c>
      <c r="B824" s="160">
        <v>3</v>
      </c>
      <c r="C824" s="160">
        <v>104</v>
      </c>
      <c r="D824" s="159">
        <v>4248</v>
      </c>
      <c r="E824" s="159">
        <v>30</v>
      </c>
      <c r="F824" s="160">
        <v>2</v>
      </c>
      <c r="G824" s="161">
        <f t="shared" si="59"/>
        <v>5902</v>
      </c>
      <c r="H824" s="159">
        <f t="shared" si="60"/>
        <v>3</v>
      </c>
      <c r="I824" s="159">
        <f t="shared" si="61"/>
        <v>4248</v>
      </c>
      <c r="J824" s="147">
        <v>29</v>
      </c>
      <c r="K824" s="147">
        <v>2</v>
      </c>
      <c r="L824" s="147" t="s">
        <v>656</v>
      </c>
      <c r="M824" s="147">
        <v>31</v>
      </c>
      <c r="N824" s="147">
        <v>3</v>
      </c>
      <c r="O824" s="147" t="s">
        <v>657</v>
      </c>
      <c r="P824" s="147">
        <v>104</v>
      </c>
      <c r="Q824" s="156">
        <v>6349</v>
      </c>
      <c r="R824" s="157">
        <v>0</v>
      </c>
      <c r="S824" s="158" t="s">
        <v>661</v>
      </c>
      <c r="T824" s="155" t="s">
        <v>659</v>
      </c>
      <c r="U824" s="163"/>
      <c r="V824" s="147"/>
    </row>
    <row r="825" spans="1:22">
      <c r="A825" s="159">
        <v>101</v>
      </c>
      <c r="B825" s="160">
        <v>4</v>
      </c>
      <c r="C825" s="160">
        <v>104</v>
      </c>
      <c r="D825" s="159">
        <v>5664</v>
      </c>
      <c r="E825" s="159">
        <v>40</v>
      </c>
      <c r="F825" s="160">
        <v>3</v>
      </c>
      <c r="G825" s="161">
        <f t="shared" si="59"/>
        <v>5902</v>
      </c>
      <c r="H825" s="159">
        <f t="shared" si="60"/>
        <v>4</v>
      </c>
      <c r="I825" s="159">
        <f t="shared" si="61"/>
        <v>5664</v>
      </c>
      <c r="J825" s="147">
        <v>29</v>
      </c>
      <c r="K825" s="147">
        <v>2</v>
      </c>
      <c r="L825" s="147" t="s">
        <v>656</v>
      </c>
      <c r="M825" s="147">
        <v>31</v>
      </c>
      <c r="N825" s="147">
        <v>3</v>
      </c>
      <c r="O825" s="147" t="s">
        <v>657</v>
      </c>
      <c r="P825" s="147">
        <v>104</v>
      </c>
      <c r="Q825" s="156">
        <v>6950</v>
      </c>
      <c r="R825" s="157">
        <v>0</v>
      </c>
      <c r="S825" s="158" t="s">
        <v>661</v>
      </c>
      <c r="T825" s="155" t="s">
        <v>659</v>
      </c>
      <c r="U825" s="163"/>
      <c r="V825" s="147"/>
    </row>
    <row r="826" spans="1:22">
      <c r="A826" s="159">
        <v>101</v>
      </c>
      <c r="B826" s="160">
        <v>5</v>
      </c>
      <c r="C826" s="160">
        <v>104</v>
      </c>
      <c r="D826" s="159">
        <v>7079</v>
      </c>
      <c r="E826" s="159">
        <v>50</v>
      </c>
      <c r="F826" s="160">
        <v>3</v>
      </c>
      <c r="G826" s="161">
        <f t="shared" si="59"/>
        <v>5902</v>
      </c>
      <c r="H826" s="159">
        <f t="shared" si="60"/>
        <v>6</v>
      </c>
      <c r="I826" s="159">
        <f t="shared" si="61"/>
        <v>7079</v>
      </c>
      <c r="J826" s="147">
        <v>29</v>
      </c>
      <c r="K826" s="147">
        <v>2</v>
      </c>
      <c r="L826" s="147" t="s">
        <v>656</v>
      </c>
      <c r="M826" s="147">
        <v>31</v>
      </c>
      <c r="N826" s="147">
        <v>3</v>
      </c>
      <c r="O826" s="147" t="s">
        <v>657</v>
      </c>
      <c r="P826" s="147">
        <v>104</v>
      </c>
      <c r="Q826" s="156">
        <v>7722</v>
      </c>
      <c r="R826" s="157">
        <v>0</v>
      </c>
      <c r="S826" s="158" t="s">
        <v>661</v>
      </c>
      <c r="T826" s="155" t="s">
        <v>659</v>
      </c>
      <c r="U826" s="163"/>
      <c r="V826" s="147"/>
    </row>
    <row r="827" spans="1:22">
      <c r="A827" s="159">
        <v>101</v>
      </c>
      <c r="B827" s="160">
        <v>6</v>
      </c>
      <c r="C827" s="160">
        <v>104</v>
      </c>
      <c r="D827" s="159">
        <v>8495</v>
      </c>
      <c r="E827" s="159">
        <v>60</v>
      </c>
      <c r="F827" s="160">
        <v>4</v>
      </c>
      <c r="G827" s="161">
        <f t="shared" si="59"/>
        <v>5902</v>
      </c>
      <c r="H827" s="159">
        <f t="shared" si="60"/>
        <v>8</v>
      </c>
      <c r="I827" s="159">
        <f t="shared" si="61"/>
        <v>8495</v>
      </c>
      <c r="J827" s="147">
        <v>29</v>
      </c>
      <c r="K827" s="147">
        <v>2</v>
      </c>
      <c r="L827" s="147" t="s">
        <v>656</v>
      </c>
      <c r="M827" s="147">
        <v>31</v>
      </c>
      <c r="N827" s="147">
        <v>3</v>
      </c>
      <c r="O827" s="147" t="s">
        <v>657</v>
      </c>
      <c r="P827" s="147">
        <v>104</v>
      </c>
      <c r="Q827" s="156">
        <v>8666</v>
      </c>
      <c r="R827" s="157">
        <v>0</v>
      </c>
      <c r="S827" s="158" t="s">
        <v>661</v>
      </c>
      <c r="T827" s="155" t="s">
        <v>659</v>
      </c>
      <c r="U827" s="163"/>
      <c r="V827" s="147"/>
    </row>
    <row r="828" spans="1:22">
      <c r="A828" s="159">
        <v>101</v>
      </c>
      <c r="B828" s="160">
        <v>7</v>
      </c>
      <c r="C828" s="160">
        <v>104</v>
      </c>
      <c r="D828" s="159">
        <v>9911</v>
      </c>
      <c r="E828" s="159">
        <v>70</v>
      </c>
      <c r="F828" s="160">
        <v>4</v>
      </c>
      <c r="G828" s="161">
        <f t="shared" si="59"/>
        <v>5902</v>
      </c>
      <c r="H828" s="159">
        <f t="shared" si="60"/>
        <v>10</v>
      </c>
      <c r="I828" s="159">
        <f t="shared" si="61"/>
        <v>9911</v>
      </c>
      <c r="J828" s="147">
        <v>29</v>
      </c>
      <c r="K828" s="147">
        <v>2</v>
      </c>
      <c r="L828" s="147" t="s">
        <v>656</v>
      </c>
      <c r="M828" s="147">
        <v>31</v>
      </c>
      <c r="N828" s="147">
        <v>3</v>
      </c>
      <c r="O828" s="147" t="s">
        <v>657</v>
      </c>
      <c r="P828" s="147">
        <v>104</v>
      </c>
      <c r="Q828" s="156">
        <v>9781</v>
      </c>
      <c r="R828" s="157">
        <v>0</v>
      </c>
      <c r="S828" s="158" t="s">
        <v>661</v>
      </c>
      <c r="T828" s="155" t="s">
        <v>659</v>
      </c>
      <c r="U828" s="163"/>
      <c r="V828" s="147"/>
    </row>
    <row r="829" spans="1:22">
      <c r="A829" s="159">
        <v>101</v>
      </c>
      <c r="B829" s="160">
        <v>8</v>
      </c>
      <c r="C829" s="160">
        <v>104</v>
      </c>
      <c r="D829" s="159">
        <v>11327</v>
      </c>
      <c r="E829" s="159">
        <v>80</v>
      </c>
      <c r="F829" s="160">
        <v>5</v>
      </c>
      <c r="G829" s="161">
        <f t="shared" si="59"/>
        <v>5902</v>
      </c>
      <c r="H829" s="159">
        <f t="shared" si="60"/>
        <v>12</v>
      </c>
      <c r="I829" s="159">
        <f t="shared" si="61"/>
        <v>11327</v>
      </c>
      <c r="J829" s="147">
        <v>29</v>
      </c>
      <c r="K829" s="147">
        <v>2</v>
      </c>
      <c r="L829" s="147" t="s">
        <v>656</v>
      </c>
      <c r="M829" s="147">
        <v>31</v>
      </c>
      <c r="N829" s="147">
        <v>3</v>
      </c>
      <c r="O829" s="147" t="s">
        <v>657</v>
      </c>
      <c r="P829" s="147">
        <v>104</v>
      </c>
      <c r="Q829" s="156">
        <v>11068</v>
      </c>
      <c r="R829" s="157">
        <v>0</v>
      </c>
      <c r="S829" s="158" t="s">
        <v>661</v>
      </c>
      <c r="T829" s="155" t="s">
        <v>659</v>
      </c>
      <c r="U829" s="163"/>
      <c r="V829" s="147"/>
    </row>
    <row r="830" spans="1:22">
      <c r="A830" s="159">
        <v>101</v>
      </c>
      <c r="B830" s="160">
        <v>9</v>
      </c>
      <c r="C830" s="160">
        <v>104</v>
      </c>
      <c r="D830" s="159">
        <v>12743</v>
      </c>
      <c r="E830" s="159">
        <v>90</v>
      </c>
      <c r="F830" s="160">
        <v>5</v>
      </c>
      <c r="G830" s="161">
        <f t="shared" si="59"/>
        <v>5902</v>
      </c>
      <c r="H830" s="159">
        <f t="shared" si="60"/>
        <v>15</v>
      </c>
      <c r="I830" s="159">
        <f t="shared" si="61"/>
        <v>12743</v>
      </c>
      <c r="J830" s="147">
        <v>29</v>
      </c>
      <c r="K830" s="147">
        <v>2</v>
      </c>
      <c r="L830" s="147" t="s">
        <v>656</v>
      </c>
      <c r="M830" s="147">
        <v>31</v>
      </c>
      <c r="N830" s="147">
        <v>3</v>
      </c>
      <c r="O830" s="147" t="s">
        <v>657</v>
      </c>
      <c r="P830" s="147">
        <v>104</v>
      </c>
      <c r="Q830" s="156">
        <v>12527</v>
      </c>
      <c r="R830" s="157">
        <v>0</v>
      </c>
      <c r="S830" s="158" t="s">
        <v>661</v>
      </c>
      <c r="T830" s="155" t="s">
        <v>659</v>
      </c>
      <c r="U830" s="163"/>
      <c r="V830" s="147"/>
    </row>
    <row r="831" spans="1:22">
      <c r="A831" s="159">
        <v>101</v>
      </c>
      <c r="B831" s="160">
        <v>10</v>
      </c>
      <c r="C831" s="160">
        <v>104</v>
      </c>
      <c r="D831" s="159">
        <v>14158</v>
      </c>
      <c r="E831" s="159">
        <v>90</v>
      </c>
      <c r="F831" s="160">
        <v>6</v>
      </c>
      <c r="G831" s="161">
        <f t="shared" si="59"/>
        <v>5902</v>
      </c>
      <c r="H831" s="159">
        <f t="shared" si="60"/>
        <v>18</v>
      </c>
      <c r="I831" s="159">
        <f t="shared" si="61"/>
        <v>14158</v>
      </c>
      <c r="J831" s="147">
        <v>29</v>
      </c>
      <c r="K831" s="147">
        <v>2</v>
      </c>
      <c r="L831" s="147" t="s">
        <v>656</v>
      </c>
      <c r="M831" s="147">
        <v>31</v>
      </c>
      <c r="N831" s="147">
        <v>3</v>
      </c>
      <c r="O831" s="147" t="s">
        <v>657</v>
      </c>
      <c r="P831" s="147">
        <v>104</v>
      </c>
      <c r="Q831" s="156">
        <v>14158</v>
      </c>
      <c r="R831" s="157">
        <v>0</v>
      </c>
      <c r="S831" s="158" t="s">
        <v>661</v>
      </c>
      <c r="T831" s="155" t="s">
        <v>659</v>
      </c>
      <c r="U831" s="163"/>
      <c r="V831" s="147"/>
    </row>
    <row r="832" spans="1:22">
      <c r="A832" s="166">
        <v>102</v>
      </c>
      <c r="B832" s="167">
        <v>1</v>
      </c>
      <c r="C832" s="167">
        <v>101</v>
      </c>
      <c r="D832" s="166">
        <v>102</v>
      </c>
      <c r="E832" s="166">
        <v>10</v>
      </c>
      <c r="F832" s="167">
        <v>1</v>
      </c>
      <c r="G832" s="168">
        <f t="shared" si="59"/>
        <v>5902</v>
      </c>
      <c r="H832" s="166">
        <f t="shared" si="60"/>
        <v>1</v>
      </c>
      <c r="I832" s="166">
        <f t="shared" si="61"/>
        <v>2550</v>
      </c>
      <c r="J832" s="147">
        <v>13</v>
      </c>
      <c r="K832" s="147">
        <v>2</v>
      </c>
      <c r="L832" s="147" t="s">
        <v>656</v>
      </c>
      <c r="M832" s="147">
        <v>29</v>
      </c>
      <c r="N832" s="147">
        <v>2</v>
      </c>
      <c r="O832" s="147" t="s">
        <v>656</v>
      </c>
      <c r="P832" s="147">
        <v>101</v>
      </c>
      <c r="Q832" s="156">
        <v>406</v>
      </c>
      <c r="R832" s="157">
        <v>0</v>
      </c>
      <c r="S832" s="158" t="s">
        <v>401</v>
      </c>
      <c r="T832" s="155" t="s">
        <v>661</v>
      </c>
      <c r="U832" s="163"/>
      <c r="V832" s="147"/>
    </row>
    <row r="833" spans="1:22">
      <c r="A833" s="166">
        <v>102</v>
      </c>
      <c r="B833" s="167">
        <v>2</v>
      </c>
      <c r="C833" s="167">
        <v>101</v>
      </c>
      <c r="D833" s="166">
        <v>203</v>
      </c>
      <c r="E833" s="166">
        <v>20</v>
      </c>
      <c r="F833" s="167">
        <v>2</v>
      </c>
      <c r="G833" s="168">
        <f t="shared" si="59"/>
        <v>5902</v>
      </c>
      <c r="H833" s="166">
        <f t="shared" si="60"/>
        <v>2</v>
      </c>
      <c r="I833" s="166">
        <f t="shared" si="61"/>
        <v>5075</v>
      </c>
      <c r="J833" s="147">
        <v>13</v>
      </c>
      <c r="K833" s="147">
        <v>2</v>
      </c>
      <c r="L833" s="147" t="s">
        <v>656</v>
      </c>
      <c r="M833" s="147">
        <v>29</v>
      </c>
      <c r="N833" s="147">
        <v>2</v>
      </c>
      <c r="O833" s="147" t="s">
        <v>656</v>
      </c>
      <c r="P833" s="147">
        <v>101</v>
      </c>
      <c r="Q833" s="156">
        <v>424</v>
      </c>
      <c r="R833" s="157">
        <v>0</v>
      </c>
      <c r="S833" s="158" t="s">
        <v>401</v>
      </c>
      <c r="T833" s="155" t="s">
        <v>661</v>
      </c>
      <c r="U833" s="163"/>
      <c r="V833" s="147"/>
    </row>
    <row r="834" spans="1:22">
      <c r="A834" s="166">
        <v>102</v>
      </c>
      <c r="B834" s="167">
        <v>3</v>
      </c>
      <c r="C834" s="167">
        <v>101</v>
      </c>
      <c r="D834" s="166">
        <v>305</v>
      </c>
      <c r="E834" s="166">
        <v>30</v>
      </c>
      <c r="F834" s="167">
        <v>2</v>
      </c>
      <c r="G834" s="168">
        <f t="shared" ref="G834:G897" si="62">VLOOKUP(B834,AA$2:AC$11,2,FALSE)</f>
        <v>5902</v>
      </c>
      <c r="H834" s="166">
        <f t="shared" ref="H834:H897" si="63">VLOOKUP(B834,AA$2:AC$11,3,FALSE)</f>
        <v>3</v>
      </c>
      <c r="I834" s="166">
        <f t="shared" si="61"/>
        <v>7625</v>
      </c>
      <c r="J834" s="147">
        <v>13</v>
      </c>
      <c r="K834" s="147">
        <v>2</v>
      </c>
      <c r="L834" s="147" t="s">
        <v>656</v>
      </c>
      <c r="M834" s="147">
        <v>29</v>
      </c>
      <c r="N834" s="147">
        <v>2</v>
      </c>
      <c r="O834" s="147" t="s">
        <v>656</v>
      </c>
      <c r="P834" s="147">
        <v>101</v>
      </c>
      <c r="Q834" s="156">
        <v>455</v>
      </c>
      <c r="R834" s="157">
        <v>0</v>
      </c>
      <c r="S834" s="158" t="s">
        <v>401</v>
      </c>
      <c r="T834" s="155" t="s">
        <v>661</v>
      </c>
      <c r="U834" s="163"/>
      <c r="V834" s="147"/>
    </row>
    <row r="835" spans="1:22">
      <c r="A835" s="166">
        <v>102</v>
      </c>
      <c r="B835" s="167">
        <v>4</v>
      </c>
      <c r="C835" s="167">
        <v>101</v>
      </c>
      <c r="D835" s="166">
        <v>406</v>
      </c>
      <c r="E835" s="166">
        <v>40</v>
      </c>
      <c r="F835" s="167">
        <v>3</v>
      </c>
      <c r="G835" s="168">
        <f t="shared" si="62"/>
        <v>5902</v>
      </c>
      <c r="H835" s="166">
        <f t="shared" si="63"/>
        <v>4</v>
      </c>
      <c r="I835" s="166">
        <f t="shared" ref="I835:I898" si="64">INT(IF(C835=104,D835,D835*25))</f>
        <v>10150</v>
      </c>
      <c r="J835" s="147">
        <v>13</v>
      </c>
      <c r="K835" s="147">
        <v>2</v>
      </c>
      <c r="L835" s="147" t="s">
        <v>656</v>
      </c>
      <c r="M835" s="147">
        <v>29</v>
      </c>
      <c r="N835" s="147">
        <v>2</v>
      </c>
      <c r="O835" s="147" t="s">
        <v>656</v>
      </c>
      <c r="P835" s="147">
        <v>101</v>
      </c>
      <c r="Q835" s="156">
        <v>498</v>
      </c>
      <c r="R835" s="157">
        <v>0</v>
      </c>
      <c r="S835" s="158" t="s">
        <v>401</v>
      </c>
      <c r="T835" s="155" t="s">
        <v>661</v>
      </c>
      <c r="U835" s="163"/>
      <c r="V835" s="147"/>
    </row>
    <row r="836" spans="1:22">
      <c r="A836" s="166">
        <v>102</v>
      </c>
      <c r="B836" s="167">
        <v>5</v>
      </c>
      <c r="C836" s="167">
        <v>101</v>
      </c>
      <c r="D836" s="166">
        <v>508</v>
      </c>
      <c r="E836" s="166">
        <v>50</v>
      </c>
      <c r="F836" s="167">
        <v>3</v>
      </c>
      <c r="G836" s="168">
        <f t="shared" si="62"/>
        <v>5902</v>
      </c>
      <c r="H836" s="166">
        <f t="shared" si="63"/>
        <v>6</v>
      </c>
      <c r="I836" s="166">
        <f t="shared" si="64"/>
        <v>12700</v>
      </c>
      <c r="J836" s="147">
        <v>13</v>
      </c>
      <c r="K836" s="147">
        <v>2</v>
      </c>
      <c r="L836" s="147" t="s">
        <v>656</v>
      </c>
      <c r="M836" s="147">
        <v>29</v>
      </c>
      <c r="N836" s="147">
        <v>2</v>
      </c>
      <c r="O836" s="147" t="s">
        <v>656</v>
      </c>
      <c r="P836" s="147">
        <v>101</v>
      </c>
      <c r="Q836" s="156">
        <v>553</v>
      </c>
      <c r="R836" s="157">
        <v>0</v>
      </c>
      <c r="S836" s="158" t="s">
        <v>401</v>
      </c>
      <c r="T836" s="155" t="s">
        <v>661</v>
      </c>
      <c r="U836" s="163"/>
      <c r="V836" s="147"/>
    </row>
    <row r="837" spans="1:22">
      <c r="A837" s="166">
        <v>102</v>
      </c>
      <c r="B837" s="167">
        <v>6</v>
      </c>
      <c r="C837" s="167">
        <v>101</v>
      </c>
      <c r="D837" s="166">
        <v>609</v>
      </c>
      <c r="E837" s="166">
        <v>60</v>
      </c>
      <c r="F837" s="167">
        <v>4</v>
      </c>
      <c r="G837" s="168">
        <f t="shared" si="62"/>
        <v>5902</v>
      </c>
      <c r="H837" s="166">
        <f t="shared" si="63"/>
        <v>8</v>
      </c>
      <c r="I837" s="166">
        <f t="shared" si="64"/>
        <v>15225</v>
      </c>
      <c r="J837" s="147">
        <v>13</v>
      </c>
      <c r="K837" s="147">
        <v>2</v>
      </c>
      <c r="L837" s="147" t="s">
        <v>656</v>
      </c>
      <c r="M837" s="147">
        <v>29</v>
      </c>
      <c r="N837" s="147">
        <v>2</v>
      </c>
      <c r="O837" s="147" t="s">
        <v>656</v>
      </c>
      <c r="P837" s="147">
        <v>101</v>
      </c>
      <c r="Q837" s="156">
        <v>621</v>
      </c>
      <c r="R837" s="157">
        <v>0</v>
      </c>
      <c r="S837" s="158" t="s">
        <v>401</v>
      </c>
      <c r="T837" s="155" t="s">
        <v>661</v>
      </c>
      <c r="U837" s="163"/>
      <c r="V837" s="147"/>
    </row>
    <row r="838" spans="1:22">
      <c r="A838" s="166">
        <v>102</v>
      </c>
      <c r="B838" s="167">
        <v>7</v>
      </c>
      <c r="C838" s="167">
        <v>101</v>
      </c>
      <c r="D838" s="166">
        <v>711</v>
      </c>
      <c r="E838" s="166">
        <v>70</v>
      </c>
      <c r="F838" s="167">
        <v>4</v>
      </c>
      <c r="G838" s="168">
        <f t="shared" si="62"/>
        <v>5902</v>
      </c>
      <c r="H838" s="166">
        <f t="shared" si="63"/>
        <v>10</v>
      </c>
      <c r="I838" s="166">
        <f t="shared" si="64"/>
        <v>17775</v>
      </c>
      <c r="J838" s="147">
        <v>13</v>
      </c>
      <c r="K838" s="147">
        <v>2</v>
      </c>
      <c r="L838" s="147" t="s">
        <v>656</v>
      </c>
      <c r="M838" s="147">
        <v>29</v>
      </c>
      <c r="N838" s="147">
        <v>2</v>
      </c>
      <c r="O838" s="147" t="s">
        <v>656</v>
      </c>
      <c r="P838" s="147">
        <v>101</v>
      </c>
      <c r="Q838" s="156">
        <v>701</v>
      </c>
      <c r="R838" s="157">
        <v>0</v>
      </c>
      <c r="S838" s="158" t="s">
        <v>401</v>
      </c>
      <c r="T838" s="155" t="s">
        <v>661</v>
      </c>
      <c r="U838" s="163"/>
      <c r="V838" s="147"/>
    </row>
    <row r="839" spans="1:22">
      <c r="A839" s="166">
        <v>102</v>
      </c>
      <c r="B839" s="167">
        <v>8</v>
      </c>
      <c r="C839" s="167">
        <v>101</v>
      </c>
      <c r="D839" s="166">
        <v>812</v>
      </c>
      <c r="E839" s="166">
        <v>80</v>
      </c>
      <c r="F839" s="167">
        <v>5</v>
      </c>
      <c r="G839" s="168">
        <f t="shared" si="62"/>
        <v>5902</v>
      </c>
      <c r="H839" s="166">
        <f t="shared" si="63"/>
        <v>12</v>
      </c>
      <c r="I839" s="166">
        <f t="shared" si="64"/>
        <v>20300</v>
      </c>
      <c r="J839" s="147">
        <v>13</v>
      </c>
      <c r="K839" s="147">
        <v>2</v>
      </c>
      <c r="L839" s="147" t="s">
        <v>656</v>
      </c>
      <c r="M839" s="147">
        <v>29</v>
      </c>
      <c r="N839" s="147">
        <v>2</v>
      </c>
      <c r="O839" s="147" t="s">
        <v>656</v>
      </c>
      <c r="P839" s="147">
        <v>101</v>
      </c>
      <c r="Q839" s="156">
        <v>793</v>
      </c>
      <c r="R839" s="157">
        <v>0</v>
      </c>
      <c r="S839" s="158" t="s">
        <v>401</v>
      </c>
      <c r="T839" s="155" t="s">
        <v>661</v>
      </c>
      <c r="U839" s="163"/>
      <c r="V839" s="147"/>
    </row>
    <row r="840" spans="1:22">
      <c r="A840" s="166">
        <v>102</v>
      </c>
      <c r="B840" s="167">
        <v>9</v>
      </c>
      <c r="C840" s="167">
        <v>101</v>
      </c>
      <c r="D840" s="166">
        <v>914</v>
      </c>
      <c r="E840" s="166">
        <v>90</v>
      </c>
      <c r="F840" s="167">
        <v>5</v>
      </c>
      <c r="G840" s="168">
        <f t="shared" si="62"/>
        <v>5902</v>
      </c>
      <c r="H840" s="166">
        <f t="shared" si="63"/>
        <v>15</v>
      </c>
      <c r="I840" s="166">
        <f t="shared" si="64"/>
        <v>22850</v>
      </c>
      <c r="J840" s="147">
        <v>13</v>
      </c>
      <c r="K840" s="147">
        <v>2</v>
      </c>
      <c r="L840" s="147" t="s">
        <v>656</v>
      </c>
      <c r="M840" s="147">
        <v>29</v>
      </c>
      <c r="N840" s="147">
        <v>2</v>
      </c>
      <c r="O840" s="147" t="s">
        <v>656</v>
      </c>
      <c r="P840" s="147">
        <v>101</v>
      </c>
      <c r="Q840" s="156">
        <v>898</v>
      </c>
      <c r="R840" s="157">
        <v>0</v>
      </c>
      <c r="S840" s="158" t="s">
        <v>401</v>
      </c>
      <c r="T840" s="155" t="s">
        <v>661</v>
      </c>
      <c r="U840" s="163"/>
      <c r="V840" s="147"/>
    </row>
    <row r="841" spans="1:22">
      <c r="A841" s="166">
        <v>102</v>
      </c>
      <c r="B841" s="167">
        <v>10</v>
      </c>
      <c r="C841" s="167">
        <v>101</v>
      </c>
      <c r="D841" s="166">
        <v>1015</v>
      </c>
      <c r="E841" s="166">
        <v>90</v>
      </c>
      <c r="F841" s="167">
        <v>6</v>
      </c>
      <c r="G841" s="168">
        <f t="shared" si="62"/>
        <v>5902</v>
      </c>
      <c r="H841" s="166">
        <f t="shared" si="63"/>
        <v>18</v>
      </c>
      <c r="I841" s="166">
        <f t="shared" si="64"/>
        <v>25375</v>
      </c>
      <c r="J841" s="147">
        <v>13</v>
      </c>
      <c r="K841" s="147">
        <v>2</v>
      </c>
      <c r="L841" s="147" t="s">
        <v>656</v>
      </c>
      <c r="M841" s="147">
        <v>29</v>
      </c>
      <c r="N841" s="147">
        <v>2</v>
      </c>
      <c r="O841" s="147" t="s">
        <v>656</v>
      </c>
      <c r="P841" s="147">
        <v>101</v>
      </c>
      <c r="Q841" s="156">
        <v>1015</v>
      </c>
      <c r="R841" s="157">
        <v>0</v>
      </c>
      <c r="S841" s="158" t="s">
        <v>401</v>
      </c>
      <c r="T841" s="155" t="s">
        <v>661</v>
      </c>
      <c r="U841" s="163"/>
      <c r="V841" s="147"/>
    </row>
    <row r="842" spans="1:22">
      <c r="A842" s="159">
        <v>103</v>
      </c>
      <c r="B842" s="160">
        <v>1</v>
      </c>
      <c r="C842" s="160">
        <v>101</v>
      </c>
      <c r="D842" s="159">
        <v>83</v>
      </c>
      <c r="E842" s="159">
        <v>10</v>
      </c>
      <c r="F842" s="160">
        <v>1</v>
      </c>
      <c r="G842" s="161">
        <f t="shared" si="62"/>
        <v>5902</v>
      </c>
      <c r="H842" s="159">
        <f t="shared" si="63"/>
        <v>1</v>
      </c>
      <c r="I842" s="159">
        <f t="shared" si="64"/>
        <v>2075</v>
      </c>
      <c r="J842" s="147">
        <v>12</v>
      </c>
      <c r="K842" s="147">
        <v>3</v>
      </c>
      <c r="L842" s="147" t="s">
        <v>657</v>
      </c>
      <c r="M842" s="147">
        <v>29</v>
      </c>
      <c r="N842" s="147">
        <v>2</v>
      </c>
      <c r="O842" s="147" t="s">
        <v>656</v>
      </c>
      <c r="P842" s="147">
        <v>101</v>
      </c>
      <c r="Q842" s="156">
        <v>331</v>
      </c>
      <c r="R842" s="157">
        <v>0</v>
      </c>
      <c r="S842" s="158" t="s">
        <v>400</v>
      </c>
      <c r="T842" s="155" t="s">
        <v>661</v>
      </c>
      <c r="U842" s="163"/>
      <c r="V842" s="147"/>
    </row>
    <row r="843" spans="1:22">
      <c r="A843" s="159">
        <v>103</v>
      </c>
      <c r="B843" s="160">
        <v>2</v>
      </c>
      <c r="C843" s="160">
        <v>101</v>
      </c>
      <c r="D843" s="159">
        <v>166</v>
      </c>
      <c r="E843" s="159">
        <v>20</v>
      </c>
      <c r="F843" s="160">
        <v>2</v>
      </c>
      <c r="G843" s="161">
        <f t="shared" si="62"/>
        <v>5902</v>
      </c>
      <c r="H843" s="159">
        <f t="shared" si="63"/>
        <v>2</v>
      </c>
      <c r="I843" s="159">
        <f t="shared" si="64"/>
        <v>4150</v>
      </c>
      <c r="J843" s="147">
        <v>12</v>
      </c>
      <c r="K843" s="147">
        <v>3</v>
      </c>
      <c r="L843" s="147" t="s">
        <v>657</v>
      </c>
      <c r="M843" s="147">
        <v>29</v>
      </c>
      <c r="N843" s="147">
        <v>2</v>
      </c>
      <c r="O843" s="147" t="s">
        <v>656</v>
      </c>
      <c r="P843" s="147">
        <v>101</v>
      </c>
      <c r="Q843" s="156">
        <v>347</v>
      </c>
      <c r="R843" s="157">
        <v>0</v>
      </c>
      <c r="S843" s="158" t="s">
        <v>400</v>
      </c>
      <c r="T843" s="155" t="s">
        <v>661</v>
      </c>
      <c r="U843" s="163"/>
      <c r="V843" s="147"/>
    </row>
    <row r="844" spans="1:22">
      <c r="A844" s="159">
        <v>103</v>
      </c>
      <c r="B844" s="160">
        <v>3</v>
      </c>
      <c r="C844" s="160">
        <v>101</v>
      </c>
      <c r="D844" s="159">
        <v>249</v>
      </c>
      <c r="E844" s="159">
        <v>30</v>
      </c>
      <c r="F844" s="160">
        <v>2</v>
      </c>
      <c r="G844" s="161">
        <f t="shared" si="62"/>
        <v>5902</v>
      </c>
      <c r="H844" s="159">
        <f t="shared" si="63"/>
        <v>3</v>
      </c>
      <c r="I844" s="159">
        <f t="shared" si="64"/>
        <v>6225</v>
      </c>
      <c r="J844" s="147">
        <v>12</v>
      </c>
      <c r="K844" s="147">
        <v>3</v>
      </c>
      <c r="L844" s="147" t="s">
        <v>657</v>
      </c>
      <c r="M844" s="147">
        <v>29</v>
      </c>
      <c r="N844" s="147">
        <v>2</v>
      </c>
      <c r="O844" s="147" t="s">
        <v>656</v>
      </c>
      <c r="P844" s="147">
        <v>101</v>
      </c>
      <c r="Q844" s="156">
        <v>372</v>
      </c>
      <c r="R844" s="157">
        <v>0</v>
      </c>
      <c r="S844" s="158" t="s">
        <v>400</v>
      </c>
      <c r="T844" s="155" t="s">
        <v>661</v>
      </c>
      <c r="U844" s="163"/>
      <c r="V844" s="147"/>
    </row>
    <row r="845" spans="1:22">
      <c r="A845" s="159">
        <v>103</v>
      </c>
      <c r="B845" s="160">
        <v>4</v>
      </c>
      <c r="C845" s="160">
        <v>101</v>
      </c>
      <c r="D845" s="159">
        <v>332</v>
      </c>
      <c r="E845" s="159">
        <v>40</v>
      </c>
      <c r="F845" s="160">
        <v>3</v>
      </c>
      <c r="G845" s="161">
        <f t="shared" si="62"/>
        <v>5902</v>
      </c>
      <c r="H845" s="159">
        <f t="shared" si="63"/>
        <v>4</v>
      </c>
      <c r="I845" s="159">
        <f t="shared" si="64"/>
        <v>8300</v>
      </c>
      <c r="J845" s="147">
        <v>12</v>
      </c>
      <c r="K845" s="147">
        <v>3</v>
      </c>
      <c r="L845" s="147" t="s">
        <v>657</v>
      </c>
      <c r="M845" s="147">
        <v>29</v>
      </c>
      <c r="N845" s="147">
        <v>2</v>
      </c>
      <c r="O845" s="147" t="s">
        <v>656</v>
      </c>
      <c r="P845" s="147">
        <v>101</v>
      </c>
      <c r="Q845" s="156">
        <v>407</v>
      </c>
      <c r="R845" s="157">
        <v>0</v>
      </c>
      <c r="S845" s="158" t="s">
        <v>400</v>
      </c>
      <c r="T845" s="155" t="s">
        <v>661</v>
      </c>
      <c r="U845" s="163"/>
      <c r="V845" s="147"/>
    </row>
    <row r="846" spans="1:22">
      <c r="A846" s="159">
        <v>103</v>
      </c>
      <c r="B846" s="160">
        <v>5</v>
      </c>
      <c r="C846" s="160">
        <v>101</v>
      </c>
      <c r="D846" s="159">
        <v>415</v>
      </c>
      <c r="E846" s="159">
        <v>50</v>
      </c>
      <c r="F846" s="160">
        <v>3</v>
      </c>
      <c r="G846" s="161">
        <f t="shared" si="62"/>
        <v>5902</v>
      </c>
      <c r="H846" s="159">
        <f t="shared" si="63"/>
        <v>6</v>
      </c>
      <c r="I846" s="159">
        <f t="shared" si="64"/>
        <v>10375</v>
      </c>
      <c r="J846" s="147">
        <v>12</v>
      </c>
      <c r="K846" s="147">
        <v>3</v>
      </c>
      <c r="L846" s="147" t="s">
        <v>657</v>
      </c>
      <c r="M846" s="147">
        <v>29</v>
      </c>
      <c r="N846" s="147">
        <v>2</v>
      </c>
      <c r="O846" s="147" t="s">
        <v>656</v>
      </c>
      <c r="P846" s="147">
        <v>101</v>
      </c>
      <c r="Q846" s="156">
        <v>452</v>
      </c>
      <c r="R846" s="157">
        <v>0</v>
      </c>
      <c r="S846" s="158" t="s">
        <v>400</v>
      </c>
      <c r="T846" s="155" t="s">
        <v>661</v>
      </c>
      <c r="U846" s="163"/>
      <c r="V846" s="147"/>
    </row>
    <row r="847" spans="1:22">
      <c r="A847" s="159">
        <v>103</v>
      </c>
      <c r="B847" s="160">
        <v>6</v>
      </c>
      <c r="C847" s="160">
        <v>101</v>
      </c>
      <c r="D847" s="159">
        <v>498</v>
      </c>
      <c r="E847" s="159">
        <v>60</v>
      </c>
      <c r="F847" s="160">
        <v>4</v>
      </c>
      <c r="G847" s="161">
        <f t="shared" si="62"/>
        <v>5902</v>
      </c>
      <c r="H847" s="159">
        <f t="shared" si="63"/>
        <v>8</v>
      </c>
      <c r="I847" s="159">
        <f t="shared" si="64"/>
        <v>12450</v>
      </c>
      <c r="J847" s="147">
        <v>12</v>
      </c>
      <c r="K847" s="147">
        <v>3</v>
      </c>
      <c r="L847" s="147" t="s">
        <v>657</v>
      </c>
      <c r="M847" s="147">
        <v>29</v>
      </c>
      <c r="N847" s="147">
        <v>2</v>
      </c>
      <c r="O847" s="147" t="s">
        <v>656</v>
      </c>
      <c r="P847" s="147">
        <v>101</v>
      </c>
      <c r="Q847" s="156">
        <v>507</v>
      </c>
      <c r="R847" s="157">
        <v>0</v>
      </c>
      <c r="S847" s="158" t="s">
        <v>400</v>
      </c>
      <c r="T847" s="155" t="s">
        <v>661</v>
      </c>
      <c r="U847" s="163"/>
      <c r="V847" s="147"/>
    </row>
    <row r="848" spans="1:22">
      <c r="A848" s="159">
        <v>103</v>
      </c>
      <c r="B848" s="160">
        <v>7</v>
      </c>
      <c r="C848" s="160">
        <v>101</v>
      </c>
      <c r="D848" s="159">
        <v>581</v>
      </c>
      <c r="E848" s="159">
        <v>70</v>
      </c>
      <c r="F848" s="160">
        <v>4</v>
      </c>
      <c r="G848" s="161">
        <f t="shared" si="62"/>
        <v>5902</v>
      </c>
      <c r="H848" s="159">
        <f t="shared" si="63"/>
        <v>10</v>
      </c>
      <c r="I848" s="159">
        <f t="shared" si="64"/>
        <v>14525</v>
      </c>
      <c r="J848" s="147">
        <v>12</v>
      </c>
      <c r="K848" s="147">
        <v>3</v>
      </c>
      <c r="L848" s="147" t="s">
        <v>657</v>
      </c>
      <c r="M848" s="147">
        <v>29</v>
      </c>
      <c r="N848" s="147">
        <v>2</v>
      </c>
      <c r="O848" s="147" t="s">
        <v>656</v>
      </c>
      <c r="P848" s="147">
        <v>101</v>
      </c>
      <c r="Q848" s="156">
        <v>573</v>
      </c>
      <c r="R848" s="157">
        <v>0</v>
      </c>
      <c r="S848" s="158" t="s">
        <v>400</v>
      </c>
      <c r="T848" s="155" t="s">
        <v>661</v>
      </c>
      <c r="U848" s="163"/>
      <c r="V848" s="147"/>
    </row>
    <row r="849" spans="1:22">
      <c r="A849" s="159">
        <v>103</v>
      </c>
      <c r="B849" s="160">
        <v>8</v>
      </c>
      <c r="C849" s="160">
        <v>101</v>
      </c>
      <c r="D849" s="159">
        <v>664</v>
      </c>
      <c r="E849" s="159">
        <v>80</v>
      </c>
      <c r="F849" s="160">
        <v>5</v>
      </c>
      <c r="G849" s="161">
        <f t="shared" si="62"/>
        <v>5902</v>
      </c>
      <c r="H849" s="159">
        <f t="shared" si="63"/>
        <v>12</v>
      </c>
      <c r="I849" s="159">
        <f t="shared" si="64"/>
        <v>16600</v>
      </c>
      <c r="J849" s="147">
        <v>12</v>
      </c>
      <c r="K849" s="147">
        <v>3</v>
      </c>
      <c r="L849" s="147" t="s">
        <v>657</v>
      </c>
      <c r="M849" s="147">
        <v>29</v>
      </c>
      <c r="N849" s="147">
        <v>2</v>
      </c>
      <c r="O849" s="147" t="s">
        <v>656</v>
      </c>
      <c r="P849" s="147">
        <v>101</v>
      </c>
      <c r="Q849" s="156">
        <v>648</v>
      </c>
      <c r="R849" s="157">
        <v>0</v>
      </c>
      <c r="S849" s="158" t="s">
        <v>400</v>
      </c>
      <c r="T849" s="155" t="s">
        <v>661</v>
      </c>
      <c r="U849" s="163"/>
      <c r="V849" s="147"/>
    </row>
    <row r="850" spans="1:22">
      <c r="A850" s="159">
        <v>103</v>
      </c>
      <c r="B850" s="160">
        <v>9</v>
      </c>
      <c r="C850" s="160">
        <v>101</v>
      </c>
      <c r="D850" s="159">
        <v>747</v>
      </c>
      <c r="E850" s="159">
        <v>90</v>
      </c>
      <c r="F850" s="160">
        <v>5</v>
      </c>
      <c r="G850" s="161">
        <f t="shared" si="62"/>
        <v>5902</v>
      </c>
      <c r="H850" s="159">
        <f t="shared" si="63"/>
        <v>15</v>
      </c>
      <c r="I850" s="159">
        <f t="shared" si="64"/>
        <v>18675</v>
      </c>
      <c r="J850" s="147">
        <v>12</v>
      </c>
      <c r="K850" s="147">
        <v>3</v>
      </c>
      <c r="L850" s="147" t="s">
        <v>657</v>
      </c>
      <c r="M850" s="147">
        <v>29</v>
      </c>
      <c r="N850" s="147">
        <v>2</v>
      </c>
      <c r="O850" s="147" t="s">
        <v>656</v>
      </c>
      <c r="P850" s="147">
        <v>101</v>
      </c>
      <c r="Q850" s="156">
        <v>734</v>
      </c>
      <c r="R850" s="157">
        <v>0</v>
      </c>
      <c r="S850" s="158" t="s">
        <v>400</v>
      </c>
      <c r="T850" s="155" t="s">
        <v>661</v>
      </c>
      <c r="U850" s="163"/>
      <c r="V850" s="147"/>
    </row>
    <row r="851" spans="1:22">
      <c r="A851" s="159">
        <v>103</v>
      </c>
      <c r="B851" s="160">
        <v>10</v>
      </c>
      <c r="C851" s="160">
        <v>101</v>
      </c>
      <c r="D851" s="159">
        <v>829</v>
      </c>
      <c r="E851" s="159">
        <v>90</v>
      </c>
      <c r="F851" s="160">
        <v>6</v>
      </c>
      <c r="G851" s="161">
        <f t="shared" si="62"/>
        <v>5902</v>
      </c>
      <c r="H851" s="159">
        <f t="shared" si="63"/>
        <v>18</v>
      </c>
      <c r="I851" s="159">
        <f t="shared" si="64"/>
        <v>20725</v>
      </c>
      <c r="J851" s="147">
        <v>12</v>
      </c>
      <c r="K851" s="147">
        <v>3</v>
      </c>
      <c r="L851" s="147" t="s">
        <v>657</v>
      </c>
      <c r="M851" s="147">
        <v>29</v>
      </c>
      <c r="N851" s="147">
        <v>2</v>
      </c>
      <c r="O851" s="147" t="s">
        <v>656</v>
      </c>
      <c r="P851" s="147">
        <v>101</v>
      </c>
      <c r="Q851" s="156">
        <v>829</v>
      </c>
      <c r="R851" s="157">
        <v>0</v>
      </c>
      <c r="S851" s="158" t="s">
        <v>400</v>
      </c>
      <c r="T851" s="155" t="s">
        <v>661</v>
      </c>
      <c r="U851" s="163"/>
      <c r="V851" s="147"/>
    </row>
    <row r="852" spans="1:22">
      <c r="A852" s="166">
        <v>104</v>
      </c>
      <c r="B852" s="167">
        <v>1</v>
      </c>
      <c r="C852" s="167">
        <v>101</v>
      </c>
      <c r="D852" s="166">
        <v>102</v>
      </c>
      <c r="E852" s="166">
        <v>10</v>
      </c>
      <c r="F852" s="167">
        <v>1</v>
      </c>
      <c r="G852" s="168">
        <f t="shared" si="62"/>
        <v>5902</v>
      </c>
      <c r="H852" s="166">
        <f t="shared" si="63"/>
        <v>1</v>
      </c>
      <c r="I852" s="166">
        <f t="shared" si="64"/>
        <v>2550</v>
      </c>
      <c r="J852" s="147">
        <v>9</v>
      </c>
      <c r="K852" s="147">
        <v>2</v>
      </c>
      <c r="L852" s="147" t="s">
        <v>656</v>
      </c>
      <c r="M852" s="147">
        <v>29</v>
      </c>
      <c r="N852" s="147">
        <v>2</v>
      </c>
      <c r="O852" s="147" t="s">
        <v>656</v>
      </c>
      <c r="P852" s="147">
        <v>101</v>
      </c>
      <c r="Q852" s="156">
        <v>406</v>
      </c>
      <c r="R852" s="157">
        <v>0</v>
      </c>
      <c r="S852" s="158" t="s">
        <v>397</v>
      </c>
      <c r="T852" s="155" t="s">
        <v>661</v>
      </c>
      <c r="U852" s="163"/>
      <c r="V852" s="147"/>
    </row>
    <row r="853" spans="1:22">
      <c r="A853" s="166">
        <v>104</v>
      </c>
      <c r="B853" s="167">
        <v>2</v>
      </c>
      <c r="C853" s="167">
        <v>101</v>
      </c>
      <c r="D853" s="166">
        <v>203</v>
      </c>
      <c r="E853" s="166">
        <v>20</v>
      </c>
      <c r="F853" s="167">
        <v>2</v>
      </c>
      <c r="G853" s="168">
        <f t="shared" si="62"/>
        <v>5902</v>
      </c>
      <c r="H853" s="166">
        <f t="shared" si="63"/>
        <v>2</v>
      </c>
      <c r="I853" s="166">
        <f t="shared" si="64"/>
        <v>5075</v>
      </c>
      <c r="J853" s="147">
        <v>9</v>
      </c>
      <c r="K853" s="147">
        <v>2</v>
      </c>
      <c r="L853" s="147" t="s">
        <v>656</v>
      </c>
      <c r="M853" s="147">
        <v>29</v>
      </c>
      <c r="N853" s="147">
        <v>2</v>
      </c>
      <c r="O853" s="147" t="s">
        <v>656</v>
      </c>
      <c r="P853" s="147">
        <v>101</v>
      </c>
      <c r="Q853" s="156">
        <v>424</v>
      </c>
      <c r="R853" s="157">
        <v>0</v>
      </c>
      <c r="S853" s="158" t="s">
        <v>397</v>
      </c>
      <c r="T853" s="155" t="s">
        <v>661</v>
      </c>
      <c r="U853" s="163"/>
      <c r="V853" s="147"/>
    </row>
    <row r="854" spans="1:22">
      <c r="A854" s="166">
        <v>104</v>
      </c>
      <c r="B854" s="167">
        <v>3</v>
      </c>
      <c r="C854" s="167">
        <v>101</v>
      </c>
      <c r="D854" s="166">
        <v>305</v>
      </c>
      <c r="E854" s="166">
        <v>30</v>
      </c>
      <c r="F854" s="167">
        <v>2</v>
      </c>
      <c r="G854" s="168">
        <f t="shared" si="62"/>
        <v>5902</v>
      </c>
      <c r="H854" s="166">
        <f t="shared" si="63"/>
        <v>3</v>
      </c>
      <c r="I854" s="166">
        <f t="shared" si="64"/>
        <v>7625</v>
      </c>
      <c r="J854" s="147">
        <v>9</v>
      </c>
      <c r="K854" s="147">
        <v>2</v>
      </c>
      <c r="L854" s="147" t="s">
        <v>656</v>
      </c>
      <c r="M854" s="147">
        <v>29</v>
      </c>
      <c r="N854" s="147">
        <v>2</v>
      </c>
      <c r="O854" s="147" t="s">
        <v>656</v>
      </c>
      <c r="P854" s="147">
        <v>101</v>
      </c>
      <c r="Q854" s="156">
        <v>455</v>
      </c>
      <c r="R854" s="157">
        <v>0</v>
      </c>
      <c r="S854" s="158" t="s">
        <v>397</v>
      </c>
      <c r="T854" s="155" t="s">
        <v>661</v>
      </c>
      <c r="U854" s="163"/>
      <c r="V854" s="147"/>
    </row>
    <row r="855" spans="1:22">
      <c r="A855" s="166">
        <v>104</v>
      </c>
      <c r="B855" s="167">
        <v>4</v>
      </c>
      <c r="C855" s="167">
        <v>101</v>
      </c>
      <c r="D855" s="166">
        <v>406</v>
      </c>
      <c r="E855" s="166">
        <v>40</v>
      </c>
      <c r="F855" s="167">
        <v>3</v>
      </c>
      <c r="G855" s="168">
        <f t="shared" si="62"/>
        <v>5902</v>
      </c>
      <c r="H855" s="166">
        <f t="shared" si="63"/>
        <v>4</v>
      </c>
      <c r="I855" s="166">
        <f t="shared" si="64"/>
        <v>10150</v>
      </c>
      <c r="J855" s="147">
        <v>9</v>
      </c>
      <c r="K855" s="147">
        <v>2</v>
      </c>
      <c r="L855" s="147" t="s">
        <v>656</v>
      </c>
      <c r="M855" s="147">
        <v>29</v>
      </c>
      <c r="N855" s="147">
        <v>2</v>
      </c>
      <c r="O855" s="147" t="s">
        <v>656</v>
      </c>
      <c r="P855" s="147">
        <v>101</v>
      </c>
      <c r="Q855" s="156">
        <v>498</v>
      </c>
      <c r="R855" s="157">
        <v>0</v>
      </c>
      <c r="S855" s="158" t="s">
        <v>397</v>
      </c>
      <c r="T855" s="155" t="s">
        <v>661</v>
      </c>
      <c r="U855" s="163"/>
      <c r="V855" s="147"/>
    </row>
    <row r="856" spans="1:22">
      <c r="A856" s="166">
        <v>104</v>
      </c>
      <c r="B856" s="167">
        <v>5</v>
      </c>
      <c r="C856" s="167">
        <v>101</v>
      </c>
      <c r="D856" s="166">
        <v>508</v>
      </c>
      <c r="E856" s="166">
        <v>50</v>
      </c>
      <c r="F856" s="167">
        <v>3</v>
      </c>
      <c r="G856" s="168">
        <f t="shared" si="62"/>
        <v>5902</v>
      </c>
      <c r="H856" s="166">
        <f t="shared" si="63"/>
        <v>6</v>
      </c>
      <c r="I856" s="166">
        <f t="shared" si="64"/>
        <v>12700</v>
      </c>
      <c r="J856" s="147">
        <v>9</v>
      </c>
      <c r="K856" s="147">
        <v>2</v>
      </c>
      <c r="L856" s="147" t="s">
        <v>656</v>
      </c>
      <c r="M856" s="147">
        <v>29</v>
      </c>
      <c r="N856" s="147">
        <v>2</v>
      </c>
      <c r="O856" s="147" t="s">
        <v>656</v>
      </c>
      <c r="P856" s="147">
        <v>101</v>
      </c>
      <c r="Q856" s="156">
        <v>553</v>
      </c>
      <c r="R856" s="157">
        <v>0</v>
      </c>
      <c r="S856" s="158" t="s">
        <v>397</v>
      </c>
      <c r="T856" s="155" t="s">
        <v>661</v>
      </c>
      <c r="U856" s="163"/>
      <c r="V856" s="147"/>
    </row>
    <row r="857" spans="1:22">
      <c r="A857" s="166">
        <v>104</v>
      </c>
      <c r="B857" s="167">
        <v>6</v>
      </c>
      <c r="C857" s="167">
        <v>101</v>
      </c>
      <c r="D857" s="166">
        <v>609</v>
      </c>
      <c r="E857" s="166">
        <v>60</v>
      </c>
      <c r="F857" s="167">
        <v>4</v>
      </c>
      <c r="G857" s="168">
        <f t="shared" si="62"/>
        <v>5902</v>
      </c>
      <c r="H857" s="166">
        <f t="shared" si="63"/>
        <v>8</v>
      </c>
      <c r="I857" s="166">
        <f t="shared" si="64"/>
        <v>15225</v>
      </c>
      <c r="J857" s="147">
        <v>9</v>
      </c>
      <c r="K857" s="147">
        <v>2</v>
      </c>
      <c r="L857" s="147" t="s">
        <v>656</v>
      </c>
      <c r="M857" s="147">
        <v>29</v>
      </c>
      <c r="N857" s="147">
        <v>2</v>
      </c>
      <c r="O857" s="147" t="s">
        <v>656</v>
      </c>
      <c r="P857" s="147">
        <v>101</v>
      </c>
      <c r="Q857" s="156">
        <v>621</v>
      </c>
      <c r="R857" s="157">
        <v>0</v>
      </c>
      <c r="S857" s="158" t="s">
        <v>397</v>
      </c>
      <c r="T857" s="155" t="s">
        <v>661</v>
      </c>
      <c r="U857" s="163"/>
      <c r="V857" s="147"/>
    </row>
    <row r="858" spans="1:22">
      <c r="A858" s="166">
        <v>104</v>
      </c>
      <c r="B858" s="167">
        <v>7</v>
      </c>
      <c r="C858" s="167">
        <v>101</v>
      </c>
      <c r="D858" s="166">
        <v>711</v>
      </c>
      <c r="E858" s="166">
        <v>70</v>
      </c>
      <c r="F858" s="167">
        <v>4</v>
      </c>
      <c r="G858" s="168">
        <f t="shared" si="62"/>
        <v>5902</v>
      </c>
      <c r="H858" s="166">
        <f t="shared" si="63"/>
        <v>10</v>
      </c>
      <c r="I858" s="166">
        <f t="shared" si="64"/>
        <v>17775</v>
      </c>
      <c r="J858" s="147">
        <v>9</v>
      </c>
      <c r="K858" s="147">
        <v>2</v>
      </c>
      <c r="L858" s="147" t="s">
        <v>656</v>
      </c>
      <c r="M858" s="147">
        <v>29</v>
      </c>
      <c r="N858" s="147">
        <v>2</v>
      </c>
      <c r="O858" s="147" t="s">
        <v>656</v>
      </c>
      <c r="P858" s="147">
        <v>101</v>
      </c>
      <c r="Q858" s="156">
        <v>701</v>
      </c>
      <c r="R858" s="157">
        <v>0</v>
      </c>
      <c r="S858" s="158" t="s">
        <v>397</v>
      </c>
      <c r="T858" s="155" t="s">
        <v>661</v>
      </c>
      <c r="U858" s="163"/>
      <c r="V858" s="147"/>
    </row>
    <row r="859" spans="1:22">
      <c r="A859" s="166">
        <v>104</v>
      </c>
      <c r="B859" s="167">
        <v>8</v>
      </c>
      <c r="C859" s="167">
        <v>101</v>
      </c>
      <c r="D859" s="166">
        <v>812</v>
      </c>
      <c r="E859" s="166">
        <v>80</v>
      </c>
      <c r="F859" s="167">
        <v>5</v>
      </c>
      <c r="G859" s="168">
        <f t="shared" si="62"/>
        <v>5902</v>
      </c>
      <c r="H859" s="166">
        <f t="shared" si="63"/>
        <v>12</v>
      </c>
      <c r="I859" s="166">
        <f t="shared" si="64"/>
        <v>20300</v>
      </c>
      <c r="J859" s="147">
        <v>9</v>
      </c>
      <c r="K859" s="147">
        <v>2</v>
      </c>
      <c r="L859" s="147" t="s">
        <v>656</v>
      </c>
      <c r="M859" s="147">
        <v>29</v>
      </c>
      <c r="N859" s="147">
        <v>2</v>
      </c>
      <c r="O859" s="147" t="s">
        <v>656</v>
      </c>
      <c r="P859" s="147">
        <v>101</v>
      </c>
      <c r="Q859" s="156">
        <v>793</v>
      </c>
      <c r="R859" s="157">
        <v>0</v>
      </c>
      <c r="S859" s="158" t="s">
        <v>397</v>
      </c>
      <c r="T859" s="155" t="s">
        <v>661</v>
      </c>
      <c r="U859" s="163"/>
      <c r="V859" s="147"/>
    </row>
    <row r="860" spans="1:22">
      <c r="A860" s="166">
        <v>104</v>
      </c>
      <c r="B860" s="167">
        <v>9</v>
      </c>
      <c r="C860" s="167">
        <v>101</v>
      </c>
      <c r="D860" s="166">
        <v>914</v>
      </c>
      <c r="E860" s="166">
        <v>90</v>
      </c>
      <c r="F860" s="167">
        <v>5</v>
      </c>
      <c r="G860" s="168">
        <f t="shared" si="62"/>
        <v>5902</v>
      </c>
      <c r="H860" s="166">
        <f t="shared" si="63"/>
        <v>15</v>
      </c>
      <c r="I860" s="166">
        <f t="shared" si="64"/>
        <v>22850</v>
      </c>
      <c r="J860" s="147">
        <v>9</v>
      </c>
      <c r="K860" s="147">
        <v>2</v>
      </c>
      <c r="L860" s="147" t="s">
        <v>656</v>
      </c>
      <c r="M860" s="147">
        <v>29</v>
      </c>
      <c r="N860" s="147">
        <v>2</v>
      </c>
      <c r="O860" s="147" t="s">
        <v>656</v>
      </c>
      <c r="P860" s="147">
        <v>101</v>
      </c>
      <c r="Q860" s="156">
        <v>898</v>
      </c>
      <c r="R860" s="157">
        <v>0</v>
      </c>
      <c r="S860" s="158" t="s">
        <v>397</v>
      </c>
      <c r="T860" s="155" t="s">
        <v>661</v>
      </c>
      <c r="U860" s="163"/>
      <c r="V860" s="147"/>
    </row>
    <row r="861" spans="1:22">
      <c r="A861" s="166">
        <v>104</v>
      </c>
      <c r="B861" s="167">
        <v>10</v>
      </c>
      <c r="C861" s="167">
        <v>101</v>
      </c>
      <c r="D861" s="166">
        <v>1015</v>
      </c>
      <c r="E861" s="166">
        <v>90</v>
      </c>
      <c r="F861" s="167">
        <v>6</v>
      </c>
      <c r="G861" s="168">
        <f t="shared" si="62"/>
        <v>5902</v>
      </c>
      <c r="H861" s="166">
        <f t="shared" si="63"/>
        <v>18</v>
      </c>
      <c r="I861" s="166">
        <f t="shared" si="64"/>
        <v>25375</v>
      </c>
      <c r="J861" s="147">
        <v>9</v>
      </c>
      <c r="K861" s="147">
        <v>2</v>
      </c>
      <c r="L861" s="147" t="s">
        <v>656</v>
      </c>
      <c r="M861" s="147">
        <v>29</v>
      </c>
      <c r="N861" s="147">
        <v>2</v>
      </c>
      <c r="O861" s="147" t="s">
        <v>656</v>
      </c>
      <c r="P861" s="147">
        <v>101</v>
      </c>
      <c r="Q861" s="156">
        <v>1015</v>
      </c>
      <c r="R861" s="157">
        <v>0</v>
      </c>
      <c r="S861" s="158" t="s">
        <v>397</v>
      </c>
      <c r="T861" s="155" t="s">
        <v>661</v>
      </c>
      <c r="U861" s="163"/>
      <c r="V861" s="147"/>
    </row>
    <row r="862" spans="1:22">
      <c r="A862" s="159">
        <v>105</v>
      </c>
      <c r="B862" s="160">
        <v>1</v>
      </c>
      <c r="C862" s="160">
        <v>101</v>
      </c>
      <c r="D862" s="159">
        <v>53</v>
      </c>
      <c r="E862" s="159">
        <v>10</v>
      </c>
      <c r="F862" s="160">
        <v>1</v>
      </c>
      <c r="G862" s="161">
        <f t="shared" si="62"/>
        <v>5902</v>
      </c>
      <c r="H862" s="159">
        <f t="shared" si="63"/>
        <v>1</v>
      </c>
      <c r="I862" s="159">
        <f t="shared" si="64"/>
        <v>1325</v>
      </c>
      <c r="J862" s="147">
        <v>11</v>
      </c>
      <c r="K862" s="147">
        <v>3</v>
      </c>
      <c r="L862" s="147" t="s">
        <v>657</v>
      </c>
      <c r="M862" s="147">
        <v>29</v>
      </c>
      <c r="N862" s="147">
        <v>2</v>
      </c>
      <c r="O862" s="147" t="s">
        <v>656</v>
      </c>
      <c r="P862" s="147">
        <v>101</v>
      </c>
      <c r="Q862" s="156">
        <v>209</v>
      </c>
      <c r="R862" s="157">
        <v>0</v>
      </c>
      <c r="S862" s="158" t="s">
        <v>399</v>
      </c>
      <c r="T862" s="155" t="s">
        <v>661</v>
      </c>
      <c r="U862" s="163"/>
      <c r="V862" s="147"/>
    </row>
    <row r="863" spans="1:22">
      <c r="A863" s="159">
        <v>105</v>
      </c>
      <c r="B863" s="160">
        <v>2</v>
      </c>
      <c r="C863" s="160">
        <v>101</v>
      </c>
      <c r="D863" s="159">
        <v>105</v>
      </c>
      <c r="E863" s="159">
        <v>20</v>
      </c>
      <c r="F863" s="160">
        <v>2</v>
      </c>
      <c r="G863" s="161">
        <f t="shared" si="62"/>
        <v>5902</v>
      </c>
      <c r="H863" s="159">
        <f t="shared" si="63"/>
        <v>2</v>
      </c>
      <c r="I863" s="159">
        <f t="shared" si="64"/>
        <v>2625</v>
      </c>
      <c r="J863" s="147">
        <v>11</v>
      </c>
      <c r="K863" s="147">
        <v>3</v>
      </c>
      <c r="L863" s="147" t="s">
        <v>657</v>
      </c>
      <c r="M863" s="147">
        <v>29</v>
      </c>
      <c r="N863" s="147">
        <v>2</v>
      </c>
      <c r="O863" s="147" t="s">
        <v>656</v>
      </c>
      <c r="P863" s="147">
        <v>101</v>
      </c>
      <c r="Q863" s="156">
        <v>219</v>
      </c>
      <c r="R863" s="157">
        <v>0</v>
      </c>
      <c r="S863" s="158" t="s">
        <v>399</v>
      </c>
      <c r="T863" s="155" t="s">
        <v>661</v>
      </c>
      <c r="U863" s="163"/>
      <c r="V863" s="147"/>
    </row>
    <row r="864" spans="1:22">
      <c r="A864" s="159">
        <v>105</v>
      </c>
      <c r="B864" s="160">
        <v>3</v>
      </c>
      <c r="C864" s="160">
        <v>101</v>
      </c>
      <c r="D864" s="159">
        <v>157</v>
      </c>
      <c r="E864" s="159">
        <v>30</v>
      </c>
      <c r="F864" s="160">
        <v>2</v>
      </c>
      <c r="G864" s="161">
        <f t="shared" si="62"/>
        <v>5902</v>
      </c>
      <c r="H864" s="159">
        <f t="shared" si="63"/>
        <v>3</v>
      </c>
      <c r="I864" s="159">
        <f t="shared" si="64"/>
        <v>3925</v>
      </c>
      <c r="J864" s="147">
        <v>11</v>
      </c>
      <c r="K864" s="147">
        <v>3</v>
      </c>
      <c r="L864" s="147" t="s">
        <v>657</v>
      </c>
      <c r="M864" s="147">
        <v>29</v>
      </c>
      <c r="N864" s="147">
        <v>2</v>
      </c>
      <c r="O864" s="147" t="s">
        <v>656</v>
      </c>
      <c r="P864" s="147">
        <v>101</v>
      </c>
      <c r="Q864" s="156">
        <v>234</v>
      </c>
      <c r="R864" s="157">
        <v>0</v>
      </c>
      <c r="S864" s="158" t="s">
        <v>399</v>
      </c>
      <c r="T864" s="155" t="s">
        <v>661</v>
      </c>
      <c r="U864" s="163"/>
      <c r="V864" s="147"/>
    </row>
    <row r="865" spans="1:22">
      <c r="A865" s="159">
        <v>105</v>
      </c>
      <c r="B865" s="160">
        <v>4</v>
      </c>
      <c r="C865" s="160">
        <v>101</v>
      </c>
      <c r="D865" s="159">
        <v>210</v>
      </c>
      <c r="E865" s="159">
        <v>40</v>
      </c>
      <c r="F865" s="160">
        <v>3</v>
      </c>
      <c r="G865" s="161">
        <f t="shared" si="62"/>
        <v>5902</v>
      </c>
      <c r="H865" s="159">
        <f t="shared" si="63"/>
        <v>4</v>
      </c>
      <c r="I865" s="159">
        <f t="shared" si="64"/>
        <v>5250</v>
      </c>
      <c r="J865" s="147">
        <v>11</v>
      </c>
      <c r="K865" s="147">
        <v>3</v>
      </c>
      <c r="L865" s="147" t="s">
        <v>657</v>
      </c>
      <c r="M865" s="147">
        <v>29</v>
      </c>
      <c r="N865" s="147">
        <v>2</v>
      </c>
      <c r="O865" s="147" t="s">
        <v>656</v>
      </c>
      <c r="P865" s="147">
        <v>101</v>
      </c>
      <c r="Q865" s="156">
        <v>257</v>
      </c>
      <c r="R865" s="157">
        <v>0</v>
      </c>
      <c r="S865" s="158" t="s">
        <v>399</v>
      </c>
      <c r="T865" s="155" t="s">
        <v>661</v>
      </c>
      <c r="U865" s="163"/>
      <c r="V865" s="147"/>
    </row>
    <row r="866" spans="1:22">
      <c r="A866" s="159">
        <v>105</v>
      </c>
      <c r="B866" s="160">
        <v>5</v>
      </c>
      <c r="C866" s="160">
        <v>101</v>
      </c>
      <c r="D866" s="159">
        <v>262</v>
      </c>
      <c r="E866" s="159">
        <v>50</v>
      </c>
      <c r="F866" s="160">
        <v>3</v>
      </c>
      <c r="G866" s="161">
        <f t="shared" si="62"/>
        <v>5902</v>
      </c>
      <c r="H866" s="159">
        <f t="shared" si="63"/>
        <v>6</v>
      </c>
      <c r="I866" s="159">
        <f t="shared" si="64"/>
        <v>6550</v>
      </c>
      <c r="J866" s="147">
        <v>11</v>
      </c>
      <c r="K866" s="147">
        <v>3</v>
      </c>
      <c r="L866" s="147" t="s">
        <v>657</v>
      </c>
      <c r="M866" s="147">
        <v>29</v>
      </c>
      <c r="N866" s="147">
        <v>2</v>
      </c>
      <c r="O866" s="147" t="s">
        <v>656</v>
      </c>
      <c r="P866" s="147">
        <v>101</v>
      </c>
      <c r="Q866" s="156">
        <v>285</v>
      </c>
      <c r="R866" s="157">
        <v>0</v>
      </c>
      <c r="S866" s="158" t="s">
        <v>399</v>
      </c>
      <c r="T866" s="155" t="s">
        <v>661</v>
      </c>
      <c r="U866" s="163"/>
      <c r="V866" s="147"/>
    </row>
    <row r="867" spans="1:22">
      <c r="A867" s="159">
        <v>105</v>
      </c>
      <c r="B867" s="160">
        <v>6</v>
      </c>
      <c r="C867" s="160">
        <v>101</v>
      </c>
      <c r="D867" s="159">
        <v>314</v>
      </c>
      <c r="E867" s="159">
        <v>60</v>
      </c>
      <c r="F867" s="160">
        <v>4</v>
      </c>
      <c r="G867" s="161">
        <f t="shared" si="62"/>
        <v>5902</v>
      </c>
      <c r="H867" s="159">
        <f t="shared" si="63"/>
        <v>8</v>
      </c>
      <c r="I867" s="159">
        <f t="shared" si="64"/>
        <v>7850</v>
      </c>
      <c r="J867" s="147">
        <v>11</v>
      </c>
      <c r="K867" s="147">
        <v>3</v>
      </c>
      <c r="L867" s="147" t="s">
        <v>657</v>
      </c>
      <c r="M867" s="147">
        <v>29</v>
      </c>
      <c r="N867" s="147">
        <v>2</v>
      </c>
      <c r="O867" s="147" t="s">
        <v>656</v>
      </c>
      <c r="P867" s="147">
        <v>101</v>
      </c>
      <c r="Q867" s="156">
        <v>320</v>
      </c>
      <c r="R867" s="157">
        <v>0</v>
      </c>
      <c r="S867" s="158" t="s">
        <v>399</v>
      </c>
      <c r="T867" s="155" t="s">
        <v>661</v>
      </c>
      <c r="U867" s="163"/>
      <c r="V867" s="147"/>
    </row>
    <row r="868" spans="1:22">
      <c r="A868" s="159">
        <v>105</v>
      </c>
      <c r="B868" s="160">
        <v>7</v>
      </c>
      <c r="C868" s="160">
        <v>101</v>
      </c>
      <c r="D868" s="159">
        <v>367</v>
      </c>
      <c r="E868" s="159">
        <v>70</v>
      </c>
      <c r="F868" s="160">
        <v>4</v>
      </c>
      <c r="G868" s="161">
        <f t="shared" si="62"/>
        <v>5902</v>
      </c>
      <c r="H868" s="159">
        <f t="shared" si="63"/>
        <v>10</v>
      </c>
      <c r="I868" s="159">
        <f t="shared" si="64"/>
        <v>9175</v>
      </c>
      <c r="J868" s="147">
        <v>11</v>
      </c>
      <c r="K868" s="147">
        <v>3</v>
      </c>
      <c r="L868" s="147" t="s">
        <v>657</v>
      </c>
      <c r="M868" s="147">
        <v>29</v>
      </c>
      <c r="N868" s="147">
        <v>2</v>
      </c>
      <c r="O868" s="147" t="s">
        <v>656</v>
      </c>
      <c r="P868" s="147">
        <v>101</v>
      </c>
      <c r="Q868" s="156">
        <v>361</v>
      </c>
      <c r="R868" s="157">
        <v>0</v>
      </c>
      <c r="S868" s="158" t="s">
        <v>399</v>
      </c>
      <c r="T868" s="155" t="s">
        <v>661</v>
      </c>
      <c r="U868" s="163"/>
      <c r="V868" s="147"/>
    </row>
    <row r="869" spans="1:22">
      <c r="A869" s="159">
        <v>105</v>
      </c>
      <c r="B869" s="160">
        <v>8</v>
      </c>
      <c r="C869" s="160">
        <v>101</v>
      </c>
      <c r="D869" s="159">
        <v>419</v>
      </c>
      <c r="E869" s="159">
        <v>80</v>
      </c>
      <c r="F869" s="160">
        <v>5</v>
      </c>
      <c r="G869" s="161">
        <f t="shared" si="62"/>
        <v>5902</v>
      </c>
      <c r="H869" s="159">
        <f t="shared" si="63"/>
        <v>12</v>
      </c>
      <c r="I869" s="159">
        <f t="shared" si="64"/>
        <v>10475</v>
      </c>
      <c r="J869" s="147">
        <v>11</v>
      </c>
      <c r="K869" s="147">
        <v>3</v>
      </c>
      <c r="L869" s="147" t="s">
        <v>657</v>
      </c>
      <c r="M869" s="147">
        <v>29</v>
      </c>
      <c r="N869" s="147">
        <v>2</v>
      </c>
      <c r="O869" s="147" t="s">
        <v>656</v>
      </c>
      <c r="P869" s="147">
        <v>101</v>
      </c>
      <c r="Q869" s="156">
        <v>409</v>
      </c>
      <c r="R869" s="157">
        <v>0</v>
      </c>
      <c r="S869" s="158" t="s">
        <v>399</v>
      </c>
      <c r="T869" s="155" t="s">
        <v>661</v>
      </c>
      <c r="U869" s="163"/>
      <c r="V869" s="147"/>
    </row>
    <row r="870" spans="1:22">
      <c r="A870" s="159">
        <v>105</v>
      </c>
      <c r="B870" s="160">
        <v>9</v>
      </c>
      <c r="C870" s="160">
        <v>101</v>
      </c>
      <c r="D870" s="159">
        <v>471</v>
      </c>
      <c r="E870" s="159">
        <v>90</v>
      </c>
      <c r="F870" s="160">
        <v>5</v>
      </c>
      <c r="G870" s="161">
        <f t="shared" si="62"/>
        <v>5902</v>
      </c>
      <c r="H870" s="159">
        <f t="shared" si="63"/>
        <v>15</v>
      </c>
      <c r="I870" s="159">
        <f t="shared" si="64"/>
        <v>11775</v>
      </c>
      <c r="J870" s="147">
        <v>11</v>
      </c>
      <c r="K870" s="147">
        <v>3</v>
      </c>
      <c r="L870" s="147" t="s">
        <v>657</v>
      </c>
      <c r="M870" s="147">
        <v>29</v>
      </c>
      <c r="N870" s="147">
        <v>2</v>
      </c>
      <c r="O870" s="147" t="s">
        <v>656</v>
      </c>
      <c r="P870" s="147">
        <v>101</v>
      </c>
      <c r="Q870" s="156">
        <v>463</v>
      </c>
      <c r="R870" s="157">
        <v>0</v>
      </c>
      <c r="S870" s="158" t="s">
        <v>399</v>
      </c>
      <c r="T870" s="155" t="s">
        <v>661</v>
      </c>
      <c r="U870" s="163"/>
      <c r="V870" s="147"/>
    </row>
    <row r="871" spans="1:22">
      <c r="A871" s="159">
        <v>105</v>
      </c>
      <c r="B871" s="160">
        <v>10</v>
      </c>
      <c r="C871" s="160">
        <v>101</v>
      </c>
      <c r="D871" s="159">
        <v>523</v>
      </c>
      <c r="E871" s="159">
        <v>90</v>
      </c>
      <c r="F871" s="160">
        <v>6</v>
      </c>
      <c r="G871" s="161">
        <f t="shared" si="62"/>
        <v>5902</v>
      </c>
      <c r="H871" s="159">
        <f t="shared" si="63"/>
        <v>18</v>
      </c>
      <c r="I871" s="159">
        <f t="shared" si="64"/>
        <v>13075</v>
      </c>
      <c r="J871" s="147">
        <v>11</v>
      </c>
      <c r="K871" s="147">
        <v>3</v>
      </c>
      <c r="L871" s="147" t="s">
        <v>657</v>
      </c>
      <c r="M871" s="147">
        <v>29</v>
      </c>
      <c r="N871" s="147">
        <v>2</v>
      </c>
      <c r="O871" s="147" t="s">
        <v>656</v>
      </c>
      <c r="P871" s="147">
        <v>101</v>
      </c>
      <c r="Q871" s="156">
        <v>523</v>
      </c>
      <c r="R871" s="157">
        <v>0</v>
      </c>
      <c r="S871" s="158" t="s">
        <v>399</v>
      </c>
      <c r="T871" s="155" t="s">
        <v>661</v>
      </c>
      <c r="U871" s="163"/>
      <c r="V871" s="147"/>
    </row>
    <row r="872" spans="1:22">
      <c r="A872" s="166">
        <v>106</v>
      </c>
      <c r="B872" s="167">
        <v>1</v>
      </c>
      <c r="C872" s="167">
        <v>101</v>
      </c>
      <c r="D872" s="166">
        <v>83</v>
      </c>
      <c r="E872" s="166">
        <v>10</v>
      </c>
      <c r="F872" s="167">
        <v>1</v>
      </c>
      <c r="G872" s="168">
        <f t="shared" si="62"/>
        <v>5902</v>
      </c>
      <c r="H872" s="166">
        <f t="shared" si="63"/>
        <v>1</v>
      </c>
      <c r="I872" s="166">
        <f t="shared" si="64"/>
        <v>2075</v>
      </c>
      <c r="J872" s="147">
        <v>24</v>
      </c>
      <c r="K872" s="147">
        <v>1</v>
      </c>
      <c r="L872" s="147" t="s">
        <v>655</v>
      </c>
      <c r="M872" s="147">
        <v>29</v>
      </c>
      <c r="N872" s="147">
        <v>2</v>
      </c>
      <c r="O872" s="147" t="s">
        <v>656</v>
      </c>
      <c r="P872" s="147">
        <v>101</v>
      </c>
      <c r="Q872" s="156">
        <v>331</v>
      </c>
      <c r="R872" s="157">
        <v>0</v>
      </c>
      <c r="S872" s="158" t="s">
        <v>411</v>
      </c>
      <c r="T872" s="155" t="s">
        <v>661</v>
      </c>
      <c r="U872" s="163"/>
      <c r="V872" s="147"/>
    </row>
    <row r="873" spans="1:22">
      <c r="A873" s="166">
        <v>106</v>
      </c>
      <c r="B873" s="167">
        <v>2</v>
      </c>
      <c r="C873" s="167">
        <v>101</v>
      </c>
      <c r="D873" s="166">
        <v>166</v>
      </c>
      <c r="E873" s="166">
        <v>20</v>
      </c>
      <c r="F873" s="167">
        <v>2</v>
      </c>
      <c r="G873" s="168">
        <f t="shared" si="62"/>
        <v>5902</v>
      </c>
      <c r="H873" s="166">
        <f t="shared" si="63"/>
        <v>2</v>
      </c>
      <c r="I873" s="166">
        <f t="shared" si="64"/>
        <v>4150</v>
      </c>
      <c r="J873" s="147">
        <v>24</v>
      </c>
      <c r="K873" s="147">
        <v>1</v>
      </c>
      <c r="L873" s="147" t="s">
        <v>655</v>
      </c>
      <c r="M873" s="147">
        <v>29</v>
      </c>
      <c r="N873" s="147">
        <v>2</v>
      </c>
      <c r="O873" s="147" t="s">
        <v>656</v>
      </c>
      <c r="P873" s="147">
        <v>101</v>
      </c>
      <c r="Q873" s="156">
        <v>347</v>
      </c>
      <c r="R873" s="157">
        <v>0</v>
      </c>
      <c r="S873" s="158" t="s">
        <v>411</v>
      </c>
      <c r="T873" s="155" t="s">
        <v>661</v>
      </c>
      <c r="U873" s="163"/>
      <c r="V873" s="147"/>
    </row>
    <row r="874" spans="1:22">
      <c r="A874" s="166">
        <v>106</v>
      </c>
      <c r="B874" s="167">
        <v>3</v>
      </c>
      <c r="C874" s="167">
        <v>101</v>
      </c>
      <c r="D874" s="166">
        <v>249</v>
      </c>
      <c r="E874" s="166">
        <v>30</v>
      </c>
      <c r="F874" s="167">
        <v>2</v>
      </c>
      <c r="G874" s="168">
        <f t="shared" si="62"/>
        <v>5902</v>
      </c>
      <c r="H874" s="166">
        <f t="shared" si="63"/>
        <v>3</v>
      </c>
      <c r="I874" s="166">
        <f t="shared" si="64"/>
        <v>6225</v>
      </c>
      <c r="J874" s="147">
        <v>24</v>
      </c>
      <c r="K874" s="147">
        <v>1</v>
      </c>
      <c r="L874" s="147" t="s">
        <v>655</v>
      </c>
      <c r="M874" s="147">
        <v>29</v>
      </c>
      <c r="N874" s="147">
        <v>2</v>
      </c>
      <c r="O874" s="147" t="s">
        <v>656</v>
      </c>
      <c r="P874" s="147">
        <v>101</v>
      </c>
      <c r="Q874" s="156">
        <v>372</v>
      </c>
      <c r="R874" s="157">
        <v>0</v>
      </c>
      <c r="S874" s="158" t="s">
        <v>411</v>
      </c>
      <c r="T874" s="155" t="s">
        <v>661</v>
      </c>
      <c r="U874" s="163"/>
      <c r="V874" s="147"/>
    </row>
    <row r="875" spans="1:22">
      <c r="A875" s="166">
        <v>106</v>
      </c>
      <c r="B875" s="167">
        <v>4</v>
      </c>
      <c r="C875" s="167">
        <v>101</v>
      </c>
      <c r="D875" s="166">
        <v>332</v>
      </c>
      <c r="E875" s="166">
        <v>40</v>
      </c>
      <c r="F875" s="167">
        <v>3</v>
      </c>
      <c r="G875" s="168">
        <f t="shared" si="62"/>
        <v>5902</v>
      </c>
      <c r="H875" s="166">
        <f t="shared" si="63"/>
        <v>4</v>
      </c>
      <c r="I875" s="166">
        <f t="shared" si="64"/>
        <v>8300</v>
      </c>
      <c r="J875" s="147">
        <v>24</v>
      </c>
      <c r="K875" s="147">
        <v>1</v>
      </c>
      <c r="L875" s="147" t="s">
        <v>655</v>
      </c>
      <c r="M875" s="147">
        <v>29</v>
      </c>
      <c r="N875" s="147">
        <v>2</v>
      </c>
      <c r="O875" s="147" t="s">
        <v>656</v>
      </c>
      <c r="P875" s="147">
        <v>101</v>
      </c>
      <c r="Q875" s="156">
        <v>407</v>
      </c>
      <c r="R875" s="157">
        <v>0</v>
      </c>
      <c r="S875" s="158" t="s">
        <v>411</v>
      </c>
      <c r="T875" s="155" t="s">
        <v>661</v>
      </c>
      <c r="U875" s="163"/>
      <c r="V875" s="147"/>
    </row>
    <row r="876" spans="1:22">
      <c r="A876" s="166">
        <v>106</v>
      </c>
      <c r="B876" s="167">
        <v>5</v>
      </c>
      <c r="C876" s="167">
        <v>101</v>
      </c>
      <c r="D876" s="166">
        <v>415</v>
      </c>
      <c r="E876" s="166">
        <v>50</v>
      </c>
      <c r="F876" s="167">
        <v>3</v>
      </c>
      <c r="G876" s="168">
        <f t="shared" si="62"/>
        <v>5902</v>
      </c>
      <c r="H876" s="166">
        <f t="shared" si="63"/>
        <v>6</v>
      </c>
      <c r="I876" s="166">
        <f t="shared" si="64"/>
        <v>10375</v>
      </c>
      <c r="J876" s="147">
        <v>24</v>
      </c>
      <c r="K876" s="147">
        <v>1</v>
      </c>
      <c r="L876" s="147" t="s">
        <v>655</v>
      </c>
      <c r="M876" s="147">
        <v>29</v>
      </c>
      <c r="N876" s="147">
        <v>2</v>
      </c>
      <c r="O876" s="147" t="s">
        <v>656</v>
      </c>
      <c r="P876" s="147">
        <v>101</v>
      </c>
      <c r="Q876" s="156">
        <v>452</v>
      </c>
      <c r="R876" s="157">
        <v>0</v>
      </c>
      <c r="S876" s="158" t="s">
        <v>411</v>
      </c>
      <c r="T876" s="155" t="s">
        <v>661</v>
      </c>
      <c r="U876" s="163"/>
      <c r="V876" s="147"/>
    </row>
    <row r="877" spans="1:22">
      <c r="A877" s="166">
        <v>106</v>
      </c>
      <c r="B877" s="167">
        <v>6</v>
      </c>
      <c r="C877" s="167">
        <v>101</v>
      </c>
      <c r="D877" s="166">
        <v>498</v>
      </c>
      <c r="E877" s="166">
        <v>60</v>
      </c>
      <c r="F877" s="167">
        <v>4</v>
      </c>
      <c r="G877" s="168">
        <f t="shared" si="62"/>
        <v>5902</v>
      </c>
      <c r="H877" s="166">
        <f t="shared" si="63"/>
        <v>8</v>
      </c>
      <c r="I877" s="166">
        <f t="shared" si="64"/>
        <v>12450</v>
      </c>
      <c r="J877" s="147">
        <v>24</v>
      </c>
      <c r="K877" s="147">
        <v>1</v>
      </c>
      <c r="L877" s="147" t="s">
        <v>655</v>
      </c>
      <c r="M877" s="147">
        <v>29</v>
      </c>
      <c r="N877" s="147">
        <v>2</v>
      </c>
      <c r="O877" s="147" t="s">
        <v>656</v>
      </c>
      <c r="P877" s="147">
        <v>101</v>
      </c>
      <c r="Q877" s="156">
        <v>507</v>
      </c>
      <c r="R877" s="157">
        <v>0</v>
      </c>
      <c r="S877" s="158" t="s">
        <v>411</v>
      </c>
      <c r="T877" s="155" t="s">
        <v>661</v>
      </c>
      <c r="U877" s="163"/>
      <c r="V877" s="147"/>
    </row>
    <row r="878" spans="1:22">
      <c r="A878" s="166">
        <v>106</v>
      </c>
      <c r="B878" s="167">
        <v>7</v>
      </c>
      <c r="C878" s="167">
        <v>101</v>
      </c>
      <c r="D878" s="166">
        <v>581</v>
      </c>
      <c r="E878" s="166">
        <v>70</v>
      </c>
      <c r="F878" s="167">
        <v>4</v>
      </c>
      <c r="G878" s="168">
        <f t="shared" si="62"/>
        <v>5902</v>
      </c>
      <c r="H878" s="166">
        <f t="shared" si="63"/>
        <v>10</v>
      </c>
      <c r="I878" s="166">
        <f t="shared" si="64"/>
        <v>14525</v>
      </c>
      <c r="J878" s="147">
        <v>24</v>
      </c>
      <c r="K878" s="147">
        <v>1</v>
      </c>
      <c r="L878" s="147" t="s">
        <v>655</v>
      </c>
      <c r="M878" s="147">
        <v>29</v>
      </c>
      <c r="N878" s="147">
        <v>2</v>
      </c>
      <c r="O878" s="147" t="s">
        <v>656</v>
      </c>
      <c r="P878" s="147">
        <v>101</v>
      </c>
      <c r="Q878" s="156">
        <v>573</v>
      </c>
      <c r="R878" s="157">
        <v>0</v>
      </c>
      <c r="S878" s="158" t="s">
        <v>411</v>
      </c>
      <c r="T878" s="155" t="s">
        <v>661</v>
      </c>
      <c r="U878" s="163"/>
      <c r="V878" s="147"/>
    </row>
    <row r="879" spans="1:22">
      <c r="A879" s="166">
        <v>106</v>
      </c>
      <c r="B879" s="167">
        <v>8</v>
      </c>
      <c r="C879" s="167">
        <v>101</v>
      </c>
      <c r="D879" s="166">
        <v>664</v>
      </c>
      <c r="E879" s="166">
        <v>80</v>
      </c>
      <c r="F879" s="167">
        <v>5</v>
      </c>
      <c r="G879" s="168">
        <f t="shared" si="62"/>
        <v>5902</v>
      </c>
      <c r="H879" s="166">
        <f t="shared" si="63"/>
        <v>12</v>
      </c>
      <c r="I879" s="166">
        <f t="shared" si="64"/>
        <v>16600</v>
      </c>
      <c r="J879" s="147">
        <v>24</v>
      </c>
      <c r="K879" s="147">
        <v>1</v>
      </c>
      <c r="L879" s="147" t="s">
        <v>655</v>
      </c>
      <c r="M879" s="147">
        <v>29</v>
      </c>
      <c r="N879" s="147">
        <v>2</v>
      </c>
      <c r="O879" s="147" t="s">
        <v>656</v>
      </c>
      <c r="P879" s="147">
        <v>101</v>
      </c>
      <c r="Q879" s="156">
        <v>648</v>
      </c>
      <c r="R879" s="157">
        <v>0</v>
      </c>
      <c r="S879" s="158" t="s">
        <v>411</v>
      </c>
      <c r="T879" s="155" t="s">
        <v>661</v>
      </c>
      <c r="U879" s="163"/>
      <c r="V879" s="147"/>
    </row>
    <row r="880" spans="1:22">
      <c r="A880" s="166">
        <v>106</v>
      </c>
      <c r="B880" s="167">
        <v>9</v>
      </c>
      <c r="C880" s="167">
        <v>101</v>
      </c>
      <c r="D880" s="166">
        <v>747</v>
      </c>
      <c r="E880" s="166">
        <v>90</v>
      </c>
      <c r="F880" s="167">
        <v>5</v>
      </c>
      <c r="G880" s="168">
        <f t="shared" si="62"/>
        <v>5902</v>
      </c>
      <c r="H880" s="166">
        <f t="shared" si="63"/>
        <v>15</v>
      </c>
      <c r="I880" s="166">
        <f t="shared" si="64"/>
        <v>18675</v>
      </c>
      <c r="J880" s="147">
        <v>24</v>
      </c>
      <c r="K880" s="147">
        <v>1</v>
      </c>
      <c r="L880" s="147" t="s">
        <v>655</v>
      </c>
      <c r="M880" s="147">
        <v>29</v>
      </c>
      <c r="N880" s="147">
        <v>2</v>
      </c>
      <c r="O880" s="147" t="s">
        <v>656</v>
      </c>
      <c r="P880" s="147">
        <v>101</v>
      </c>
      <c r="Q880" s="156">
        <v>734</v>
      </c>
      <c r="R880" s="157">
        <v>0</v>
      </c>
      <c r="S880" s="158" t="s">
        <v>411</v>
      </c>
      <c r="T880" s="155" t="s">
        <v>661</v>
      </c>
      <c r="U880" s="163"/>
      <c r="V880" s="147"/>
    </row>
    <row r="881" spans="1:22">
      <c r="A881" s="166">
        <v>106</v>
      </c>
      <c r="B881" s="167">
        <v>10</v>
      </c>
      <c r="C881" s="167">
        <v>101</v>
      </c>
      <c r="D881" s="166">
        <v>829</v>
      </c>
      <c r="E881" s="166">
        <v>90</v>
      </c>
      <c r="F881" s="167">
        <v>6</v>
      </c>
      <c r="G881" s="168">
        <f t="shared" si="62"/>
        <v>5902</v>
      </c>
      <c r="H881" s="166">
        <f t="shared" si="63"/>
        <v>18</v>
      </c>
      <c r="I881" s="166">
        <f t="shared" si="64"/>
        <v>20725</v>
      </c>
      <c r="J881" s="147">
        <v>24</v>
      </c>
      <c r="K881" s="147">
        <v>1</v>
      </c>
      <c r="L881" s="147" t="s">
        <v>655</v>
      </c>
      <c r="M881" s="147">
        <v>29</v>
      </c>
      <c r="N881" s="147">
        <v>2</v>
      </c>
      <c r="O881" s="147" t="s">
        <v>656</v>
      </c>
      <c r="P881" s="147">
        <v>101</v>
      </c>
      <c r="Q881" s="156">
        <v>829</v>
      </c>
      <c r="R881" s="157">
        <v>0</v>
      </c>
      <c r="S881" s="158" t="s">
        <v>411</v>
      </c>
      <c r="T881" s="155" t="s">
        <v>661</v>
      </c>
      <c r="U881" s="163"/>
      <c r="V881" s="147"/>
    </row>
    <row r="882" spans="1:22">
      <c r="A882" s="159">
        <v>107</v>
      </c>
      <c r="B882" s="160">
        <v>1</v>
      </c>
      <c r="C882" s="160">
        <v>101</v>
      </c>
      <c r="D882" s="159">
        <v>83</v>
      </c>
      <c r="E882" s="159">
        <v>10</v>
      </c>
      <c r="F882" s="160">
        <v>1</v>
      </c>
      <c r="G882" s="161">
        <f t="shared" si="62"/>
        <v>5902</v>
      </c>
      <c r="H882" s="159">
        <f t="shared" si="63"/>
        <v>1</v>
      </c>
      <c r="I882" s="159">
        <f t="shared" si="64"/>
        <v>2075</v>
      </c>
      <c r="J882" s="147">
        <v>15</v>
      </c>
      <c r="K882" s="147">
        <v>1</v>
      </c>
      <c r="L882" s="147" t="s">
        <v>655</v>
      </c>
      <c r="M882" s="147">
        <v>29</v>
      </c>
      <c r="N882" s="147">
        <v>2</v>
      </c>
      <c r="O882" s="147" t="s">
        <v>656</v>
      </c>
      <c r="P882" s="147">
        <v>101</v>
      </c>
      <c r="Q882" s="156">
        <v>331</v>
      </c>
      <c r="R882" s="157">
        <v>0</v>
      </c>
      <c r="S882" s="158" t="s">
        <v>403</v>
      </c>
      <c r="T882" s="155" t="s">
        <v>661</v>
      </c>
      <c r="U882" s="163"/>
      <c r="V882" s="147"/>
    </row>
    <row r="883" spans="1:22">
      <c r="A883" s="159">
        <v>107</v>
      </c>
      <c r="B883" s="160">
        <v>2</v>
      </c>
      <c r="C883" s="160">
        <v>101</v>
      </c>
      <c r="D883" s="159">
        <v>166</v>
      </c>
      <c r="E883" s="159">
        <v>20</v>
      </c>
      <c r="F883" s="160">
        <v>2</v>
      </c>
      <c r="G883" s="161">
        <f t="shared" si="62"/>
        <v>5902</v>
      </c>
      <c r="H883" s="159">
        <f t="shared" si="63"/>
        <v>2</v>
      </c>
      <c r="I883" s="159">
        <f t="shared" si="64"/>
        <v>4150</v>
      </c>
      <c r="J883" s="147">
        <v>15</v>
      </c>
      <c r="K883" s="147">
        <v>1</v>
      </c>
      <c r="L883" s="147" t="s">
        <v>655</v>
      </c>
      <c r="M883" s="147">
        <v>29</v>
      </c>
      <c r="N883" s="147">
        <v>2</v>
      </c>
      <c r="O883" s="147" t="s">
        <v>656</v>
      </c>
      <c r="P883" s="147">
        <v>101</v>
      </c>
      <c r="Q883" s="156">
        <v>347</v>
      </c>
      <c r="R883" s="157">
        <v>0</v>
      </c>
      <c r="S883" s="158" t="s">
        <v>403</v>
      </c>
      <c r="T883" s="155" t="s">
        <v>661</v>
      </c>
      <c r="U883" s="163"/>
      <c r="V883" s="147"/>
    </row>
    <row r="884" spans="1:22">
      <c r="A884" s="159">
        <v>107</v>
      </c>
      <c r="B884" s="160">
        <v>3</v>
      </c>
      <c r="C884" s="160">
        <v>101</v>
      </c>
      <c r="D884" s="159">
        <v>249</v>
      </c>
      <c r="E884" s="159">
        <v>30</v>
      </c>
      <c r="F884" s="160">
        <v>2</v>
      </c>
      <c r="G884" s="161">
        <f t="shared" si="62"/>
        <v>5902</v>
      </c>
      <c r="H884" s="159">
        <f t="shared" si="63"/>
        <v>3</v>
      </c>
      <c r="I884" s="159">
        <f t="shared" si="64"/>
        <v>6225</v>
      </c>
      <c r="J884" s="147">
        <v>15</v>
      </c>
      <c r="K884" s="147">
        <v>1</v>
      </c>
      <c r="L884" s="147" t="s">
        <v>655</v>
      </c>
      <c r="M884" s="147">
        <v>29</v>
      </c>
      <c r="N884" s="147">
        <v>2</v>
      </c>
      <c r="O884" s="147" t="s">
        <v>656</v>
      </c>
      <c r="P884" s="147">
        <v>101</v>
      </c>
      <c r="Q884" s="156">
        <v>372</v>
      </c>
      <c r="R884" s="157">
        <v>0</v>
      </c>
      <c r="S884" s="158" t="s">
        <v>403</v>
      </c>
      <c r="T884" s="155" t="s">
        <v>661</v>
      </c>
      <c r="U884" s="163"/>
      <c r="V884" s="147"/>
    </row>
    <row r="885" spans="1:22">
      <c r="A885" s="159">
        <v>107</v>
      </c>
      <c r="B885" s="160">
        <v>4</v>
      </c>
      <c r="C885" s="160">
        <v>101</v>
      </c>
      <c r="D885" s="159">
        <v>332</v>
      </c>
      <c r="E885" s="159">
        <v>40</v>
      </c>
      <c r="F885" s="160">
        <v>3</v>
      </c>
      <c r="G885" s="161">
        <f t="shared" si="62"/>
        <v>5902</v>
      </c>
      <c r="H885" s="159">
        <f t="shared" si="63"/>
        <v>4</v>
      </c>
      <c r="I885" s="159">
        <f t="shared" si="64"/>
        <v>8300</v>
      </c>
      <c r="J885" s="147">
        <v>15</v>
      </c>
      <c r="K885" s="147">
        <v>1</v>
      </c>
      <c r="L885" s="147" t="s">
        <v>655</v>
      </c>
      <c r="M885" s="147">
        <v>29</v>
      </c>
      <c r="N885" s="147">
        <v>2</v>
      </c>
      <c r="O885" s="147" t="s">
        <v>656</v>
      </c>
      <c r="P885" s="147">
        <v>101</v>
      </c>
      <c r="Q885" s="156">
        <v>407</v>
      </c>
      <c r="R885" s="157">
        <v>0</v>
      </c>
      <c r="S885" s="158" t="s">
        <v>403</v>
      </c>
      <c r="T885" s="155" t="s">
        <v>661</v>
      </c>
      <c r="U885" s="163"/>
      <c r="V885" s="147"/>
    </row>
    <row r="886" spans="1:22">
      <c r="A886" s="159">
        <v>107</v>
      </c>
      <c r="B886" s="160">
        <v>5</v>
      </c>
      <c r="C886" s="160">
        <v>101</v>
      </c>
      <c r="D886" s="159">
        <v>415</v>
      </c>
      <c r="E886" s="159">
        <v>50</v>
      </c>
      <c r="F886" s="160">
        <v>3</v>
      </c>
      <c r="G886" s="161">
        <f t="shared" si="62"/>
        <v>5902</v>
      </c>
      <c r="H886" s="159">
        <f t="shared" si="63"/>
        <v>6</v>
      </c>
      <c r="I886" s="159">
        <f t="shared" si="64"/>
        <v>10375</v>
      </c>
      <c r="J886" s="147">
        <v>15</v>
      </c>
      <c r="K886" s="147">
        <v>1</v>
      </c>
      <c r="L886" s="147" t="s">
        <v>655</v>
      </c>
      <c r="M886" s="147">
        <v>29</v>
      </c>
      <c r="N886" s="147">
        <v>2</v>
      </c>
      <c r="O886" s="147" t="s">
        <v>656</v>
      </c>
      <c r="P886" s="147">
        <v>101</v>
      </c>
      <c r="Q886" s="156">
        <v>452</v>
      </c>
      <c r="R886" s="157">
        <v>0</v>
      </c>
      <c r="S886" s="158" t="s">
        <v>403</v>
      </c>
      <c r="T886" s="155" t="s">
        <v>661</v>
      </c>
      <c r="U886" s="163"/>
      <c r="V886" s="147"/>
    </row>
    <row r="887" spans="1:22">
      <c r="A887" s="159">
        <v>107</v>
      </c>
      <c r="B887" s="160">
        <v>6</v>
      </c>
      <c r="C887" s="160">
        <v>101</v>
      </c>
      <c r="D887" s="159">
        <v>498</v>
      </c>
      <c r="E887" s="159">
        <v>60</v>
      </c>
      <c r="F887" s="160">
        <v>4</v>
      </c>
      <c r="G887" s="161">
        <f t="shared" si="62"/>
        <v>5902</v>
      </c>
      <c r="H887" s="159">
        <f t="shared" si="63"/>
        <v>8</v>
      </c>
      <c r="I887" s="159">
        <f t="shared" si="64"/>
        <v>12450</v>
      </c>
      <c r="J887" s="147">
        <v>15</v>
      </c>
      <c r="K887" s="147">
        <v>1</v>
      </c>
      <c r="L887" s="147" t="s">
        <v>655</v>
      </c>
      <c r="M887" s="147">
        <v>29</v>
      </c>
      <c r="N887" s="147">
        <v>2</v>
      </c>
      <c r="O887" s="147" t="s">
        <v>656</v>
      </c>
      <c r="P887" s="147">
        <v>101</v>
      </c>
      <c r="Q887" s="156">
        <v>507</v>
      </c>
      <c r="R887" s="157">
        <v>0</v>
      </c>
      <c r="S887" s="158" t="s">
        <v>403</v>
      </c>
      <c r="T887" s="155" t="s">
        <v>661</v>
      </c>
      <c r="U887" s="163"/>
      <c r="V887" s="147"/>
    </row>
    <row r="888" spans="1:22">
      <c r="A888" s="159">
        <v>107</v>
      </c>
      <c r="B888" s="160">
        <v>7</v>
      </c>
      <c r="C888" s="160">
        <v>101</v>
      </c>
      <c r="D888" s="159">
        <v>581</v>
      </c>
      <c r="E888" s="159">
        <v>70</v>
      </c>
      <c r="F888" s="160">
        <v>4</v>
      </c>
      <c r="G888" s="161">
        <f t="shared" si="62"/>
        <v>5902</v>
      </c>
      <c r="H888" s="159">
        <f t="shared" si="63"/>
        <v>10</v>
      </c>
      <c r="I888" s="159">
        <f t="shared" si="64"/>
        <v>14525</v>
      </c>
      <c r="J888" s="147">
        <v>15</v>
      </c>
      <c r="K888" s="147">
        <v>1</v>
      </c>
      <c r="L888" s="147" t="s">
        <v>655</v>
      </c>
      <c r="M888" s="147">
        <v>29</v>
      </c>
      <c r="N888" s="147">
        <v>2</v>
      </c>
      <c r="O888" s="147" t="s">
        <v>656</v>
      </c>
      <c r="P888" s="147">
        <v>101</v>
      </c>
      <c r="Q888" s="156">
        <v>573</v>
      </c>
      <c r="R888" s="157">
        <v>0</v>
      </c>
      <c r="S888" s="158" t="s">
        <v>403</v>
      </c>
      <c r="T888" s="155" t="s">
        <v>661</v>
      </c>
      <c r="U888" s="163"/>
      <c r="V888" s="147"/>
    </row>
    <row r="889" spans="1:22">
      <c r="A889" s="159">
        <v>107</v>
      </c>
      <c r="B889" s="160">
        <v>8</v>
      </c>
      <c r="C889" s="160">
        <v>101</v>
      </c>
      <c r="D889" s="159">
        <v>664</v>
      </c>
      <c r="E889" s="159">
        <v>80</v>
      </c>
      <c r="F889" s="160">
        <v>5</v>
      </c>
      <c r="G889" s="161">
        <f t="shared" si="62"/>
        <v>5902</v>
      </c>
      <c r="H889" s="159">
        <f t="shared" si="63"/>
        <v>12</v>
      </c>
      <c r="I889" s="159">
        <f t="shared" si="64"/>
        <v>16600</v>
      </c>
      <c r="J889" s="147">
        <v>15</v>
      </c>
      <c r="K889" s="147">
        <v>1</v>
      </c>
      <c r="L889" s="147" t="s">
        <v>655</v>
      </c>
      <c r="M889" s="147">
        <v>29</v>
      </c>
      <c r="N889" s="147">
        <v>2</v>
      </c>
      <c r="O889" s="147" t="s">
        <v>656</v>
      </c>
      <c r="P889" s="147">
        <v>101</v>
      </c>
      <c r="Q889" s="156">
        <v>648</v>
      </c>
      <c r="R889" s="157">
        <v>0</v>
      </c>
      <c r="S889" s="158" t="s">
        <v>403</v>
      </c>
      <c r="T889" s="155" t="s">
        <v>661</v>
      </c>
      <c r="U889" s="163"/>
      <c r="V889" s="147"/>
    </row>
    <row r="890" spans="1:22">
      <c r="A890" s="159">
        <v>107</v>
      </c>
      <c r="B890" s="160">
        <v>9</v>
      </c>
      <c r="C890" s="160">
        <v>101</v>
      </c>
      <c r="D890" s="159">
        <v>747</v>
      </c>
      <c r="E890" s="159">
        <v>90</v>
      </c>
      <c r="F890" s="160">
        <v>5</v>
      </c>
      <c r="G890" s="161">
        <f t="shared" si="62"/>
        <v>5902</v>
      </c>
      <c r="H890" s="159">
        <f t="shared" si="63"/>
        <v>15</v>
      </c>
      <c r="I890" s="159">
        <f t="shared" si="64"/>
        <v>18675</v>
      </c>
      <c r="J890" s="147">
        <v>15</v>
      </c>
      <c r="K890" s="147">
        <v>1</v>
      </c>
      <c r="L890" s="147" t="s">
        <v>655</v>
      </c>
      <c r="M890" s="147">
        <v>29</v>
      </c>
      <c r="N890" s="147">
        <v>2</v>
      </c>
      <c r="O890" s="147" t="s">
        <v>656</v>
      </c>
      <c r="P890" s="147">
        <v>101</v>
      </c>
      <c r="Q890" s="156">
        <v>734</v>
      </c>
      <c r="R890" s="157">
        <v>0</v>
      </c>
      <c r="S890" s="158" t="s">
        <v>403</v>
      </c>
      <c r="T890" s="155" t="s">
        <v>661</v>
      </c>
      <c r="U890" s="163"/>
      <c r="V890" s="147"/>
    </row>
    <row r="891" spans="1:22">
      <c r="A891" s="159">
        <v>107</v>
      </c>
      <c r="B891" s="160">
        <v>10</v>
      </c>
      <c r="C891" s="160">
        <v>101</v>
      </c>
      <c r="D891" s="159">
        <v>829</v>
      </c>
      <c r="E891" s="159">
        <v>90</v>
      </c>
      <c r="F891" s="160">
        <v>6</v>
      </c>
      <c r="G891" s="161">
        <f t="shared" si="62"/>
        <v>5902</v>
      </c>
      <c r="H891" s="159">
        <f t="shared" si="63"/>
        <v>18</v>
      </c>
      <c r="I891" s="159">
        <f t="shared" si="64"/>
        <v>20725</v>
      </c>
      <c r="J891" s="147">
        <v>15</v>
      </c>
      <c r="K891" s="147">
        <v>1</v>
      </c>
      <c r="L891" s="147" t="s">
        <v>655</v>
      </c>
      <c r="M891" s="147">
        <v>29</v>
      </c>
      <c r="N891" s="147">
        <v>2</v>
      </c>
      <c r="O891" s="147" t="s">
        <v>656</v>
      </c>
      <c r="P891" s="147">
        <v>101</v>
      </c>
      <c r="Q891" s="156">
        <v>829</v>
      </c>
      <c r="R891" s="157">
        <v>0</v>
      </c>
      <c r="S891" s="158" t="s">
        <v>403</v>
      </c>
      <c r="T891" s="155" t="s">
        <v>661</v>
      </c>
      <c r="U891" s="163"/>
      <c r="V891" s="147"/>
    </row>
    <row r="892" spans="1:22">
      <c r="A892" s="166">
        <v>108</v>
      </c>
      <c r="B892" s="167">
        <v>1</v>
      </c>
      <c r="C892" s="167">
        <v>101</v>
      </c>
      <c r="D892" s="166">
        <v>83</v>
      </c>
      <c r="E892" s="166">
        <v>10</v>
      </c>
      <c r="F892" s="167">
        <v>1</v>
      </c>
      <c r="G892" s="168">
        <f t="shared" si="62"/>
        <v>5902</v>
      </c>
      <c r="H892" s="166">
        <f t="shared" si="63"/>
        <v>1</v>
      </c>
      <c r="I892" s="166">
        <f t="shared" si="64"/>
        <v>2075</v>
      </c>
      <c r="J892" s="147">
        <v>16</v>
      </c>
      <c r="K892" s="147">
        <v>1</v>
      </c>
      <c r="L892" s="147" t="s">
        <v>655</v>
      </c>
      <c r="M892" s="147">
        <v>29</v>
      </c>
      <c r="N892" s="147">
        <v>2</v>
      </c>
      <c r="O892" s="147" t="s">
        <v>656</v>
      </c>
      <c r="P892" s="147">
        <v>101</v>
      </c>
      <c r="Q892" s="156">
        <v>331</v>
      </c>
      <c r="R892" s="157">
        <v>0</v>
      </c>
      <c r="S892" s="158" t="s">
        <v>404</v>
      </c>
      <c r="T892" s="155" t="s">
        <v>661</v>
      </c>
      <c r="U892" s="163"/>
      <c r="V892" s="147"/>
    </row>
    <row r="893" spans="1:22">
      <c r="A893" s="166">
        <v>108</v>
      </c>
      <c r="B893" s="167">
        <v>2</v>
      </c>
      <c r="C893" s="167">
        <v>101</v>
      </c>
      <c r="D893" s="166">
        <v>166</v>
      </c>
      <c r="E893" s="166">
        <v>20</v>
      </c>
      <c r="F893" s="167">
        <v>2</v>
      </c>
      <c r="G893" s="168">
        <f t="shared" si="62"/>
        <v>5902</v>
      </c>
      <c r="H893" s="166">
        <f t="shared" si="63"/>
        <v>2</v>
      </c>
      <c r="I893" s="166">
        <f t="shared" si="64"/>
        <v>4150</v>
      </c>
      <c r="J893" s="147">
        <v>16</v>
      </c>
      <c r="K893" s="147">
        <v>1</v>
      </c>
      <c r="L893" s="147" t="s">
        <v>655</v>
      </c>
      <c r="M893" s="147">
        <v>29</v>
      </c>
      <c r="N893" s="147">
        <v>2</v>
      </c>
      <c r="O893" s="147" t="s">
        <v>656</v>
      </c>
      <c r="P893" s="147">
        <v>101</v>
      </c>
      <c r="Q893" s="156">
        <v>347</v>
      </c>
      <c r="R893" s="157">
        <v>0</v>
      </c>
      <c r="S893" s="158" t="s">
        <v>404</v>
      </c>
      <c r="T893" s="155" t="s">
        <v>661</v>
      </c>
      <c r="U893" s="163"/>
      <c r="V893" s="147"/>
    </row>
    <row r="894" spans="1:22">
      <c r="A894" s="166">
        <v>108</v>
      </c>
      <c r="B894" s="167">
        <v>3</v>
      </c>
      <c r="C894" s="167">
        <v>101</v>
      </c>
      <c r="D894" s="166">
        <v>249</v>
      </c>
      <c r="E894" s="166">
        <v>30</v>
      </c>
      <c r="F894" s="167">
        <v>2</v>
      </c>
      <c r="G894" s="168">
        <f t="shared" si="62"/>
        <v>5902</v>
      </c>
      <c r="H894" s="166">
        <f t="shared" si="63"/>
        <v>3</v>
      </c>
      <c r="I894" s="166">
        <f t="shared" si="64"/>
        <v>6225</v>
      </c>
      <c r="J894" s="147">
        <v>16</v>
      </c>
      <c r="K894" s="147">
        <v>1</v>
      </c>
      <c r="L894" s="147" t="s">
        <v>655</v>
      </c>
      <c r="M894" s="147">
        <v>29</v>
      </c>
      <c r="N894" s="147">
        <v>2</v>
      </c>
      <c r="O894" s="147" t="s">
        <v>656</v>
      </c>
      <c r="P894" s="147">
        <v>101</v>
      </c>
      <c r="Q894" s="156">
        <v>372</v>
      </c>
      <c r="R894" s="157">
        <v>0</v>
      </c>
      <c r="S894" s="158" t="s">
        <v>404</v>
      </c>
      <c r="T894" s="155" t="s">
        <v>661</v>
      </c>
      <c r="U894" s="163"/>
      <c r="V894" s="147"/>
    </row>
    <row r="895" spans="1:22">
      <c r="A895" s="166">
        <v>108</v>
      </c>
      <c r="B895" s="167">
        <v>4</v>
      </c>
      <c r="C895" s="167">
        <v>101</v>
      </c>
      <c r="D895" s="166">
        <v>332</v>
      </c>
      <c r="E895" s="166">
        <v>40</v>
      </c>
      <c r="F895" s="167">
        <v>3</v>
      </c>
      <c r="G895" s="168">
        <f t="shared" si="62"/>
        <v>5902</v>
      </c>
      <c r="H895" s="166">
        <f t="shared" si="63"/>
        <v>4</v>
      </c>
      <c r="I895" s="166">
        <f t="shared" si="64"/>
        <v>8300</v>
      </c>
      <c r="J895" s="147">
        <v>16</v>
      </c>
      <c r="K895" s="147">
        <v>1</v>
      </c>
      <c r="L895" s="147" t="s">
        <v>655</v>
      </c>
      <c r="M895" s="147">
        <v>29</v>
      </c>
      <c r="N895" s="147">
        <v>2</v>
      </c>
      <c r="O895" s="147" t="s">
        <v>656</v>
      </c>
      <c r="P895" s="147">
        <v>101</v>
      </c>
      <c r="Q895" s="156">
        <v>407</v>
      </c>
      <c r="R895" s="157">
        <v>0</v>
      </c>
      <c r="S895" s="158" t="s">
        <v>404</v>
      </c>
      <c r="T895" s="155" t="s">
        <v>661</v>
      </c>
      <c r="U895" s="163"/>
      <c r="V895" s="147"/>
    </row>
    <row r="896" spans="1:22">
      <c r="A896" s="166">
        <v>108</v>
      </c>
      <c r="B896" s="167">
        <v>5</v>
      </c>
      <c r="C896" s="167">
        <v>101</v>
      </c>
      <c r="D896" s="166">
        <v>415</v>
      </c>
      <c r="E896" s="166">
        <v>50</v>
      </c>
      <c r="F896" s="167">
        <v>3</v>
      </c>
      <c r="G896" s="168">
        <f t="shared" si="62"/>
        <v>5902</v>
      </c>
      <c r="H896" s="166">
        <f t="shared" si="63"/>
        <v>6</v>
      </c>
      <c r="I896" s="166">
        <f t="shared" si="64"/>
        <v>10375</v>
      </c>
      <c r="J896" s="147">
        <v>16</v>
      </c>
      <c r="K896" s="147">
        <v>1</v>
      </c>
      <c r="L896" s="147" t="s">
        <v>655</v>
      </c>
      <c r="M896" s="147">
        <v>29</v>
      </c>
      <c r="N896" s="147">
        <v>2</v>
      </c>
      <c r="O896" s="147" t="s">
        <v>656</v>
      </c>
      <c r="P896" s="147">
        <v>101</v>
      </c>
      <c r="Q896" s="156">
        <v>452</v>
      </c>
      <c r="R896" s="157">
        <v>0</v>
      </c>
      <c r="S896" s="158" t="s">
        <v>404</v>
      </c>
      <c r="T896" s="155" t="s">
        <v>661</v>
      </c>
      <c r="U896" s="163"/>
      <c r="V896" s="147"/>
    </row>
    <row r="897" spans="1:22">
      <c r="A897" s="166">
        <v>108</v>
      </c>
      <c r="B897" s="167">
        <v>6</v>
      </c>
      <c r="C897" s="167">
        <v>101</v>
      </c>
      <c r="D897" s="166">
        <v>498</v>
      </c>
      <c r="E897" s="166">
        <v>60</v>
      </c>
      <c r="F897" s="167">
        <v>4</v>
      </c>
      <c r="G897" s="168">
        <f t="shared" si="62"/>
        <v>5902</v>
      </c>
      <c r="H897" s="166">
        <f t="shared" si="63"/>
        <v>8</v>
      </c>
      <c r="I897" s="166">
        <f t="shared" si="64"/>
        <v>12450</v>
      </c>
      <c r="J897" s="147">
        <v>16</v>
      </c>
      <c r="K897" s="147">
        <v>1</v>
      </c>
      <c r="L897" s="147" t="s">
        <v>655</v>
      </c>
      <c r="M897" s="147">
        <v>29</v>
      </c>
      <c r="N897" s="147">
        <v>2</v>
      </c>
      <c r="O897" s="147" t="s">
        <v>656</v>
      </c>
      <c r="P897" s="147">
        <v>101</v>
      </c>
      <c r="Q897" s="156">
        <v>507</v>
      </c>
      <c r="R897" s="157">
        <v>0</v>
      </c>
      <c r="S897" s="158" t="s">
        <v>404</v>
      </c>
      <c r="T897" s="155" t="s">
        <v>661</v>
      </c>
      <c r="U897" s="163"/>
      <c r="V897" s="147"/>
    </row>
    <row r="898" spans="1:22">
      <c r="A898" s="166">
        <v>108</v>
      </c>
      <c r="B898" s="167">
        <v>7</v>
      </c>
      <c r="C898" s="167">
        <v>101</v>
      </c>
      <c r="D898" s="166">
        <v>581</v>
      </c>
      <c r="E898" s="166">
        <v>70</v>
      </c>
      <c r="F898" s="167">
        <v>4</v>
      </c>
      <c r="G898" s="168">
        <f t="shared" ref="G898:G921" si="65">VLOOKUP(B898,AA$2:AC$11,2,FALSE)</f>
        <v>5902</v>
      </c>
      <c r="H898" s="166">
        <f t="shared" ref="H898:H921" si="66">VLOOKUP(B898,AA$2:AC$11,3,FALSE)</f>
        <v>10</v>
      </c>
      <c r="I898" s="166">
        <f t="shared" si="64"/>
        <v>14525</v>
      </c>
      <c r="J898" s="147">
        <v>16</v>
      </c>
      <c r="K898" s="147">
        <v>1</v>
      </c>
      <c r="L898" s="147" t="s">
        <v>655</v>
      </c>
      <c r="M898" s="147">
        <v>29</v>
      </c>
      <c r="N898" s="147">
        <v>2</v>
      </c>
      <c r="O898" s="147" t="s">
        <v>656</v>
      </c>
      <c r="P898" s="147">
        <v>101</v>
      </c>
      <c r="Q898" s="156">
        <v>573</v>
      </c>
      <c r="R898" s="157">
        <v>0</v>
      </c>
      <c r="S898" s="158" t="s">
        <v>404</v>
      </c>
      <c r="T898" s="155" t="s">
        <v>661</v>
      </c>
      <c r="U898" s="163"/>
      <c r="V898" s="147"/>
    </row>
    <row r="899" spans="1:22">
      <c r="A899" s="166">
        <v>108</v>
      </c>
      <c r="B899" s="167">
        <v>8</v>
      </c>
      <c r="C899" s="167">
        <v>101</v>
      </c>
      <c r="D899" s="166">
        <v>664</v>
      </c>
      <c r="E899" s="166">
        <v>80</v>
      </c>
      <c r="F899" s="167">
        <v>5</v>
      </c>
      <c r="G899" s="168">
        <f t="shared" si="65"/>
        <v>5902</v>
      </c>
      <c r="H899" s="166">
        <f t="shared" si="66"/>
        <v>12</v>
      </c>
      <c r="I899" s="166">
        <f t="shared" ref="I899:I921" si="67">INT(IF(C899=104,D899,D899*25))</f>
        <v>16600</v>
      </c>
      <c r="J899" s="147">
        <v>16</v>
      </c>
      <c r="K899" s="147">
        <v>1</v>
      </c>
      <c r="L899" s="147" t="s">
        <v>655</v>
      </c>
      <c r="M899" s="147">
        <v>29</v>
      </c>
      <c r="N899" s="147">
        <v>2</v>
      </c>
      <c r="O899" s="147" t="s">
        <v>656</v>
      </c>
      <c r="P899" s="147">
        <v>101</v>
      </c>
      <c r="Q899" s="156">
        <v>648</v>
      </c>
      <c r="R899" s="157">
        <v>0</v>
      </c>
      <c r="S899" s="158" t="s">
        <v>404</v>
      </c>
      <c r="T899" s="155" t="s">
        <v>661</v>
      </c>
      <c r="U899" s="163"/>
      <c r="V899" s="147"/>
    </row>
    <row r="900" spans="1:22">
      <c r="A900" s="166">
        <v>108</v>
      </c>
      <c r="B900" s="167">
        <v>9</v>
      </c>
      <c r="C900" s="167">
        <v>101</v>
      </c>
      <c r="D900" s="166">
        <v>747</v>
      </c>
      <c r="E900" s="166">
        <v>90</v>
      </c>
      <c r="F900" s="167">
        <v>5</v>
      </c>
      <c r="G900" s="168">
        <f t="shared" si="65"/>
        <v>5902</v>
      </c>
      <c r="H900" s="166">
        <f t="shared" si="66"/>
        <v>15</v>
      </c>
      <c r="I900" s="166">
        <f t="shared" si="67"/>
        <v>18675</v>
      </c>
      <c r="J900" s="147">
        <v>16</v>
      </c>
      <c r="K900" s="147">
        <v>1</v>
      </c>
      <c r="L900" s="147" t="s">
        <v>655</v>
      </c>
      <c r="M900" s="147">
        <v>29</v>
      </c>
      <c r="N900" s="147">
        <v>2</v>
      </c>
      <c r="O900" s="147" t="s">
        <v>656</v>
      </c>
      <c r="P900" s="147">
        <v>101</v>
      </c>
      <c r="Q900" s="156">
        <v>734</v>
      </c>
      <c r="R900" s="157">
        <v>0</v>
      </c>
      <c r="S900" s="158" t="s">
        <v>404</v>
      </c>
      <c r="T900" s="155" t="s">
        <v>661</v>
      </c>
      <c r="U900" s="163"/>
      <c r="V900" s="147"/>
    </row>
    <row r="901" spans="1:22">
      <c r="A901" s="166">
        <v>108</v>
      </c>
      <c r="B901" s="167">
        <v>10</v>
      </c>
      <c r="C901" s="167">
        <v>101</v>
      </c>
      <c r="D901" s="166">
        <v>829</v>
      </c>
      <c r="E901" s="166">
        <v>90</v>
      </c>
      <c r="F901" s="167">
        <v>6</v>
      </c>
      <c r="G901" s="168">
        <f t="shared" si="65"/>
        <v>5902</v>
      </c>
      <c r="H901" s="166">
        <f t="shared" si="66"/>
        <v>18</v>
      </c>
      <c r="I901" s="166">
        <f t="shared" si="67"/>
        <v>20725</v>
      </c>
      <c r="J901" s="147">
        <v>16</v>
      </c>
      <c r="K901" s="147">
        <v>1</v>
      </c>
      <c r="L901" s="147" t="s">
        <v>655</v>
      </c>
      <c r="M901" s="147">
        <v>29</v>
      </c>
      <c r="N901" s="147">
        <v>2</v>
      </c>
      <c r="O901" s="147" t="s">
        <v>656</v>
      </c>
      <c r="P901" s="147">
        <v>101</v>
      </c>
      <c r="Q901" s="156">
        <v>829</v>
      </c>
      <c r="R901" s="157">
        <v>0</v>
      </c>
      <c r="S901" s="158" t="s">
        <v>404</v>
      </c>
      <c r="T901" s="155" t="s">
        <v>661</v>
      </c>
      <c r="U901" s="163"/>
      <c r="V901" s="147"/>
    </row>
    <row r="902" spans="1:22">
      <c r="A902" s="159">
        <v>109</v>
      </c>
      <c r="B902" s="160">
        <v>1</v>
      </c>
      <c r="C902" s="160">
        <v>101</v>
      </c>
      <c r="D902" s="159">
        <v>97</v>
      </c>
      <c r="E902" s="159">
        <v>10</v>
      </c>
      <c r="F902" s="160">
        <v>1</v>
      </c>
      <c r="G902" s="161">
        <f t="shared" si="65"/>
        <v>5902</v>
      </c>
      <c r="H902" s="159">
        <f t="shared" si="66"/>
        <v>1</v>
      </c>
      <c r="I902" s="159">
        <f t="shared" si="67"/>
        <v>2425</v>
      </c>
      <c r="J902" s="147">
        <v>10</v>
      </c>
      <c r="K902" s="147">
        <v>1</v>
      </c>
      <c r="L902" s="147" t="s">
        <v>655</v>
      </c>
      <c r="M902" s="147">
        <v>29</v>
      </c>
      <c r="N902" s="147">
        <v>2</v>
      </c>
      <c r="O902" s="147" t="s">
        <v>656</v>
      </c>
      <c r="P902" s="147">
        <v>101</v>
      </c>
      <c r="Q902" s="156">
        <v>384</v>
      </c>
      <c r="R902" s="157">
        <v>0</v>
      </c>
      <c r="S902" s="158" t="s">
        <v>398</v>
      </c>
      <c r="T902" s="155" t="s">
        <v>661</v>
      </c>
      <c r="U902" s="163"/>
      <c r="V902" s="147"/>
    </row>
    <row r="903" spans="1:22">
      <c r="A903" s="159">
        <v>109</v>
      </c>
      <c r="B903" s="160">
        <v>2</v>
      </c>
      <c r="C903" s="160">
        <v>101</v>
      </c>
      <c r="D903" s="159">
        <v>193</v>
      </c>
      <c r="E903" s="159">
        <v>20</v>
      </c>
      <c r="F903" s="160">
        <v>2</v>
      </c>
      <c r="G903" s="161">
        <f t="shared" si="65"/>
        <v>5902</v>
      </c>
      <c r="H903" s="159">
        <f t="shared" si="66"/>
        <v>2</v>
      </c>
      <c r="I903" s="159">
        <f t="shared" si="67"/>
        <v>4825</v>
      </c>
      <c r="J903" s="147">
        <v>10</v>
      </c>
      <c r="K903" s="147">
        <v>1</v>
      </c>
      <c r="L903" s="147" t="s">
        <v>655</v>
      </c>
      <c r="M903" s="147">
        <v>29</v>
      </c>
      <c r="N903" s="147">
        <v>2</v>
      </c>
      <c r="O903" s="147" t="s">
        <v>656</v>
      </c>
      <c r="P903" s="147">
        <v>101</v>
      </c>
      <c r="Q903" s="156">
        <v>401</v>
      </c>
      <c r="R903" s="157">
        <v>0</v>
      </c>
      <c r="S903" s="158" t="s">
        <v>398</v>
      </c>
      <c r="T903" s="155" t="s">
        <v>661</v>
      </c>
      <c r="U903" s="163"/>
      <c r="V903" s="147"/>
    </row>
    <row r="904" spans="1:22">
      <c r="A904" s="159">
        <v>109</v>
      </c>
      <c r="B904" s="160">
        <v>3</v>
      </c>
      <c r="C904" s="160">
        <v>101</v>
      </c>
      <c r="D904" s="159">
        <v>289</v>
      </c>
      <c r="E904" s="159">
        <v>30</v>
      </c>
      <c r="F904" s="160">
        <v>2</v>
      </c>
      <c r="G904" s="161">
        <f t="shared" si="65"/>
        <v>5902</v>
      </c>
      <c r="H904" s="159">
        <f t="shared" si="66"/>
        <v>3</v>
      </c>
      <c r="I904" s="159">
        <f t="shared" si="67"/>
        <v>7225</v>
      </c>
      <c r="J904" s="147">
        <v>10</v>
      </c>
      <c r="K904" s="147">
        <v>1</v>
      </c>
      <c r="L904" s="147" t="s">
        <v>655</v>
      </c>
      <c r="M904" s="147">
        <v>29</v>
      </c>
      <c r="N904" s="147">
        <v>2</v>
      </c>
      <c r="O904" s="147" t="s">
        <v>656</v>
      </c>
      <c r="P904" s="147">
        <v>101</v>
      </c>
      <c r="Q904" s="156">
        <v>431</v>
      </c>
      <c r="R904" s="157">
        <v>0</v>
      </c>
      <c r="S904" s="158" t="s">
        <v>398</v>
      </c>
      <c r="T904" s="155" t="s">
        <v>661</v>
      </c>
      <c r="U904" s="163"/>
      <c r="V904" s="147"/>
    </row>
    <row r="905" spans="1:22">
      <c r="A905" s="159">
        <v>109</v>
      </c>
      <c r="B905" s="160">
        <v>4</v>
      </c>
      <c r="C905" s="160">
        <v>101</v>
      </c>
      <c r="D905" s="159">
        <v>385</v>
      </c>
      <c r="E905" s="159">
        <v>40</v>
      </c>
      <c r="F905" s="160">
        <v>3</v>
      </c>
      <c r="G905" s="161">
        <f t="shared" si="65"/>
        <v>5902</v>
      </c>
      <c r="H905" s="159">
        <f t="shared" si="66"/>
        <v>4</v>
      </c>
      <c r="I905" s="159">
        <f t="shared" si="67"/>
        <v>9625</v>
      </c>
      <c r="J905" s="147">
        <v>10</v>
      </c>
      <c r="K905" s="147">
        <v>1</v>
      </c>
      <c r="L905" s="147" t="s">
        <v>655</v>
      </c>
      <c r="M905" s="147">
        <v>29</v>
      </c>
      <c r="N905" s="147">
        <v>2</v>
      </c>
      <c r="O905" s="147" t="s">
        <v>656</v>
      </c>
      <c r="P905" s="147">
        <v>101</v>
      </c>
      <c r="Q905" s="156">
        <v>471</v>
      </c>
      <c r="R905" s="157">
        <v>0</v>
      </c>
      <c r="S905" s="158" t="s">
        <v>398</v>
      </c>
      <c r="T905" s="155" t="s">
        <v>661</v>
      </c>
      <c r="U905" s="163"/>
      <c r="V905" s="147"/>
    </row>
    <row r="906" spans="1:22">
      <c r="A906" s="159">
        <v>109</v>
      </c>
      <c r="B906" s="160">
        <v>5</v>
      </c>
      <c r="C906" s="160">
        <v>101</v>
      </c>
      <c r="D906" s="159">
        <v>481</v>
      </c>
      <c r="E906" s="159">
        <v>50</v>
      </c>
      <c r="F906" s="160">
        <v>3</v>
      </c>
      <c r="G906" s="161">
        <f t="shared" si="65"/>
        <v>5902</v>
      </c>
      <c r="H906" s="159">
        <f t="shared" si="66"/>
        <v>6</v>
      </c>
      <c r="I906" s="159">
        <f t="shared" si="67"/>
        <v>12025</v>
      </c>
      <c r="J906" s="147">
        <v>10</v>
      </c>
      <c r="K906" s="147">
        <v>1</v>
      </c>
      <c r="L906" s="147" t="s">
        <v>655</v>
      </c>
      <c r="M906" s="147">
        <v>29</v>
      </c>
      <c r="N906" s="147">
        <v>2</v>
      </c>
      <c r="O906" s="147" t="s">
        <v>656</v>
      </c>
      <c r="P906" s="147">
        <v>101</v>
      </c>
      <c r="Q906" s="156">
        <v>524</v>
      </c>
      <c r="R906" s="157">
        <v>0</v>
      </c>
      <c r="S906" s="158" t="s">
        <v>398</v>
      </c>
      <c r="T906" s="155" t="s">
        <v>661</v>
      </c>
      <c r="U906" s="163"/>
      <c r="V906" s="147"/>
    </row>
    <row r="907" spans="1:22">
      <c r="A907" s="159">
        <v>109</v>
      </c>
      <c r="B907" s="160">
        <v>6</v>
      </c>
      <c r="C907" s="160">
        <v>101</v>
      </c>
      <c r="D907" s="159">
        <v>577</v>
      </c>
      <c r="E907" s="159">
        <v>60</v>
      </c>
      <c r="F907" s="160">
        <v>4</v>
      </c>
      <c r="G907" s="161">
        <f t="shared" si="65"/>
        <v>5902</v>
      </c>
      <c r="H907" s="159">
        <f t="shared" si="66"/>
        <v>8</v>
      </c>
      <c r="I907" s="159">
        <f t="shared" si="67"/>
        <v>14425</v>
      </c>
      <c r="J907" s="147">
        <v>10</v>
      </c>
      <c r="K907" s="147">
        <v>1</v>
      </c>
      <c r="L907" s="147" t="s">
        <v>655</v>
      </c>
      <c r="M907" s="147">
        <v>29</v>
      </c>
      <c r="N907" s="147">
        <v>2</v>
      </c>
      <c r="O907" s="147" t="s">
        <v>656</v>
      </c>
      <c r="P907" s="147">
        <v>101</v>
      </c>
      <c r="Q907" s="156">
        <v>588</v>
      </c>
      <c r="R907" s="157">
        <v>0</v>
      </c>
      <c r="S907" s="158" t="s">
        <v>398</v>
      </c>
      <c r="T907" s="155" t="s">
        <v>661</v>
      </c>
      <c r="U907" s="163"/>
      <c r="V907" s="147"/>
    </row>
    <row r="908" spans="1:22">
      <c r="A908" s="159">
        <v>109</v>
      </c>
      <c r="B908" s="160">
        <v>7</v>
      </c>
      <c r="C908" s="160">
        <v>101</v>
      </c>
      <c r="D908" s="159">
        <v>673</v>
      </c>
      <c r="E908" s="159">
        <v>70</v>
      </c>
      <c r="F908" s="160">
        <v>4</v>
      </c>
      <c r="G908" s="161">
        <f t="shared" si="65"/>
        <v>5902</v>
      </c>
      <c r="H908" s="159">
        <f t="shared" si="66"/>
        <v>10</v>
      </c>
      <c r="I908" s="159">
        <f t="shared" si="67"/>
        <v>16825</v>
      </c>
      <c r="J908" s="147">
        <v>10</v>
      </c>
      <c r="K908" s="147">
        <v>1</v>
      </c>
      <c r="L908" s="147" t="s">
        <v>655</v>
      </c>
      <c r="M908" s="147">
        <v>29</v>
      </c>
      <c r="N908" s="147">
        <v>2</v>
      </c>
      <c r="O908" s="147" t="s">
        <v>656</v>
      </c>
      <c r="P908" s="147">
        <v>101</v>
      </c>
      <c r="Q908" s="156">
        <v>664</v>
      </c>
      <c r="R908" s="157">
        <v>0</v>
      </c>
      <c r="S908" s="158" t="s">
        <v>398</v>
      </c>
      <c r="T908" s="155" t="s">
        <v>661</v>
      </c>
      <c r="U908" s="163"/>
      <c r="V908" s="147"/>
    </row>
    <row r="909" spans="1:22">
      <c r="A909" s="159">
        <v>109</v>
      </c>
      <c r="B909" s="160">
        <v>8</v>
      </c>
      <c r="C909" s="160">
        <v>101</v>
      </c>
      <c r="D909" s="159">
        <v>769</v>
      </c>
      <c r="E909" s="159">
        <v>80</v>
      </c>
      <c r="F909" s="160">
        <v>5</v>
      </c>
      <c r="G909" s="161">
        <f t="shared" si="65"/>
        <v>5902</v>
      </c>
      <c r="H909" s="159">
        <f t="shared" si="66"/>
        <v>12</v>
      </c>
      <c r="I909" s="159">
        <f t="shared" si="67"/>
        <v>19225</v>
      </c>
      <c r="J909" s="147">
        <v>10</v>
      </c>
      <c r="K909" s="147">
        <v>1</v>
      </c>
      <c r="L909" s="147" t="s">
        <v>655</v>
      </c>
      <c r="M909" s="147">
        <v>29</v>
      </c>
      <c r="N909" s="147">
        <v>2</v>
      </c>
      <c r="O909" s="147" t="s">
        <v>656</v>
      </c>
      <c r="P909" s="147">
        <v>101</v>
      </c>
      <c r="Q909" s="156">
        <v>751</v>
      </c>
      <c r="R909" s="157">
        <v>0</v>
      </c>
      <c r="S909" s="158" t="s">
        <v>398</v>
      </c>
      <c r="T909" s="155" t="s">
        <v>661</v>
      </c>
      <c r="U909" s="163"/>
      <c r="V909" s="147"/>
    </row>
    <row r="910" spans="1:22">
      <c r="A910" s="159">
        <v>109</v>
      </c>
      <c r="B910" s="160">
        <v>9</v>
      </c>
      <c r="C910" s="160">
        <v>101</v>
      </c>
      <c r="D910" s="159">
        <v>865</v>
      </c>
      <c r="E910" s="159">
        <v>90</v>
      </c>
      <c r="F910" s="160">
        <v>5</v>
      </c>
      <c r="G910" s="161">
        <f t="shared" si="65"/>
        <v>5902</v>
      </c>
      <c r="H910" s="159">
        <f t="shared" si="66"/>
        <v>15</v>
      </c>
      <c r="I910" s="159">
        <f t="shared" si="67"/>
        <v>21625</v>
      </c>
      <c r="J910" s="147">
        <v>10</v>
      </c>
      <c r="K910" s="147">
        <v>1</v>
      </c>
      <c r="L910" s="147" t="s">
        <v>655</v>
      </c>
      <c r="M910" s="147">
        <v>29</v>
      </c>
      <c r="N910" s="147">
        <v>2</v>
      </c>
      <c r="O910" s="147" t="s">
        <v>656</v>
      </c>
      <c r="P910" s="147">
        <v>101</v>
      </c>
      <c r="Q910" s="156">
        <v>850</v>
      </c>
      <c r="R910" s="157">
        <v>0</v>
      </c>
      <c r="S910" s="158" t="s">
        <v>398</v>
      </c>
      <c r="T910" s="155" t="s">
        <v>661</v>
      </c>
      <c r="U910" s="163"/>
      <c r="V910" s="147"/>
    </row>
    <row r="911" spans="1:22">
      <c r="A911" s="159">
        <v>109</v>
      </c>
      <c r="B911" s="160">
        <v>10</v>
      </c>
      <c r="C911" s="160">
        <v>101</v>
      </c>
      <c r="D911" s="159">
        <v>961</v>
      </c>
      <c r="E911" s="159">
        <v>90</v>
      </c>
      <c r="F911" s="160">
        <v>6</v>
      </c>
      <c r="G911" s="161">
        <f t="shared" si="65"/>
        <v>5902</v>
      </c>
      <c r="H911" s="159">
        <f t="shared" si="66"/>
        <v>18</v>
      </c>
      <c r="I911" s="159">
        <f t="shared" si="67"/>
        <v>24025</v>
      </c>
      <c r="J911" s="147">
        <v>10</v>
      </c>
      <c r="K911" s="147">
        <v>1</v>
      </c>
      <c r="L911" s="147" t="s">
        <v>655</v>
      </c>
      <c r="M911" s="147">
        <v>29</v>
      </c>
      <c r="N911" s="147">
        <v>2</v>
      </c>
      <c r="O911" s="147" t="s">
        <v>656</v>
      </c>
      <c r="P911" s="147">
        <v>101</v>
      </c>
      <c r="Q911" s="156">
        <v>961</v>
      </c>
      <c r="R911" s="157">
        <v>0</v>
      </c>
      <c r="S911" s="158" t="s">
        <v>398</v>
      </c>
      <c r="T911" s="155" t="s">
        <v>661</v>
      </c>
      <c r="U911" s="163"/>
      <c r="V911" s="147"/>
    </row>
    <row r="912" spans="1:22">
      <c r="A912" s="166">
        <v>110</v>
      </c>
      <c r="B912" s="167">
        <v>1</v>
      </c>
      <c r="C912" s="167">
        <v>101</v>
      </c>
      <c r="D912" s="166">
        <v>83</v>
      </c>
      <c r="E912" s="166">
        <v>10</v>
      </c>
      <c r="F912" s="167">
        <v>1</v>
      </c>
      <c r="G912" s="168">
        <f t="shared" si="65"/>
        <v>5902</v>
      </c>
      <c r="H912" s="166">
        <f t="shared" si="66"/>
        <v>1</v>
      </c>
      <c r="I912" s="166">
        <f t="shared" si="67"/>
        <v>2075</v>
      </c>
      <c r="J912" s="147">
        <v>31</v>
      </c>
      <c r="K912" s="147">
        <v>3</v>
      </c>
      <c r="L912" s="147" t="s">
        <v>657</v>
      </c>
      <c r="M912" s="147">
        <v>29</v>
      </c>
      <c r="N912" s="147">
        <v>2</v>
      </c>
      <c r="O912" s="147" t="s">
        <v>656</v>
      </c>
      <c r="P912" s="147">
        <v>101</v>
      </c>
      <c r="Q912" s="156">
        <v>331</v>
      </c>
      <c r="R912" s="157">
        <v>0</v>
      </c>
      <c r="S912" s="158" t="s">
        <v>659</v>
      </c>
      <c r="T912" s="155" t="s">
        <v>661</v>
      </c>
      <c r="U912" s="163"/>
      <c r="V912" s="147"/>
    </row>
    <row r="913" spans="1:22">
      <c r="A913" s="166">
        <v>110</v>
      </c>
      <c r="B913" s="167">
        <v>2</v>
      </c>
      <c r="C913" s="167">
        <v>101</v>
      </c>
      <c r="D913" s="166">
        <v>166</v>
      </c>
      <c r="E913" s="166">
        <v>20</v>
      </c>
      <c r="F913" s="167">
        <v>2</v>
      </c>
      <c r="G913" s="168">
        <f t="shared" si="65"/>
        <v>5902</v>
      </c>
      <c r="H913" s="166">
        <f t="shared" si="66"/>
        <v>2</v>
      </c>
      <c r="I913" s="166">
        <f t="shared" si="67"/>
        <v>4150</v>
      </c>
      <c r="J913" s="147">
        <v>31</v>
      </c>
      <c r="K913" s="147">
        <v>3</v>
      </c>
      <c r="L913" s="147" t="s">
        <v>657</v>
      </c>
      <c r="M913" s="147">
        <v>29</v>
      </c>
      <c r="N913" s="147">
        <v>2</v>
      </c>
      <c r="O913" s="147" t="s">
        <v>656</v>
      </c>
      <c r="P913" s="147">
        <v>101</v>
      </c>
      <c r="Q913" s="156">
        <v>347</v>
      </c>
      <c r="R913" s="157">
        <v>0</v>
      </c>
      <c r="S913" s="158" t="s">
        <v>659</v>
      </c>
      <c r="T913" s="155" t="s">
        <v>661</v>
      </c>
      <c r="U913" s="163"/>
      <c r="V913" s="147"/>
    </row>
    <row r="914" spans="1:22">
      <c r="A914" s="166">
        <v>110</v>
      </c>
      <c r="B914" s="167">
        <v>3</v>
      </c>
      <c r="C914" s="167">
        <v>101</v>
      </c>
      <c r="D914" s="166">
        <v>249</v>
      </c>
      <c r="E914" s="166">
        <v>30</v>
      </c>
      <c r="F914" s="167">
        <v>2</v>
      </c>
      <c r="G914" s="168">
        <f t="shared" si="65"/>
        <v>5902</v>
      </c>
      <c r="H914" s="166">
        <f t="shared" si="66"/>
        <v>3</v>
      </c>
      <c r="I914" s="166">
        <f t="shared" si="67"/>
        <v>6225</v>
      </c>
      <c r="J914" s="147">
        <v>31</v>
      </c>
      <c r="K914" s="147">
        <v>3</v>
      </c>
      <c r="L914" s="147" t="s">
        <v>657</v>
      </c>
      <c r="M914" s="147">
        <v>29</v>
      </c>
      <c r="N914" s="147">
        <v>2</v>
      </c>
      <c r="O914" s="147" t="s">
        <v>656</v>
      </c>
      <c r="P914" s="147">
        <v>101</v>
      </c>
      <c r="Q914" s="156">
        <v>372</v>
      </c>
      <c r="R914" s="157">
        <v>0</v>
      </c>
      <c r="S914" s="158" t="s">
        <v>659</v>
      </c>
      <c r="T914" s="155" t="s">
        <v>661</v>
      </c>
      <c r="U914" s="163"/>
      <c r="V914" s="147"/>
    </row>
    <row r="915" spans="1:22">
      <c r="A915" s="166">
        <v>110</v>
      </c>
      <c r="B915" s="167">
        <v>4</v>
      </c>
      <c r="C915" s="167">
        <v>101</v>
      </c>
      <c r="D915" s="166">
        <v>332</v>
      </c>
      <c r="E915" s="166">
        <v>40</v>
      </c>
      <c r="F915" s="167">
        <v>3</v>
      </c>
      <c r="G915" s="168">
        <f t="shared" si="65"/>
        <v>5902</v>
      </c>
      <c r="H915" s="166">
        <f t="shared" si="66"/>
        <v>4</v>
      </c>
      <c r="I915" s="166">
        <f t="shared" si="67"/>
        <v>8300</v>
      </c>
      <c r="J915" s="147">
        <v>31</v>
      </c>
      <c r="K915" s="147">
        <v>3</v>
      </c>
      <c r="L915" s="147" t="s">
        <v>657</v>
      </c>
      <c r="M915" s="147">
        <v>29</v>
      </c>
      <c r="N915" s="147">
        <v>2</v>
      </c>
      <c r="O915" s="147" t="s">
        <v>656</v>
      </c>
      <c r="P915" s="147">
        <v>101</v>
      </c>
      <c r="Q915" s="156">
        <v>407</v>
      </c>
      <c r="R915" s="157">
        <v>0</v>
      </c>
      <c r="S915" s="158" t="s">
        <v>659</v>
      </c>
      <c r="T915" s="155" t="s">
        <v>661</v>
      </c>
      <c r="U915" s="163"/>
      <c r="V915" s="147"/>
    </row>
    <row r="916" spans="1:22">
      <c r="A916" s="166">
        <v>110</v>
      </c>
      <c r="B916" s="167">
        <v>5</v>
      </c>
      <c r="C916" s="167">
        <v>101</v>
      </c>
      <c r="D916" s="166">
        <v>415</v>
      </c>
      <c r="E916" s="166">
        <v>50</v>
      </c>
      <c r="F916" s="167">
        <v>3</v>
      </c>
      <c r="G916" s="168">
        <f t="shared" si="65"/>
        <v>5902</v>
      </c>
      <c r="H916" s="166">
        <f t="shared" si="66"/>
        <v>6</v>
      </c>
      <c r="I916" s="166">
        <f t="shared" si="67"/>
        <v>10375</v>
      </c>
      <c r="J916" s="147">
        <v>31</v>
      </c>
      <c r="K916" s="147">
        <v>3</v>
      </c>
      <c r="L916" s="147" t="s">
        <v>657</v>
      </c>
      <c r="M916" s="147">
        <v>29</v>
      </c>
      <c r="N916" s="147">
        <v>2</v>
      </c>
      <c r="O916" s="147" t="s">
        <v>656</v>
      </c>
      <c r="P916" s="147">
        <v>101</v>
      </c>
      <c r="Q916" s="156">
        <v>452</v>
      </c>
      <c r="R916" s="157">
        <v>0</v>
      </c>
      <c r="S916" s="158" t="s">
        <v>659</v>
      </c>
      <c r="T916" s="155" t="s">
        <v>661</v>
      </c>
      <c r="U916" s="163"/>
      <c r="V916" s="147"/>
    </row>
    <row r="917" spans="1:22">
      <c r="A917" s="166">
        <v>110</v>
      </c>
      <c r="B917" s="167">
        <v>6</v>
      </c>
      <c r="C917" s="167">
        <v>101</v>
      </c>
      <c r="D917" s="166">
        <v>498</v>
      </c>
      <c r="E917" s="166">
        <v>60</v>
      </c>
      <c r="F917" s="167">
        <v>4</v>
      </c>
      <c r="G917" s="168">
        <f t="shared" si="65"/>
        <v>5902</v>
      </c>
      <c r="H917" s="166">
        <f t="shared" si="66"/>
        <v>8</v>
      </c>
      <c r="I917" s="166">
        <f t="shared" si="67"/>
        <v>12450</v>
      </c>
      <c r="J917" s="147">
        <v>31</v>
      </c>
      <c r="K917" s="147">
        <v>3</v>
      </c>
      <c r="L917" s="147" t="s">
        <v>657</v>
      </c>
      <c r="M917" s="147">
        <v>29</v>
      </c>
      <c r="N917" s="147">
        <v>2</v>
      </c>
      <c r="O917" s="147" t="s">
        <v>656</v>
      </c>
      <c r="P917" s="147">
        <v>101</v>
      </c>
      <c r="Q917" s="156">
        <v>507</v>
      </c>
      <c r="R917" s="157">
        <v>0</v>
      </c>
      <c r="S917" s="158" t="s">
        <v>659</v>
      </c>
      <c r="T917" s="155" t="s">
        <v>661</v>
      </c>
      <c r="U917" s="163"/>
      <c r="V917" s="147"/>
    </row>
    <row r="918" spans="1:22">
      <c r="A918" s="166">
        <v>110</v>
      </c>
      <c r="B918" s="167">
        <v>7</v>
      </c>
      <c r="C918" s="167">
        <v>101</v>
      </c>
      <c r="D918" s="166">
        <v>581</v>
      </c>
      <c r="E918" s="166">
        <v>70</v>
      </c>
      <c r="F918" s="167">
        <v>4</v>
      </c>
      <c r="G918" s="168">
        <f t="shared" si="65"/>
        <v>5902</v>
      </c>
      <c r="H918" s="166">
        <f t="shared" si="66"/>
        <v>10</v>
      </c>
      <c r="I918" s="166">
        <f t="shared" si="67"/>
        <v>14525</v>
      </c>
      <c r="J918" s="147">
        <v>31</v>
      </c>
      <c r="K918" s="147">
        <v>3</v>
      </c>
      <c r="L918" s="147" t="s">
        <v>657</v>
      </c>
      <c r="M918" s="147">
        <v>29</v>
      </c>
      <c r="N918" s="147">
        <v>2</v>
      </c>
      <c r="O918" s="147" t="s">
        <v>656</v>
      </c>
      <c r="P918" s="147">
        <v>101</v>
      </c>
      <c r="Q918" s="156">
        <v>573</v>
      </c>
      <c r="R918" s="157">
        <v>0</v>
      </c>
      <c r="S918" s="158" t="s">
        <v>659</v>
      </c>
      <c r="T918" s="155" t="s">
        <v>661</v>
      </c>
      <c r="U918" s="163"/>
      <c r="V918" s="147"/>
    </row>
    <row r="919" spans="1:22">
      <c r="A919" s="166">
        <v>110</v>
      </c>
      <c r="B919" s="167">
        <v>8</v>
      </c>
      <c r="C919" s="167">
        <v>101</v>
      </c>
      <c r="D919" s="166">
        <v>664</v>
      </c>
      <c r="E919" s="166">
        <v>80</v>
      </c>
      <c r="F919" s="167">
        <v>5</v>
      </c>
      <c r="G919" s="168">
        <f t="shared" si="65"/>
        <v>5902</v>
      </c>
      <c r="H919" s="166">
        <f t="shared" si="66"/>
        <v>12</v>
      </c>
      <c r="I919" s="166">
        <f t="shared" si="67"/>
        <v>16600</v>
      </c>
      <c r="J919" s="147">
        <v>31</v>
      </c>
      <c r="K919" s="147">
        <v>3</v>
      </c>
      <c r="L919" s="147" t="s">
        <v>657</v>
      </c>
      <c r="M919" s="147">
        <v>29</v>
      </c>
      <c r="N919" s="147">
        <v>2</v>
      </c>
      <c r="O919" s="147" t="s">
        <v>656</v>
      </c>
      <c r="P919" s="147">
        <v>101</v>
      </c>
      <c r="Q919" s="156">
        <v>648</v>
      </c>
      <c r="R919" s="157">
        <v>0</v>
      </c>
      <c r="S919" s="158" t="s">
        <v>659</v>
      </c>
      <c r="T919" s="155" t="s">
        <v>661</v>
      </c>
      <c r="U919" s="163"/>
      <c r="V919" s="147"/>
    </row>
    <row r="920" spans="1:22">
      <c r="A920" s="166">
        <v>110</v>
      </c>
      <c r="B920" s="167">
        <v>9</v>
      </c>
      <c r="C920" s="167">
        <v>101</v>
      </c>
      <c r="D920" s="166">
        <v>747</v>
      </c>
      <c r="E920" s="166">
        <v>90</v>
      </c>
      <c r="F920" s="167">
        <v>5</v>
      </c>
      <c r="G920" s="168">
        <f t="shared" si="65"/>
        <v>5902</v>
      </c>
      <c r="H920" s="166">
        <f t="shared" si="66"/>
        <v>15</v>
      </c>
      <c r="I920" s="166">
        <f t="shared" si="67"/>
        <v>18675</v>
      </c>
      <c r="J920" s="147">
        <v>31</v>
      </c>
      <c r="K920" s="147">
        <v>3</v>
      </c>
      <c r="L920" s="147" t="s">
        <v>657</v>
      </c>
      <c r="M920" s="147">
        <v>29</v>
      </c>
      <c r="N920" s="147">
        <v>2</v>
      </c>
      <c r="O920" s="147" t="s">
        <v>656</v>
      </c>
      <c r="P920" s="147">
        <v>101</v>
      </c>
      <c r="Q920" s="156">
        <v>734</v>
      </c>
      <c r="R920" s="157">
        <v>0</v>
      </c>
      <c r="S920" s="158" t="s">
        <v>659</v>
      </c>
      <c r="T920" s="155" t="s">
        <v>661</v>
      </c>
      <c r="U920" s="163"/>
      <c r="V920" s="147"/>
    </row>
    <row r="921" spans="1:22">
      <c r="A921" s="166">
        <v>110</v>
      </c>
      <c r="B921" s="167">
        <v>10</v>
      </c>
      <c r="C921" s="167">
        <v>101</v>
      </c>
      <c r="D921" s="166">
        <v>829</v>
      </c>
      <c r="E921" s="166">
        <v>90</v>
      </c>
      <c r="F921" s="167">
        <v>6</v>
      </c>
      <c r="G921" s="168">
        <f t="shared" si="65"/>
        <v>5902</v>
      </c>
      <c r="H921" s="166">
        <f t="shared" si="66"/>
        <v>18</v>
      </c>
      <c r="I921" s="166">
        <f t="shared" si="67"/>
        <v>20725</v>
      </c>
      <c r="J921" s="147">
        <v>31</v>
      </c>
      <c r="K921" s="147">
        <v>3</v>
      </c>
      <c r="L921" s="147" t="s">
        <v>657</v>
      </c>
      <c r="M921" s="147">
        <v>29</v>
      </c>
      <c r="N921" s="147">
        <v>2</v>
      </c>
      <c r="O921" s="147" t="s">
        <v>656</v>
      </c>
      <c r="P921" s="147">
        <v>101</v>
      </c>
      <c r="Q921" s="156">
        <v>829</v>
      </c>
      <c r="R921" s="157">
        <v>0</v>
      </c>
      <c r="S921" s="158" t="s">
        <v>659</v>
      </c>
      <c r="T921" s="155" t="s">
        <v>661</v>
      </c>
      <c r="U921" s="163"/>
      <c r="V921" s="147"/>
    </row>
  </sheetData>
  <autoFilter ref="A1:T921"/>
  <phoneticPr fontId="1" type="noConversion"/>
  <conditionalFormatting sqref="AE14:AE40">
    <cfRule type="dataBar" priority="2">
      <dataBar>
        <cfvo type="min" val="0"/>
        <cfvo type="max" val="0"/>
        <color rgb="FF638EC6"/>
      </dataBar>
      <extLst xmlns:x14="http://schemas.microsoft.com/office/spreadsheetml/2009/9/main">
        <ext uri="{B025F937-C7B1-47D3-B67F-A62EFF666E3E}">
          <x14:id>{9A2D4843-FC15-48DD-958E-31BB69CB2E06}</x14:id>
        </ext>
      </extLst>
    </cfRule>
  </conditionalFormatting>
  <conditionalFormatting sqref="AE14:AE40">
    <cfRule type="dataBar" priority="1">
      <dataBar>
        <cfvo type="min" val="0"/>
        <cfvo type="max" val="0"/>
        <color rgb="FF638EC6"/>
      </dataBar>
    </cfRule>
  </conditionalFormatting>
  <pageMargins left="0.7" right="0.7" top="0.75" bottom="0.75" header="0.3" footer="0.3"/>
  <legacyDrawing r:id="rId1"/>
  <extLst xmlns:x14="http://schemas.microsoft.com/office/spreadsheetml/2009/9/main">
    <ext uri="{78C0D931-6437-407d-A8EE-F0AAD7539E65}">
      <x14:conditionalFormattings>
        <x14:conditionalFormatting xmlns:xm="http://schemas.microsoft.com/office/excel/2006/main">
          <x14:cfRule type="dataBar" id="{9A2D4843-FC15-48DD-958E-31BB69CB2E0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AE14:AE40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3"/>
  <dimension ref="A1:G10"/>
  <sheetViews>
    <sheetView workbookViewId="0">
      <selection activeCell="G9" sqref="G9:G10"/>
    </sheetView>
  </sheetViews>
  <sheetFormatPr defaultRowHeight="13.5"/>
  <cols>
    <col min="1" max="1" width="28.25" bestFit="1" customWidth="1"/>
    <col min="2" max="2" width="17.25" bestFit="1" customWidth="1"/>
    <col min="3" max="6" width="2.5" bestFit="1" customWidth="1"/>
    <col min="7" max="7" width="11.625" bestFit="1" customWidth="1"/>
  </cols>
  <sheetData>
    <row r="1" spans="1:7">
      <c r="A1" s="16">
        <v>1</v>
      </c>
      <c r="B1" s="16">
        <v>2</v>
      </c>
      <c r="C1" s="16">
        <v>3</v>
      </c>
      <c r="D1" s="16">
        <v>4</v>
      </c>
      <c r="E1" s="16">
        <v>5</v>
      </c>
      <c r="F1" s="16">
        <v>6</v>
      </c>
      <c r="G1" s="16">
        <v>7</v>
      </c>
    </row>
    <row r="2" spans="1:7">
      <c r="A2" t="s">
        <v>291</v>
      </c>
      <c r="B2" t="s">
        <v>291</v>
      </c>
      <c r="C2" s="16"/>
      <c r="D2" s="16"/>
      <c r="E2" s="16"/>
      <c r="F2" s="16"/>
      <c r="G2" s="16" t="s">
        <v>3</v>
      </c>
    </row>
    <row r="3" spans="1:7">
      <c r="A3" t="s">
        <v>299</v>
      </c>
      <c r="B3" t="s">
        <v>292</v>
      </c>
      <c r="C3" s="16"/>
      <c r="D3" s="16"/>
      <c r="E3" s="16"/>
      <c r="F3" s="16"/>
      <c r="G3" s="16" t="s">
        <v>3</v>
      </c>
    </row>
    <row r="4" spans="1:7">
      <c r="A4" t="s">
        <v>300</v>
      </c>
      <c r="B4" t="s">
        <v>293</v>
      </c>
      <c r="C4" s="16"/>
      <c r="D4" s="16"/>
      <c r="E4" s="16"/>
      <c r="F4" s="16"/>
      <c r="G4" s="16" t="s">
        <v>3</v>
      </c>
    </row>
    <row r="5" spans="1:7">
      <c r="A5" t="s">
        <v>297</v>
      </c>
      <c r="B5" s="16"/>
      <c r="C5" s="16"/>
      <c r="D5" s="16"/>
      <c r="E5" s="16"/>
      <c r="F5" s="16"/>
      <c r="G5" s="16" t="s">
        <v>8</v>
      </c>
    </row>
    <row r="6" spans="1:7">
      <c r="A6" t="s">
        <v>295</v>
      </c>
      <c r="B6" s="16"/>
      <c r="C6" s="16"/>
      <c r="D6" s="16"/>
      <c r="E6" s="16"/>
      <c r="F6" s="16"/>
      <c r="G6" s="16" t="s">
        <v>4</v>
      </c>
    </row>
    <row r="7" spans="1:7">
      <c r="A7" s="40" t="s">
        <v>296</v>
      </c>
      <c r="B7" s="40"/>
      <c r="C7" s="40"/>
      <c r="D7" s="40"/>
      <c r="E7" s="40"/>
      <c r="F7" s="40"/>
      <c r="G7" s="40" t="s">
        <v>32</v>
      </c>
    </row>
    <row r="8" spans="1:7">
      <c r="A8" t="s">
        <v>313</v>
      </c>
      <c r="B8" t="s">
        <v>314</v>
      </c>
      <c r="G8" s="8" t="s">
        <v>10</v>
      </c>
    </row>
    <row r="9" spans="1:7">
      <c r="A9" s="15" t="s">
        <v>477</v>
      </c>
      <c r="B9" s="15" t="s">
        <v>477</v>
      </c>
      <c r="G9" s="16" t="s">
        <v>3</v>
      </c>
    </row>
    <row r="10" spans="1:7">
      <c r="A10" s="15" t="s">
        <v>478</v>
      </c>
      <c r="B10" s="15" t="s">
        <v>478</v>
      </c>
      <c r="G10" s="16" t="s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1:R19"/>
  <sheetViews>
    <sheetView workbookViewId="0">
      <selection activeCell="E1" sqref="A1:E1048576"/>
    </sheetView>
  </sheetViews>
  <sheetFormatPr defaultRowHeight="13.5"/>
  <cols>
    <col min="1" max="1" width="9" style="15"/>
    <col min="2" max="2" width="17.25" style="15" bestFit="1" customWidth="1"/>
    <col min="3" max="3" width="10.5" style="15" bestFit="1" customWidth="1"/>
    <col min="4" max="4" width="10.5" style="15" customWidth="1"/>
    <col min="5" max="16384" width="9" style="15"/>
  </cols>
  <sheetData>
    <row r="1" spans="1:18">
      <c r="A1" s="15" t="s">
        <v>291</v>
      </c>
      <c r="B1" s="15" t="s">
        <v>298</v>
      </c>
      <c r="C1" s="15" t="s">
        <v>293</v>
      </c>
      <c r="D1" s="15" t="s">
        <v>477</v>
      </c>
      <c r="E1" s="15" t="s">
        <v>478</v>
      </c>
      <c r="I1" s="42"/>
    </row>
    <row r="2" spans="1:18">
      <c r="A2" s="15">
        <v>1</v>
      </c>
      <c r="B2" s="15">
        <v>1</v>
      </c>
      <c r="C2" s="42">
        <v>1</v>
      </c>
      <c r="D2" s="42">
        <v>1</v>
      </c>
      <c r="E2" s="42">
        <v>0</v>
      </c>
      <c r="G2" s="15" t="s">
        <v>436</v>
      </c>
      <c r="I2" s="44">
        <f>Q4+Q5+Q6</f>
        <v>0</v>
      </c>
      <c r="P2" s="15" t="s">
        <v>446</v>
      </c>
      <c r="R2" s="42">
        <v>100</v>
      </c>
    </row>
    <row r="3" spans="1:18">
      <c r="A3" s="15">
        <v>2</v>
      </c>
      <c r="B3" s="15">
        <v>1</v>
      </c>
      <c r="C3" s="42">
        <v>2</v>
      </c>
      <c r="D3" s="42">
        <v>1</v>
      </c>
      <c r="E3" s="42">
        <v>0</v>
      </c>
      <c r="G3" s="15" t="s">
        <v>437</v>
      </c>
      <c r="I3" s="42" t="e">
        <f>(SUM(filiationLevel!R:R)+SUM(Entourage!#REF!)/COUNTIF(Entourage!#REF!,"&gt;0")*6)/10</f>
        <v>#REF!</v>
      </c>
    </row>
    <row r="4" spans="1:18">
      <c r="A4" s="15">
        <v>3</v>
      </c>
      <c r="B4" s="15">
        <v>1</v>
      </c>
      <c r="C4" s="42">
        <v>3</v>
      </c>
      <c r="D4" s="42">
        <v>1</v>
      </c>
      <c r="E4" s="42">
        <v>0</v>
      </c>
      <c r="G4" s="15" t="s">
        <v>438</v>
      </c>
      <c r="M4" s="15">
        <v>1</v>
      </c>
      <c r="N4" s="15">
        <v>101</v>
      </c>
      <c r="O4" s="42">
        <f>SUMIF(filiationLevel!AF:AF,soulLinkConfig!M4,filiationLevel!AE:AE)</f>
        <v>0</v>
      </c>
      <c r="P4" s="42">
        <f>COUNTIF(filiationLevel!AF:AF,soulLinkConfig!M4)</f>
        <v>1</v>
      </c>
      <c r="Q4" s="44">
        <f>O4/P4/R$2*10*3/1</f>
        <v>0</v>
      </c>
    </row>
    <row r="5" spans="1:18">
      <c r="A5" s="15">
        <v>4</v>
      </c>
      <c r="B5" s="15">
        <v>1</v>
      </c>
      <c r="C5" s="42">
        <v>4</v>
      </c>
      <c r="D5" s="42">
        <v>1</v>
      </c>
      <c r="E5" s="42">
        <v>0</v>
      </c>
      <c r="G5" s="15" t="s">
        <v>439</v>
      </c>
      <c r="I5" s="43" t="e">
        <f>I2/I3</f>
        <v>#REF!</v>
      </c>
      <c r="M5" s="15">
        <v>2</v>
      </c>
      <c r="N5" s="15">
        <v>102</v>
      </c>
      <c r="O5" s="42">
        <f>SUMIF(filiationLevel!AF:AF,soulLinkConfig!M5,filiationLevel!AE:AE)</f>
        <v>0</v>
      </c>
      <c r="P5" s="42">
        <f>COUNTIF(filiationLevel!AF:AF,soulLinkConfig!M5)</f>
        <v>1</v>
      </c>
      <c r="Q5" s="44">
        <f t="shared" ref="Q5:Q6" si="0">O5/P5/R$2*10*3/1</f>
        <v>0</v>
      </c>
    </row>
    <row r="6" spans="1:18">
      <c r="A6" s="15">
        <v>5</v>
      </c>
      <c r="B6" s="15">
        <v>1</v>
      </c>
      <c r="C6" s="42">
        <v>5</v>
      </c>
      <c r="D6" s="42">
        <v>1</v>
      </c>
      <c r="E6" s="42">
        <v>0</v>
      </c>
      <c r="I6" s="42"/>
      <c r="M6" s="15">
        <v>3</v>
      </c>
      <c r="N6" s="15">
        <v>104</v>
      </c>
      <c r="O6" s="42">
        <f>SUMIF(filiationLevel!AF:AF,soulLinkConfig!M6,filiationLevel!AE:AE)</f>
        <v>0</v>
      </c>
      <c r="P6" s="42">
        <f>COUNTIF(filiationLevel!AF:AF,soulLinkConfig!M6)</f>
        <v>1</v>
      </c>
      <c r="Q6" s="44">
        <f t="shared" si="0"/>
        <v>0</v>
      </c>
    </row>
    <row r="7" spans="1:18">
      <c r="A7" s="15">
        <v>6</v>
      </c>
      <c r="B7" s="15">
        <v>2</v>
      </c>
      <c r="C7" s="47" t="s">
        <v>505</v>
      </c>
      <c r="D7" s="42">
        <v>1</v>
      </c>
      <c r="E7" s="42">
        <v>0</v>
      </c>
      <c r="I7" s="42"/>
      <c r="Q7" s="42"/>
    </row>
    <row r="8" spans="1:18">
      <c r="A8" s="15">
        <v>7</v>
      </c>
      <c r="B8" s="15">
        <v>5938</v>
      </c>
      <c r="C8" s="42">
        <v>1</v>
      </c>
      <c r="D8" s="42">
        <v>2</v>
      </c>
      <c r="E8" s="42">
        <v>0</v>
      </c>
      <c r="G8" s="42">
        <f>500*C8</f>
        <v>500</v>
      </c>
      <c r="I8" s="42"/>
    </row>
    <row r="9" spans="1:18">
      <c r="A9" s="15">
        <v>8</v>
      </c>
      <c r="B9" s="15">
        <v>5938</v>
      </c>
      <c r="C9" s="42">
        <v>5</v>
      </c>
      <c r="D9" s="42">
        <v>2</v>
      </c>
      <c r="E9" s="42">
        <v>7</v>
      </c>
      <c r="G9" s="42">
        <f t="shared" ref="G9:G19" si="1">500*C9</f>
        <v>2500</v>
      </c>
      <c r="I9" s="42"/>
    </row>
    <row r="10" spans="1:18">
      <c r="A10" s="15">
        <v>9</v>
      </c>
      <c r="B10" s="15">
        <v>5938</v>
      </c>
      <c r="C10" s="42">
        <v>25</v>
      </c>
      <c r="D10" s="42">
        <v>2</v>
      </c>
      <c r="E10" s="42">
        <v>8</v>
      </c>
      <c r="G10" s="42">
        <f t="shared" si="1"/>
        <v>12500</v>
      </c>
      <c r="I10" s="42"/>
    </row>
    <row r="11" spans="1:18">
      <c r="A11" s="15">
        <v>10</v>
      </c>
      <c r="B11" s="15">
        <v>5938</v>
      </c>
      <c r="C11" s="42">
        <v>50</v>
      </c>
      <c r="D11" s="42">
        <v>2</v>
      </c>
      <c r="E11" s="42">
        <v>9</v>
      </c>
      <c r="G11" s="42">
        <f t="shared" si="1"/>
        <v>25000</v>
      </c>
      <c r="I11" s="42"/>
    </row>
    <row r="12" spans="1:18">
      <c r="A12" s="15">
        <v>11</v>
      </c>
      <c r="B12" s="15">
        <v>5938</v>
      </c>
      <c r="C12" s="42">
        <v>75</v>
      </c>
      <c r="D12" s="42">
        <v>2</v>
      </c>
      <c r="E12" s="42">
        <v>10</v>
      </c>
      <c r="G12" s="42">
        <f t="shared" si="1"/>
        <v>37500</v>
      </c>
      <c r="I12" s="42"/>
    </row>
    <row r="13" spans="1:18">
      <c r="A13" s="15">
        <v>12</v>
      </c>
      <c r="B13" s="15">
        <v>5938</v>
      </c>
      <c r="C13" s="42">
        <v>100</v>
      </c>
      <c r="D13" s="42">
        <v>2</v>
      </c>
      <c r="E13" s="42">
        <v>11</v>
      </c>
      <c r="G13" s="42">
        <f t="shared" si="1"/>
        <v>50000</v>
      </c>
      <c r="I13" s="42"/>
    </row>
    <row r="14" spans="1:18">
      <c r="A14" s="15">
        <v>13</v>
      </c>
      <c r="B14" s="15">
        <v>5938</v>
      </c>
      <c r="C14" s="42">
        <v>125</v>
      </c>
      <c r="D14" s="42">
        <v>3</v>
      </c>
      <c r="E14" s="42">
        <v>12</v>
      </c>
      <c r="G14" s="42">
        <f t="shared" si="1"/>
        <v>62500</v>
      </c>
      <c r="I14" s="42"/>
    </row>
    <row r="15" spans="1:18">
      <c r="A15" s="15">
        <v>14</v>
      </c>
      <c r="B15" s="15">
        <v>5938</v>
      </c>
      <c r="C15" s="42">
        <v>150</v>
      </c>
      <c r="D15" s="42">
        <v>3</v>
      </c>
      <c r="E15" s="42">
        <v>13</v>
      </c>
      <c r="G15" s="42">
        <f t="shared" si="1"/>
        <v>75000</v>
      </c>
      <c r="I15" s="42"/>
    </row>
    <row r="16" spans="1:18">
      <c r="A16" s="15">
        <v>15</v>
      </c>
      <c r="B16" s="15">
        <v>5938</v>
      </c>
      <c r="C16" s="42">
        <v>175</v>
      </c>
      <c r="D16" s="42">
        <v>3</v>
      </c>
      <c r="E16" s="42">
        <v>14</v>
      </c>
      <c r="G16" s="42">
        <f t="shared" si="1"/>
        <v>87500</v>
      </c>
      <c r="I16" s="42"/>
    </row>
    <row r="17" spans="1:9">
      <c r="A17" s="15">
        <v>16</v>
      </c>
      <c r="B17" s="15">
        <v>5938</v>
      </c>
      <c r="C17" s="42">
        <v>200</v>
      </c>
      <c r="D17" s="42">
        <v>3</v>
      </c>
      <c r="E17" s="42">
        <v>15</v>
      </c>
      <c r="G17" s="42">
        <f t="shared" si="1"/>
        <v>100000</v>
      </c>
      <c r="I17" s="42"/>
    </row>
    <row r="18" spans="1:9">
      <c r="A18" s="15">
        <v>17</v>
      </c>
      <c r="B18" s="15">
        <v>5938</v>
      </c>
      <c r="C18" s="42">
        <v>225</v>
      </c>
      <c r="D18" s="42">
        <v>3</v>
      </c>
      <c r="E18" s="42">
        <v>16</v>
      </c>
      <c r="G18" s="42">
        <f t="shared" si="1"/>
        <v>112500</v>
      </c>
      <c r="I18" s="42"/>
    </row>
    <row r="19" spans="1:9">
      <c r="A19" s="15">
        <v>18</v>
      </c>
      <c r="B19" s="15">
        <v>5938</v>
      </c>
      <c r="C19" s="42">
        <v>250</v>
      </c>
      <c r="D19" s="42">
        <v>3</v>
      </c>
      <c r="E19" s="42">
        <v>17</v>
      </c>
      <c r="G19" s="42">
        <f t="shared" si="1"/>
        <v>125000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C7"/>
  <sheetViews>
    <sheetView workbookViewId="0">
      <selection activeCell="L24" sqref="L24"/>
    </sheetView>
  </sheetViews>
  <sheetFormatPr defaultRowHeight="13.5"/>
  <cols>
    <col min="1" max="16384" width="9" style="15"/>
  </cols>
  <sheetData>
    <row r="1" spans="1:3">
      <c r="A1" s="15" t="s">
        <v>40</v>
      </c>
      <c r="B1" s="15" t="s">
        <v>52</v>
      </c>
      <c r="C1" s="15" t="s">
        <v>713</v>
      </c>
    </row>
    <row r="2" spans="1:3">
      <c r="A2" s="15">
        <v>1</v>
      </c>
      <c r="B2" s="15">
        <v>5015</v>
      </c>
      <c r="C2" s="15">
        <v>1</v>
      </c>
    </row>
    <row r="3" spans="1:3">
      <c r="A3" s="15">
        <v>2</v>
      </c>
      <c r="B3" s="15">
        <v>5015</v>
      </c>
      <c r="C3" s="15">
        <v>2</v>
      </c>
    </row>
    <row r="4" spans="1:3">
      <c r="A4" s="15">
        <v>3</v>
      </c>
      <c r="B4" s="15">
        <v>5015</v>
      </c>
      <c r="C4" s="15">
        <v>3</v>
      </c>
    </row>
    <row r="5" spans="1:3">
      <c r="A5" s="15">
        <v>4</v>
      </c>
      <c r="B5" s="15">
        <v>5015</v>
      </c>
      <c r="C5" s="15">
        <v>4</v>
      </c>
    </row>
    <row r="6" spans="1:3">
      <c r="A6" s="15">
        <v>5</v>
      </c>
      <c r="B6" s="15">
        <v>5015</v>
      </c>
      <c r="C6" s="15">
        <v>5</v>
      </c>
    </row>
    <row r="7" spans="1:3">
      <c r="A7" s="15">
        <v>6</v>
      </c>
      <c r="B7" s="15">
        <v>5015</v>
      </c>
      <c r="C7" s="15">
        <v>6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sconfig</vt:lpstr>
      <vt:lpstr>Entourage</vt:lpstr>
      <vt:lpstr>sconfig1</vt:lpstr>
      <vt:lpstr>EntourageExp</vt:lpstr>
      <vt:lpstr>draft_all</vt:lpstr>
      <vt:lpstr>字段说明</vt:lpstr>
      <vt:lpstr>EntourageTalk</vt:lpstr>
      <vt:lpstr>sconfig2</vt:lpstr>
      <vt:lpstr>filiation</vt:lpstr>
      <vt:lpstr>sconfig3</vt:lpstr>
      <vt:lpstr>filiationLevel</vt:lpstr>
      <vt:lpstr>sconfig4</vt:lpstr>
      <vt:lpstr>soulLinkConfig</vt:lpstr>
      <vt:lpstr>exchange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2006-09-13T11:21:51Z</dcterms:created>
  <dcterms:modified xsi:type="dcterms:W3CDTF">2018-01-30T09:26:39Z</dcterms:modified>
</cp:coreProperties>
</file>