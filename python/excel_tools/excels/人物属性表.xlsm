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120" windowWidth="27390" windowHeight="11610"/>
  </bookViews>
  <sheets>
    <sheet name="CharPropertyConfig" sheetId="1" r:id="rId1"/>
    <sheet name="Sheet1" sheetId="4" r:id="rId2"/>
  </sheets>
  <definedNames>
    <definedName name="_xlnm._FilterDatabase" localSheetId="0" hidden="1">CharPropertyConfig!$A$1:$L$43</definedName>
  </definedNames>
  <calcPr calcId="125725" concurrentCalc="0"/>
</workbook>
</file>

<file path=xl/calcChain.xml><?xml version="1.0" encoding="utf-8"?>
<calcChain xmlns="http://schemas.openxmlformats.org/spreadsheetml/2006/main">
  <c r="K43" i="1"/>
  <c r="G43"/>
  <c r="K42"/>
  <c r="G42"/>
  <c r="K41"/>
  <c r="G41"/>
  <c r="K40"/>
  <c r="G40"/>
  <c r="K39"/>
  <c r="G39"/>
  <c r="K38"/>
  <c r="G38"/>
  <c r="G35"/>
  <c r="K34"/>
  <c r="G34"/>
  <c r="K33"/>
  <c r="G33"/>
  <c r="K32"/>
  <c r="G32"/>
  <c r="K31"/>
  <c r="G31"/>
  <c r="K30"/>
  <c r="G30"/>
  <c r="K29"/>
  <c r="G29"/>
  <c r="K28"/>
  <c r="G28"/>
  <c r="K27"/>
  <c r="G27"/>
  <c r="K26"/>
  <c r="K25"/>
  <c r="G25"/>
  <c r="K24"/>
  <c r="G24"/>
  <c r="K23"/>
  <c r="G23"/>
  <c r="K22"/>
  <c r="G22"/>
  <c r="K21"/>
  <c r="G21"/>
  <c r="K20"/>
  <c r="G20"/>
  <c r="K19"/>
  <c r="G19"/>
  <c r="K18"/>
  <c r="G18"/>
  <c r="K17"/>
  <c r="G17"/>
  <c r="K16"/>
  <c r="G16"/>
  <c r="K15"/>
  <c r="G15"/>
  <c r="K14"/>
  <c r="G14"/>
  <c r="K13"/>
  <c r="G13"/>
  <c r="K12"/>
  <c r="G12"/>
  <c r="K11"/>
  <c r="G11"/>
  <c r="K10"/>
  <c r="G10"/>
  <c r="K9"/>
  <c r="G9"/>
  <c r="K8"/>
  <c r="G8"/>
  <c r="K7"/>
  <c r="G7"/>
  <c r="K6"/>
  <c r="G6"/>
  <c r="K5"/>
  <c r="G5"/>
  <c r="K4"/>
  <c r="G4"/>
  <c r="K3"/>
  <c r="G3"/>
  <c r="K2"/>
  <c r="G2"/>
</calcChain>
</file>

<file path=xl/comments1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属性类别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巅峰属性加点权重</t>
        </r>
      </text>
    </comment>
  </commentList>
</comments>
</file>

<file path=xl/sharedStrings.xml><?xml version="1.0" encoding="utf-8"?>
<sst xmlns="http://schemas.openxmlformats.org/spreadsheetml/2006/main" count="287" uniqueCount="225">
  <si>
    <t>ID</t>
    <phoneticPr fontId="1" type="noConversion"/>
  </si>
  <si>
    <t>Stats</t>
    <phoneticPr fontId="1" type="noConversion"/>
  </si>
  <si>
    <t>Explain</t>
  </si>
  <si>
    <t>-define(PROPERTY_STR,1).%% 力量</t>
  </si>
  <si>
    <t>-define(PROPERTY_AGI,2).%% 敏捷</t>
  </si>
  <si>
    <t>-define(PROPERTY_STA,3).%% 耐力</t>
  </si>
  <si>
    <t>-define(PROPERTY_WIS,4).%% 智力</t>
  </si>
  <si>
    <t>-define(PROPERTY_SPI,5).%% 精神</t>
  </si>
  <si>
    <t>-define(PROPERTY_ATK,101).%% 攻击</t>
  </si>
  <si>
    <t>-define(PROPERTY_DEF,102).%% 防御</t>
  </si>
  <si>
    <t>-define(PROPERTY_DEFIGNORE,103).%% 穿透，忽略护甲百分比</t>
  </si>
  <si>
    <t>-define(PROPERTY_HPLIMIT,104).%% 生命上限</t>
  </si>
  <si>
    <t>-define(PROPERTY_MPLIMIT,105).%% 法力上限</t>
  </si>
  <si>
    <t>-define(PROPERTY_CRI,106).%% 暴击</t>
  </si>
  <si>
    <t>-define(PROPERTY_CRIDMG,107).%% 暴击伤害</t>
  </si>
  <si>
    <t>-define(PROPERTY_TOUGH,108).%% 韧性</t>
  </si>
  <si>
    <t>-define(PROPERTY_HIT,109).%% 命中</t>
  </si>
  <si>
    <t>-define(PROPERTY_DOD,110).%% 闪避</t>
  </si>
  <si>
    <t>-define(PROPERTY_CD,111).%% CD</t>
  </si>
  <si>
    <t>-define(PROPERTY_DMGRATE,112).%% 增伤比率</t>
  </si>
  <si>
    <t>-define(PROPERTY_DMGDOWNRATE,113).%% 免伤比率</t>
  </si>
  <si>
    <t>-define(PROPERTY_BLOCKRATE,114).%% 格挡</t>
  </si>
  <si>
    <t>-define(PROPERTY_BLOCKDMGRATE,115).%% 格挡免伤比率</t>
  </si>
  <si>
    <t>-define(PROPERTY_REALDMG,116).%% 真实伤害</t>
  </si>
  <si>
    <t>-define(PROPERTY_STIFLE,117).%% 压制</t>
  </si>
  <si>
    <t>-define(PROPERTY_LONGSUFFERING,118).%% 坚忍</t>
  </si>
  <si>
    <t>-define(PROPERTY_MOVESPD,119).%% 移速</t>
  </si>
  <si>
    <t>-define(PROPERTY_LEV,201).%% 等级</t>
  </si>
  <si>
    <t>-define(PROPERTY_HP,202).%% 生命</t>
  </si>
  <si>
    <t>-define(PROPERTY_MP,203).%% 法力</t>
  </si>
  <si>
    <t>-define(PROPERTY_EXP,204).%% 经验</t>
  </si>
  <si>
    <t>-define(PROPERTY_GOLD,205).%% 金钱</t>
  </si>
  <si>
    <t>-define(PROPERTY_MONEY,206).%% 付费货币（白金币）</t>
  </si>
  <si>
    <t>-define(PROPERTY_EXPGETDAILY,207).%% 当日获取经验</t>
  </si>
  <si>
    <t>-define(PROPERTY_GOLDGETDAILY,208).%% 当日获取金钱</t>
  </si>
  <si>
    <t>-define(PROPERTY_LEVLIMIT,301).%% 等级上限</t>
  </si>
  <si>
    <t>-define(PROPERTY_EXPNEEDED,304).%% 经验上限</t>
  </si>
  <si>
    <t>-define(PROPERTY_GOLDLIMIT,305).%% 金钱上限</t>
  </si>
  <si>
    <t>-define(PROPERTY_MONEYLIMIT,306).%% 付费货币上限（白金币）</t>
  </si>
  <si>
    <t>-define(PROPERTY_EXPGETDAILYLIMIT,307).%% 当日获取经验上限</t>
  </si>
  <si>
    <t>-define(PROPERTY_GOLDGETDAILYLIMIT,308).%% 当日获取金钱上限</t>
  </si>
  <si>
    <t>力量</t>
  </si>
  <si>
    <t>敏捷</t>
  </si>
  <si>
    <t>耐力</t>
  </si>
  <si>
    <t>智力</t>
  </si>
  <si>
    <t>CD</t>
  </si>
  <si>
    <t>等级</t>
  </si>
  <si>
    <t>生命</t>
  </si>
  <si>
    <t>法力</t>
  </si>
  <si>
    <t>经验</t>
  </si>
  <si>
    <t>金钱</t>
  </si>
  <si>
    <t>付费货币（白金币）</t>
  </si>
  <si>
    <t>当日获取经验</t>
  </si>
  <si>
    <t>当日获取金钱</t>
  </si>
  <si>
    <t>等级上限</t>
  </si>
  <si>
    <t>经验上限</t>
  </si>
  <si>
    <t>金钱上限</t>
  </si>
  <si>
    <t>付费货币上限（白金币）</t>
  </si>
  <si>
    <t>当日获取经验上限</t>
  </si>
  <si>
    <t>当日获取金钱上限</t>
  </si>
  <si>
    <t>生命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</si>
  <si>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</si>
  <si>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</si>
  <si>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</si>
  <si>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</si>
  <si>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</si>
  <si>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101</t>
    <phoneticPr fontId="1" type="noConversion"/>
  </si>
  <si>
    <t>102</t>
    <phoneticPr fontId="1" type="noConversion"/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</si>
  <si>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</si>
  <si>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</si>
  <si>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</si>
  <si>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</si>
  <si>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</si>
  <si>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</si>
  <si>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</si>
  <si>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</si>
  <si>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</si>
  <si>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</si>
  <si>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</si>
  <si>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</si>
  <si>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</si>
  <si>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</si>
  <si>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</si>
  <si>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</si>
  <si>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</si>
  <si>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201</t>
    <phoneticPr fontId="1" type="noConversion"/>
  </si>
  <si>
    <t>202</t>
    <phoneticPr fontId="1" type="noConversion"/>
  </si>
  <si>
    <t>203</t>
  </si>
  <si>
    <t>204</t>
  </si>
  <si>
    <t>205</t>
  </si>
  <si>
    <t>206</t>
  </si>
  <si>
    <t>207</t>
  </si>
  <si>
    <t>208</t>
  </si>
  <si>
    <t>301</t>
    <phoneticPr fontId="1" type="noConversion"/>
  </si>
  <si>
    <t>304</t>
    <phoneticPr fontId="1" type="noConversion"/>
  </si>
  <si>
    <t>305</t>
    <phoneticPr fontId="1" type="noConversion"/>
  </si>
  <si>
    <t>306</t>
    <phoneticPr fontId="1" type="noConversion"/>
  </si>
  <si>
    <t>307</t>
    <phoneticPr fontId="1" type="noConversion"/>
  </si>
  <si>
    <t>308</t>
    <phoneticPr fontId="1" type="noConversion"/>
  </si>
  <si>
    <t>209</t>
    <phoneticPr fontId="1" type="noConversion"/>
  </si>
  <si>
    <t>绑定货币</t>
    <phoneticPr fontId="1" type="noConversion"/>
  </si>
  <si>
    <t>绑定货币</t>
    <phoneticPr fontId="1" type="noConversion"/>
  </si>
  <si>
    <t>绑定货币</t>
    <phoneticPr fontId="1" type="noConversion"/>
  </si>
  <si>
    <t>-define(PROPERTY_BINDING_COIN,209).%% 绑定金币</t>
  </si>
  <si>
    <t>FIRSTAID</t>
    <phoneticPr fontId="1" type="noConversion"/>
  </si>
  <si>
    <t>降低自己技能冷却时间</t>
    <phoneticPr fontId="1" type="noConversion"/>
  </si>
  <si>
    <t>提升击倒、击退技能对目标的生效几率</t>
    <phoneticPr fontId="1" type="noConversion"/>
  </si>
  <si>
    <t>降低敌人的击倒、击退技能对自己的生效几率</t>
    <phoneticPr fontId="1" type="noConversion"/>
  </si>
  <si>
    <t>propType</t>
    <phoneticPr fontId="1" type="noConversion"/>
  </si>
  <si>
    <t>weight</t>
    <phoneticPr fontId="1" type="noConversion"/>
  </si>
  <si>
    <t>TOP_LEV</t>
    <phoneticPr fontId="1" type="noConversion"/>
  </si>
  <si>
    <t>巅峰等级</t>
    <phoneticPr fontId="1" type="noConversion"/>
  </si>
  <si>
    <t>VIP等级</t>
    <phoneticPr fontId="1" type="noConversion"/>
  </si>
  <si>
    <t>index</t>
    <phoneticPr fontId="1" type="noConversion"/>
  </si>
  <si>
    <t>第一层作用</t>
    <phoneticPr fontId="1" type="noConversion"/>
  </si>
  <si>
    <t>第一层作用</t>
    <phoneticPr fontId="1" type="noConversion"/>
  </si>
  <si>
    <t>直接显示</t>
  </si>
  <si>
    <t>直接显示</t>
    <phoneticPr fontId="1" type="noConversion"/>
  </si>
  <si>
    <t>DEFIGNORE/(DEFIGNORE+1000)</t>
  </si>
  <si>
    <t>DEFIGNORE/(DEFIGNORE+1000)</t>
    <phoneticPr fontId="1" type="noConversion"/>
  </si>
  <si>
    <t>CRIDMG/1000</t>
  </si>
  <si>
    <t>CRIDMG/1000</t>
    <phoneticPr fontId="1" type="noConversion"/>
  </si>
  <si>
    <t>DMGRATE/1000</t>
  </si>
  <si>
    <t>DMGRATE/1000</t>
    <phoneticPr fontId="1" type="noConversion"/>
  </si>
  <si>
    <t>DMGDOWNRATE/1000</t>
  </si>
  <si>
    <t>DMGDOWNRATE/1000</t>
    <phoneticPr fontId="1" type="noConversion"/>
  </si>
  <si>
    <t>Cri*075/(1000 + Cri)</t>
  </si>
  <si>
    <t>TOUGH*075/(1000 + Cri)</t>
  </si>
  <si>
    <t>HIT*050/(1000+HIT)</t>
  </si>
  <si>
    <t>Dod*050/(1000+Dod)</t>
  </si>
  <si>
    <t>BLOCKRATE*066/(1000+BLOCKRATE)</t>
  </si>
  <si>
    <t>(750-BLOCKDMGRATE)/1000</t>
  </si>
  <si>
    <t>(750-BLOCKDMGRATE)/1000</t>
    <phoneticPr fontId="1" type="noConversion"/>
  </si>
  <si>
    <t>击倒威力</t>
  </si>
  <si>
    <t>STR</t>
  </si>
  <si>
    <t>AGI</t>
  </si>
  <si>
    <t>STA</t>
  </si>
  <si>
    <t>WIS</t>
  </si>
  <si>
    <t>意志</t>
  </si>
  <si>
    <t>SPI</t>
  </si>
  <si>
    <t>攻击力</t>
  </si>
  <si>
    <t>ATK</t>
  </si>
  <si>
    <t>防御力</t>
  </si>
  <si>
    <t>DEF</t>
  </si>
  <si>
    <t>穿透几率</t>
  </si>
  <si>
    <t>DEFIGNORE</t>
  </si>
  <si>
    <t>HPLIMIT</t>
  </si>
  <si>
    <t>MPLIMIT</t>
  </si>
  <si>
    <t>暴击几率</t>
  </si>
  <si>
    <t>CRI</t>
  </si>
  <si>
    <t>暴击加成</t>
  </si>
  <si>
    <t>CRIDMG</t>
  </si>
  <si>
    <t>暴击抵抗</t>
  </si>
  <si>
    <t>TOUGH</t>
  </si>
  <si>
    <t>命中几率</t>
  </si>
  <si>
    <t>HIT</t>
  </si>
  <si>
    <t>闪避几率</t>
  </si>
  <si>
    <t>DOD</t>
  </si>
  <si>
    <t>伤害加深</t>
  </si>
  <si>
    <t>DMGRATE</t>
  </si>
  <si>
    <t>伤害减免</t>
  </si>
  <si>
    <t>DMGDOWNRATE</t>
  </si>
  <si>
    <t>格挡几率</t>
  </si>
  <si>
    <t>BLOCKRATE</t>
  </si>
  <si>
    <t>格档加成</t>
  </si>
  <si>
    <t>BLOCKDMGRATE</t>
  </si>
  <si>
    <t>真实伤害</t>
  </si>
  <si>
    <t>REALDMG</t>
  </si>
  <si>
    <t>STIFLE</t>
  </si>
  <si>
    <t>击倒抵抗</t>
  </si>
  <si>
    <t>LONGSUFFERING</t>
  </si>
  <si>
    <t>移动速度</t>
  </si>
  <si>
    <t>MOVESPD</t>
  </si>
  <si>
    <t>百分比</t>
    <phoneticPr fontId="1" type="noConversion"/>
  </si>
  <si>
    <t>击倒等级</t>
    <phoneticPr fontId="1" type="noConversion"/>
  </si>
  <si>
    <t>抵抗等级</t>
    <phoneticPr fontId="1" type="noConversion"/>
  </si>
  <si>
    <t>对敌人造成伤害的基本属性</t>
    <phoneticPr fontId="1" type="noConversion"/>
  </si>
  <si>
    <t>降低敌人攻击对自己伤害的基本属性</t>
    <phoneticPr fontId="1" type="noConversion"/>
  </si>
  <si>
    <t>每点移动速度提供1%的移动速度加成</t>
    <phoneticPr fontId="1" type="noConversion"/>
  </si>
  <si>
    <t>攻击</t>
    <phoneticPr fontId="1" type="noConversion"/>
  </si>
  <si>
    <t>防御</t>
    <phoneticPr fontId="1" type="noConversion"/>
  </si>
  <si>
    <t>暴击</t>
    <phoneticPr fontId="1" type="noConversion"/>
  </si>
  <si>
    <t>急救恢复</t>
    <phoneticPr fontId="1" type="noConversion"/>
  </si>
  <si>
    <t>提升急救术恢复生命值</t>
    <phoneticPr fontId="1" type="noConversion"/>
  </si>
  <si>
    <t>直接显示</t>
    <phoneticPr fontId="1" type="noConversion"/>
  </si>
  <si>
    <t>暴伤</t>
    <phoneticPr fontId="1" type="noConversion"/>
  </si>
  <si>
    <t>抗爆</t>
    <phoneticPr fontId="1" type="noConversion"/>
  </si>
  <si>
    <t>命中</t>
    <phoneticPr fontId="1" type="noConversion"/>
  </si>
  <si>
    <t>闪避</t>
    <phoneticPr fontId="1" type="noConversion"/>
  </si>
  <si>
    <t>重伤</t>
    <phoneticPr fontId="1" type="noConversion"/>
  </si>
  <si>
    <t>免伤</t>
    <phoneticPr fontId="1" type="noConversion"/>
  </si>
  <si>
    <t>移速</t>
    <phoneticPr fontId="1" type="noConversion"/>
  </si>
  <si>
    <t>直击</t>
    <phoneticPr fontId="1" type="noConversion"/>
  </si>
  <si>
    <t>直接显示</t>
    <phoneticPr fontId="1" type="noConversion"/>
  </si>
  <si>
    <t>护甲</t>
    <phoneticPr fontId="1" type="noConversion"/>
  </si>
  <si>
    <t>穿甲</t>
    <phoneticPr fontId="1" type="noConversion"/>
  </si>
  <si>
    <t>格挡</t>
    <phoneticPr fontId="1" type="noConversion"/>
  </si>
  <si>
    <t>GS</t>
    <phoneticPr fontId="1" type="noConversion"/>
  </si>
  <si>
    <t>120</t>
    <phoneticPr fontId="1" type="noConversion"/>
  </si>
  <si>
    <t>-define(PROPERTY_FIRSTAID,120).%% 急救术回复</t>
    <phoneticPr fontId="1" type="noConversion"/>
  </si>
  <si>
    <t>210</t>
    <phoneticPr fontId="1" type="noConversion"/>
  </si>
  <si>
    <t>巅峰等级</t>
    <phoneticPr fontId="1" type="noConversion"/>
  </si>
  <si>
    <t>标记</t>
    <phoneticPr fontId="1" type="noConversion"/>
  </si>
  <si>
    <t>标记特殊怪物用</t>
    <phoneticPr fontId="1" type="noConversion"/>
  </si>
  <si>
    <t>？？？</t>
    <phoneticPr fontId="1" type="noConversion"/>
  </si>
  <si>
    <t>圣神护甲</t>
    <phoneticPr fontId="1" type="noConversion"/>
  </si>
  <si>
    <t>设定每次伤害上限</t>
    <phoneticPr fontId="1" type="noConversion"/>
  </si>
  <si>
    <t>无视玩家防御的能力等级</t>
    <phoneticPr fontId="1" type="noConversion"/>
  </si>
  <si>
    <t>生命值上限</t>
    <phoneticPr fontId="1" type="noConversion"/>
  </si>
  <si>
    <t>用于提高玩家的暴击概率</t>
    <phoneticPr fontId="1" type="noConversion"/>
  </si>
  <si>
    <t>用于提高玩家暴击时所造成的伤害</t>
    <phoneticPr fontId="1" type="noConversion"/>
  </si>
  <si>
    <t>降低玩家受到暴击的概率</t>
    <phoneticPr fontId="1" type="noConversion"/>
  </si>
  <si>
    <t>降低目标闪避攻击的概率</t>
    <phoneticPr fontId="1" type="noConversion"/>
  </si>
  <si>
    <t>提高自身闪避敌人攻击的概率</t>
    <phoneticPr fontId="1" type="noConversion"/>
  </si>
  <si>
    <t>按比例提升对敌人造成的伤害值</t>
    <phoneticPr fontId="1" type="noConversion"/>
  </si>
  <si>
    <t>按比例降低敌人对自己造成的伤害值</t>
    <phoneticPr fontId="1" type="noConversion"/>
  </si>
  <si>
    <t>提高格挡的概率，成功格挡将降低单次伤寒50%</t>
    <phoneticPr fontId="1" type="noConversion"/>
  </si>
  <si>
    <t>降低敌方穿甲值得效力</t>
    <phoneticPr fontId="1" type="noConversion"/>
  </si>
  <si>
    <t>无视敌方防御力直接造成伤害的特殊攻击力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</si>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</sst>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0"/>
      <color theme="1"/>
      <name val="宋体"/>
      <family val="2"/>
      <charset val="134"/>
      <scheme val="minor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4" fillId="0" borderId="0" xfId="0" applyNumberFormat="1" applyFont="1">
      <alignment vertical="center"/>
    </xf>
    <xf numFmtId="0" fontId="4" fillId="2" borderId="0" xfId="0" applyNumberFormat="1" applyFont="1" applyFill="1">
      <alignment vertical="center"/>
    </xf>
    <xf numFmtId="49" fontId="4" fillId="2" borderId="0" xfId="0" applyNumberFormat="1" applyFont="1" applyFill="1">
      <alignment vertical="center"/>
    </xf>
    <xf numFmtId="0" fontId="4" fillId="2" borderId="0" xfId="0" applyFont="1" applyFill="1" applyAlignment="1"/>
    <xf numFmtId="0" fontId="4" fillId="0" borderId="0" xfId="0" applyNumberFormat="1" applyFont="1">
      <alignment vertical="center"/>
    </xf>
    <xf numFmtId="0" fontId="4" fillId="0" borderId="0" xfId="0" applyFont="1" applyAlignment="1"/>
    <xf numFmtId="0" fontId="4" fillId="0" borderId="0" xfId="0" applyNumberFormat="1" applyFont="1" applyFill="1">
      <alignment vertical="center"/>
    </xf>
    <xf numFmtId="49" fontId="4" fillId="0" borderId="0" xfId="0" applyNumberFormat="1" applyFont="1" applyFill="1">
      <alignment vertical="center"/>
    </xf>
    <xf numFmtId="0" fontId="4" fillId="0" borderId="0" xfId="0" applyFont="1" applyFill="1" applyAlignment="1"/>
    <xf numFmtId="49" fontId="5" fillId="0" borderId="0" xfId="0" applyNumberFormat="1" applyFont="1">
      <alignment vertical="center"/>
    </xf>
    <xf numFmtId="49" fontId="6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342900</xdr:colOff>
      <xdr:row>8</xdr:row>
      <xdr:rowOff>76200</xdr:rowOff>
    </xdr:from>
    <xdr:to>
      <xdr:col>22</xdr:col>
      <xdr:colOff>152400</xdr:colOff>
      <xdr:row>12</xdr:row>
      <xdr:rowOff>66675</xdr:rowOff>
    </xdr:to>
    <xdr:sp macro="[0]!Sheet1.transprop" textlink="">
      <xdr:nvSpPr>
        <xdr:cNvPr id="2" name="矩形 1"/>
        <xdr:cNvSpPr/>
      </xdr:nvSpPr>
      <xdr:spPr>
        <a:xfrm>
          <a:off x="11639550" y="1457325"/>
          <a:ext cx="1866900" cy="6762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3"/>
  <sheetViews>
    <sheetView tabSelected="1" workbookViewId="0">
      <pane ySplit="6" topLeftCell="A7" activePane="bottomLeft" state="frozenSplit"/>
      <selection pane="bottomLeft" activeCell="L2" sqref="L2"/>
    </sheetView>
  </sheetViews>
  <sheetFormatPr defaultRowHeight="12"/>
  <cols>
    <col min="1" max="1" width="5.5" style="1" bestFit="1" customWidth="1"/>
    <col min="2" max="2" width="20.375" style="1" bestFit="1" customWidth="1"/>
    <col min="3" max="3" width="37.75" style="1" bestFit="1" customWidth="1"/>
    <col min="4" max="4" width="11.5" style="1" bestFit="1" customWidth="1"/>
    <col min="5" max="5" width="9.5" style="1" bestFit="1" customWidth="1"/>
    <col min="6" max="6" width="8.5" style="1" bestFit="1" customWidth="1"/>
    <col min="7" max="12" width="8.625" style="1" customWidth="1"/>
    <col min="13" max="16384" width="9" style="1"/>
  </cols>
  <sheetData>
    <row r="1" spans="1:13" s="10" customFormat="1" ht="12.75">
      <c r="A1" s="10" t="s">
        <v>0</v>
      </c>
      <c r="B1" s="10" t="s">
        <v>1</v>
      </c>
      <c r="C1" s="11" t="s">
        <v>2</v>
      </c>
      <c r="D1" s="10" t="s">
        <v>108</v>
      </c>
      <c r="E1" s="10" t="s">
        <v>109</v>
      </c>
      <c r="F1" s="10" t="s">
        <v>113</v>
      </c>
      <c r="G1" s="10" t="s">
        <v>219</v>
      </c>
      <c r="H1" s="10" t="s">
        <v>220</v>
      </c>
      <c r="I1" s="10" t="s">
        <v>221</v>
      </c>
      <c r="J1" s="10" t="s">
        <v>222</v>
      </c>
      <c r="K1" s="10" t="s">
        <v>223</v>
      </c>
      <c r="L1" s="10" t="s">
        <v>224</v>
      </c>
      <c r="M1" s="10" t="s">
        <v>197</v>
      </c>
    </row>
    <row r="2" spans="1:13" s="3" customFormat="1">
      <c r="A2" s="2">
        <v>1</v>
      </c>
      <c r="B2" s="3" t="s">
        <v>202</v>
      </c>
      <c r="C2" s="3" t="s">
        <v>203</v>
      </c>
      <c r="D2" s="2">
        <v>0</v>
      </c>
      <c r="E2" s="4">
        <v>1</v>
      </c>
      <c r="F2" s="4">
        <v>0</v>
      </c>
      <c r="G2" s="3" t="str">
        <f t="shared" ref="G2:G25" si="0">LEFTB(RIGHTB(L2,LENB(L2)-FINDB("_",L2,1)),FINDB(",",RIGHTB(L2,LENB(L2)-FINDB("_",L2,1)),1)-1)</f>
        <v>STR</v>
      </c>
      <c r="H2" s="3" t="s">
        <v>61</v>
      </c>
      <c r="I2" s="3" t="s">
        <v>117</v>
      </c>
      <c r="K2" s="3" t="str">
        <f t="shared" ref="K2:K34" si="1">RIGHTB(L2,LENB(L2)-FINDB("%% ",L2,1)-2)</f>
        <v>力量</v>
      </c>
      <c r="L2" s="3" t="s">
        <v>3</v>
      </c>
      <c r="M2" s="2">
        <v>1</v>
      </c>
    </row>
    <row r="3" spans="1:13">
      <c r="A3" s="5">
        <v>2</v>
      </c>
      <c r="B3" s="1" t="s">
        <v>204</v>
      </c>
      <c r="C3" s="1" t="s">
        <v>204</v>
      </c>
      <c r="D3" s="5">
        <v>0</v>
      </c>
      <c r="E3" s="6">
        <v>1</v>
      </c>
      <c r="F3" s="6">
        <v>0</v>
      </c>
      <c r="G3" s="1" t="str">
        <f t="shared" si="0"/>
        <v>AGI</v>
      </c>
      <c r="H3" s="1" t="s">
        <v>62</v>
      </c>
      <c r="I3" s="1" t="s">
        <v>117</v>
      </c>
      <c r="K3" s="1" t="str">
        <f t="shared" si="1"/>
        <v>敏捷</v>
      </c>
      <c r="L3" s="1" t="s">
        <v>4</v>
      </c>
      <c r="M3" s="5">
        <v>1</v>
      </c>
    </row>
    <row r="4" spans="1:13">
      <c r="A4" s="5">
        <v>3</v>
      </c>
      <c r="B4" s="1" t="s">
        <v>204</v>
      </c>
      <c r="C4" s="1" t="s">
        <v>204</v>
      </c>
      <c r="D4" s="5">
        <v>0</v>
      </c>
      <c r="E4" s="6">
        <v>1</v>
      </c>
      <c r="F4" s="6">
        <v>0</v>
      </c>
      <c r="G4" s="1" t="str">
        <f t="shared" si="0"/>
        <v>STA</v>
      </c>
      <c r="H4" s="1" t="s">
        <v>63</v>
      </c>
      <c r="I4" s="1" t="s">
        <v>117</v>
      </c>
      <c r="K4" s="1" t="str">
        <f t="shared" si="1"/>
        <v>耐力</v>
      </c>
      <c r="L4" s="1" t="s">
        <v>5</v>
      </c>
      <c r="M4" s="5">
        <v>1</v>
      </c>
    </row>
    <row r="5" spans="1:13">
      <c r="A5" s="5">
        <v>4</v>
      </c>
      <c r="B5" s="1" t="s">
        <v>204</v>
      </c>
      <c r="C5" s="1" t="s">
        <v>204</v>
      </c>
      <c r="D5" s="5">
        <v>0</v>
      </c>
      <c r="E5" s="6">
        <v>1</v>
      </c>
      <c r="F5" s="6">
        <v>0</v>
      </c>
      <c r="G5" s="1" t="str">
        <f t="shared" si="0"/>
        <v>WIS</v>
      </c>
      <c r="H5" s="1" t="s">
        <v>64</v>
      </c>
      <c r="I5" s="1" t="s">
        <v>117</v>
      </c>
      <c r="K5" s="1" t="str">
        <f t="shared" si="1"/>
        <v>智力</v>
      </c>
      <c r="L5" s="1" t="s">
        <v>6</v>
      </c>
      <c r="M5" s="5">
        <v>1</v>
      </c>
    </row>
    <row r="6" spans="1:13" s="3" customFormat="1">
      <c r="A6" s="2">
        <v>5</v>
      </c>
      <c r="B6" s="3" t="s">
        <v>205</v>
      </c>
      <c r="C6" s="3" t="s">
        <v>206</v>
      </c>
      <c r="D6" s="2">
        <v>0</v>
      </c>
      <c r="E6" s="4">
        <v>1</v>
      </c>
      <c r="F6" s="4">
        <v>0</v>
      </c>
      <c r="G6" s="3" t="str">
        <f t="shared" si="0"/>
        <v>SPI</v>
      </c>
      <c r="H6" s="3" t="s">
        <v>65</v>
      </c>
      <c r="I6" s="3" t="s">
        <v>117</v>
      </c>
      <c r="K6" s="3" t="str">
        <f t="shared" si="1"/>
        <v>精神</v>
      </c>
      <c r="L6" s="3" t="s">
        <v>7</v>
      </c>
      <c r="M6" s="2">
        <v>1</v>
      </c>
    </row>
    <row r="7" spans="1:13" s="3" customFormat="1">
      <c r="A7" s="2">
        <v>101</v>
      </c>
      <c r="B7" s="3" t="s">
        <v>179</v>
      </c>
      <c r="C7" s="3" t="s">
        <v>176</v>
      </c>
      <c r="D7" s="2">
        <v>1</v>
      </c>
      <c r="E7" s="4">
        <v>4</v>
      </c>
      <c r="F7" s="4">
        <v>1</v>
      </c>
      <c r="G7" s="3" t="str">
        <f t="shared" si="0"/>
        <v>ATK</v>
      </c>
      <c r="H7" s="3" t="s">
        <v>66</v>
      </c>
      <c r="I7" s="3" t="s">
        <v>117</v>
      </c>
      <c r="J7" s="3" t="s">
        <v>114</v>
      </c>
      <c r="K7" s="3" t="str">
        <f t="shared" si="1"/>
        <v>攻击</v>
      </c>
      <c r="L7" s="3" t="s">
        <v>8</v>
      </c>
      <c r="M7" s="2">
        <v>25</v>
      </c>
    </row>
    <row r="8" spans="1:13" s="3" customFormat="1">
      <c r="A8" s="2">
        <v>102</v>
      </c>
      <c r="B8" s="3" t="s">
        <v>180</v>
      </c>
      <c r="C8" s="3" t="s">
        <v>177</v>
      </c>
      <c r="D8" s="2">
        <v>2</v>
      </c>
      <c r="E8" s="4">
        <v>4</v>
      </c>
      <c r="F8" s="4">
        <v>3</v>
      </c>
      <c r="G8" s="3" t="str">
        <f t="shared" si="0"/>
        <v>DEF</v>
      </c>
      <c r="H8" s="3" t="s">
        <v>67</v>
      </c>
      <c r="I8" s="3" t="s">
        <v>117</v>
      </c>
      <c r="K8" s="3" t="str">
        <f t="shared" si="1"/>
        <v>防御</v>
      </c>
      <c r="L8" s="3" t="s">
        <v>9</v>
      </c>
      <c r="M8" s="2">
        <v>25</v>
      </c>
    </row>
    <row r="9" spans="1:13" s="3" customFormat="1">
      <c r="A9" s="2">
        <v>103</v>
      </c>
      <c r="B9" s="3" t="s">
        <v>195</v>
      </c>
      <c r="C9" s="3" t="s">
        <v>207</v>
      </c>
      <c r="D9" s="2">
        <v>1</v>
      </c>
      <c r="E9" s="4">
        <v>4</v>
      </c>
      <c r="F9" s="4">
        <v>4</v>
      </c>
      <c r="G9" s="3" t="str">
        <f t="shared" si="0"/>
        <v>DEFIGNORE</v>
      </c>
      <c r="H9" s="3" t="s">
        <v>68</v>
      </c>
      <c r="I9" s="3" t="s">
        <v>119</v>
      </c>
      <c r="J9" s="3" t="s">
        <v>115</v>
      </c>
      <c r="K9" s="3" t="str">
        <f t="shared" si="1"/>
        <v>穿透，忽略护甲百分比</v>
      </c>
      <c r="L9" s="3" t="s">
        <v>10</v>
      </c>
      <c r="M9" s="2">
        <v>25</v>
      </c>
    </row>
    <row r="10" spans="1:13" s="3" customFormat="1">
      <c r="A10" s="2">
        <v>104</v>
      </c>
      <c r="B10" s="3" t="s">
        <v>60</v>
      </c>
      <c r="C10" s="3" t="s">
        <v>208</v>
      </c>
      <c r="D10" s="2">
        <v>2</v>
      </c>
      <c r="E10" s="4">
        <v>100</v>
      </c>
      <c r="F10" s="4">
        <v>0</v>
      </c>
      <c r="G10" s="3" t="str">
        <f t="shared" si="0"/>
        <v>HPLIMIT</v>
      </c>
      <c r="H10" s="3" t="s">
        <v>69</v>
      </c>
      <c r="I10" s="3" t="s">
        <v>117</v>
      </c>
      <c r="K10" s="3" t="str">
        <f t="shared" si="1"/>
        <v>生命上限</v>
      </c>
      <c r="L10" s="3" t="s">
        <v>11</v>
      </c>
      <c r="M10" s="2">
        <v>1</v>
      </c>
    </row>
    <row r="11" spans="1:13">
      <c r="A11" s="5">
        <v>105</v>
      </c>
      <c r="B11" s="1" t="s">
        <v>204</v>
      </c>
      <c r="C11" s="1" t="s">
        <v>204</v>
      </c>
      <c r="D11" s="5">
        <v>0</v>
      </c>
      <c r="E11" s="6">
        <v>1</v>
      </c>
      <c r="F11" s="6">
        <v>0</v>
      </c>
      <c r="G11" s="1" t="str">
        <f t="shared" si="0"/>
        <v>MPLIMIT</v>
      </c>
      <c r="H11" s="1" t="s">
        <v>70</v>
      </c>
      <c r="I11" s="1" t="s">
        <v>117</v>
      </c>
      <c r="K11" s="1" t="str">
        <f t="shared" si="1"/>
        <v>法力上限</v>
      </c>
      <c r="L11" s="1" t="s">
        <v>12</v>
      </c>
      <c r="M11" s="5">
        <v>1</v>
      </c>
    </row>
    <row r="12" spans="1:13" s="3" customFormat="1">
      <c r="A12" s="2">
        <v>106</v>
      </c>
      <c r="B12" s="3" t="s">
        <v>181</v>
      </c>
      <c r="C12" s="3" t="s">
        <v>209</v>
      </c>
      <c r="D12" s="2">
        <v>0</v>
      </c>
      <c r="E12" s="4">
        <v>4</v>
      </c>
      <c r="F12" s="4">
        <v>6</v>
      </c>
      <c r="G12" s="3" t="str">
        <f t="shared" si="0"/>
        <v>CRI</v>
      </c>
      <c r="H12" s="3" t="s">
        <v>71</v>
      </c>
      <c r="I12" s="3" t="s">
        <v>126</v>
      </c>
      <c r="K12" s="3" t="str">
        <f t="shared" si="1"/>
        <v>暴击</v>
      </c>
      <c r="L12" s="3" t="s">
        <v>13</v>
      </c>
      <c r="M12" s="2">
        <v>25</v>
      </c>
    </row>
    <row r="13" spans="1:13" s="3" customFormat="1">
      <c r="A13" s="2">
        <v>107</v>
      </c>
      <c r="B13" s="3" t="s">
        <v>185</v>
      </c>
      <c r="C13" s="3" t="s">
        <v>210</v>
      </c>
      <c r="D13" s="2">
        <v>1</v>
      </c>
      <c r="E13" s="4">
        <v>4</v>
      </c>
      <c r="F13" s="4">
        <v>9</v>
      </c>
      <c r="G13" s="3" t="str">
        <f t="shared" si="0"/>
        <v>CRIDMG</v>
      </c>
      <c r="H13" s="3" t="s">
        <v>72</v>
      </c>
      <c r="I13" s="3" t="s">
        <v>121</v>
      </c>
      <c r="K13" s="3" t="str">
        <f t="shared" si="1"/>
        <v>暴击伤害</v>
      </c>
      <c r="L13" s="3" t="s">
        <v>14</v>
      </c>
      <c r="M13" s="2">
        <v>25</v>
      </c>
    </row>
    <row r="14" spans="1:13" s="3" customFormat="1">
      <c r="A14" s="2">
        <v>108</v>
      </c>
      <c r="B14" s="3" t="s">
        <v>186</v>
      </c>
      <c r="C14" s="3" t="s">
        <v>211</v>
      </c>
      <c r="D14" s="2">
        <v>2</v>
      </c>
      <c r="E14" s="4">
        <v>4</v>
      </c>
      <c r="F14" s="4">
        <v>8</v>
      </c>
      <c r="G14" s="3" t="str">
        <f t="shared" si="0"/>
        <v>TOUGH</v>
      </c>
      <c r="H14" s="3" t="s">
        <v>73</v>
      </c>
      <c r="I14" s="3" t="s">
        <v>127</v>
      </c>
      <c r="K14" s="3" t="str">
        <f t="shared" si="1"/>
        <v>韧性</v>
      </c>
      <c r="L14" s="3" t="s">
        <v>15</v>
      </c>
      <c r="M14" s="2">
        <v>25</v>
      </c>
    </row>
    <row r="15" spans="1:13" s="3" customFormat="1">
      <c r="A15" s="2">
        <v>109</v>
      </c>
      <c r="B15" s="3" t="s">
        <v>187</v>
      </c>
      <c r="C15" s="3" t="s">
        <v>212</v>
      </c>
      <c r="D15" s="2">
        <v>0</v>
      </c>
      <c r="E15" s="4">
        <v>4</v>
      </c>
      <c r="F15" s="4">
        <v>7</v>
      </c>
      <c r="G15" s="3" t="str">
        <f t="shared" si="0"/>
        <v>HIT</v>
      </c>
      <c r="H15" s="3" t="s">
        <v>74</v>
      </c>
      <c r="I15" s="3" t="s">
        <v>128</v>
      </c>
      <c r="K15" s="3" t="str">
        <f t="shared" si="1"/>
        <v>命中</v>
      </c>
      <c r="L15" s="3" t="s">
        <v>16</v>
      </c>
      <c r="M15" s="2">
        <v>25</v>
      </c>
    </row>
    <row r="16" spans="1:13" s="3" customFormat="1">
      <c r="A16" s="2">
        <v>110</v>
      </c>
      <c r="B16" s="3" t="s">
        <v>188</v>
      </c>
      <c r="C16" s="3" t="s">
        <v>213</v>
      </c>
      <c r="D16" s="2">
        <v>0</v>
      </c>
      <c r="E16" s="4">
        <v>4</v>
      </c>
      <c r="F16" s="4">
        <v>5</v>
      </c>
      <c r="G16" s="3" t="str">
        <f t="shared" si="0"/>
        <v>DOD</v>
      </c>
      <c r="H16" s="3" t="s">
        <v>75</v>
      </c>
      <c r="I16" s="3" t="s">
        <v>129</v>
      </c>
      <c r="K16" s="3" t="str">
        <f t="shared" si="1"/>
        <v>闪避</v>
      </c>
      <c r="L16" s="3" t="s">
        <v>17</v>
      </c>
      <c r="M16" s="2">
        <v>25</v>
      </c>
    </row>
    <row r="17" spans="1:13">
      <c r="A17" s="5">
        <v>111</v>
      </c>
      <c r="B17" s="1" t="s">
        <v>45</v>
      </c>
      <c r="C17" s="1" t="s">
        <v>105</v>
      </c>
      <c r="D17" s="5">
        <v>0</v>
      </c>
      <c r="E17" s="6">
        <v>1</v>
      </c>
      <c r="F17" s="6">
        <v>0</v>
      </c>
      <c r="G17" s="1" t="str">
        <f t="shared" si="0"/>
        <v>CD</v>
      </c>
      <c r="H17" s="1" t="s">
        <v>76</v>
      </c>
      <c r="I17" s="1" t="s">
        <v>117</v>
      </c>
      <c r="K17" s="1" t="str">
        <f t="shared" si="1"/>
        <v>CD</v>
      </c>
      <c r="L17" s="1" t="s">
        <v>18</v>
      </c>
      <c r="M17" s="5">
        <v>1</v>
      </c>
    </row>
    <row r="18" spans="1:13" s="3" customFormat="1">
      <c r="A18" s="2">
        <v>112</v>
      </c>
      <c r="B18" s="3" t="s">
        <v>189</v>
      </c>
      <c r="C18" s="3" t="s">
        <v>214</v>
      </c>
      <c r="D18" s="2">
        <v>3</v>
      </c>
      <c r="E18" s="4">
        <v>4</v>
      </c>
      <c r="F18" s="4">
        <v>12</v>
      </c>
      <c r="G18" s="3" t="str">
        <f t="shared" si="0"/>
        <v>DMGRATE</v>
      </c>
      <c r="H18" s="3" t="s">
        <v>77</v>
      </c>
      <c r="I18" s="3" t="s">
        <v>123</v>
      </c>
      <c r="K18" s="3" t="str">
        <f t="shared" si="1"/>
        <v>增伤比率</v>
      </c>
      <c r="L18" s="3" t="s">
        <v>19</v>
      </c>
      <c r="M18" s="2">
        <v>25</v>
      </c>
    </row>
    <row r="19" spans="1:13" s="3" customFormat="1">
      <c r="A19" s="2">
        <v>113</v>
      </c>
      <c r="B19" s="3" t="s">
        <v>190</v>
      </c>
      <c r="C19" s="3" t="s">
        <v>215</v>
      </c>
      <c r="D19" s="2">
        <v>3</v>
      </c>
      <c r="E19" s="4">
        <v>4</v>
      </c>
      <c r="F19" s="4">
        <v>11</v>
      </c>
      <c r="G19" s="3" t="str">
        <f t="shared" si="0"/>
        <v>DMGDOWNRATE</v>
      </c>
      <c r="H19" s="3" t="s">
        <v>78</v>
      </c>
      <c r="I19" s="3" t="s">
        <v>125</v>
      </c>
      <c r="K19" s="3" t="str">
        <f t="shared" si="1"/>
        <v>免伤比率</v>
      </c>
      <c r="L19" s="3" t="s">
        <v>20</v>
      </c>
      <c r="M19" s="2">
        <v>25</v>
      </c>
    </row>
    <row r="20" spans="1:13" s="3" customFormat="1">
      <c r="A20" s="2">
        <v>114</v>
      </c>
      <c r="B20" s="3" t="s">
        <v>196</v>
      </c>
      <c r="C20" s="3" t="s">
        <v>216</v>
      </c>
      <c r="D20" s="2">
        <v>2</v>
      </c>
      <c r="E20" s="4">
        <v>4</v>
      </c>
      <c r="F20" s="4">
        <v>0</v>
      </c>
      <c r="G20" s="3" t="str">
        <f t="shared" si="0"/>
        <v>BLOCKRATE</v>
      </c>
      <c r="H20" s="3" t="s">
        <v>79</v>
      </c>
      <c r="I20" s="3" t="s">
        <v>130</v>
      </c>
      <c r="K20" s="3" t="str">
        <f t="shared" si="1"/>
        <v>格挡</v>
      </c>
      <c r="L20" s="3" t="s">
        <v>21</v>
      </c>
      <c r="M20" s="2">
        <v>25</v>
      </c>
    </row>
    <row r="21" spans="1:13" s="3" customFormat="1">
      <c r="A21" s="2">
        <v>115</v>
      </c>
      <c r="B21" s="3" t="s">
        <v>194</v>
      </c>
      <c r="C21" s="3" t="s">
        <v>217</v>
      </c>
      <c r="D21" s="2">
        <v>0</v>
      </c>
      <c r="E21" s="4">
        <v>4</v>
      </c>
      <c r="F21" s="4">
        <v>0</v>
      </c>
      <c r="G21" s="3" t="str">
        <f t="shared" si="0"/>
        <v>BLOCKDMGRATE</v>
      </c>
      <c r="H21" s="3" t="s">
        <v>80</v>
      </c>
      <c r="I21" s="3" t="s">
        <v>132</v>
      </c>
      <c r="K21" s="3" t="str">
        <f t="shared" si="1"/>
        <v>格挡免伤比率</v>
      </c>
      <c r="L21" s="3" t="s">
        <v>22</v>
      </c>
      <c r="M21" s="2">
        <v>25</v>
      </c>
    </row>
    <row r="22" spans="1:13" s="3" customFormat="1">
      <c r="A22" s="2">
        <v>116</v>
      </c>
      <c r="B22" s="3" t="s">
        <v>192</v>
      </c>
      <c r="C22" s="3" t="s">
        <v>218</v>
      </c>
      <c r="D22" s="2">
        <v>1</v>
      </c>
      <c r="E22" s="4">
        <v>4</v>
      </c>
      <c r="F22" s="4">
        <v>2</v>
      </c>
      <c r="G22" s="3" t="str">
        <f t="shared" si="0"/>
        <v>REALDMG</v>
      </c>
      <c r="H22" s="3" t="s">
        <v>81</v>
      </c>
      <c r="I22" s="3" t="s">
        <v>184</v>
      </c>
      <c r="K22" s="3" t="str">
        <f t="shared" si="1"/>
        <v>真实伤害</v>
      </c>
      <c r="L22" s="3" t="s">
        <v>23</v>
      </c>
      <c r="M22" s="2">
        <v>25</v>
      </c>
    </row>
    <row r="23" spans="1:13" s="8" customFormat="1">
      <c r="A23" s="7">
        <v>117</v>
      </c>
      <c r="B23" s="8" t="s">
        <v>174</v>
      </c>
      <c r="C23" s="8" t="s">
        <v>106</v>
      </c>
      <c r="D23" s="7">
        <v>3</v>
      </c>
      <c r="E23" s="9">
        <v>1</v>
      </c>
      <c r="F23" s="9">
        <v>0</v>
      </c>
      <c r="G23" s="8" t="str">
        <f t="shared" si="0"/>
        <v>STIFLE</v>
      </c>
      <c r="H23" s="8" t="s">
        <v>82</v>
      </c>
      <c r="I23" s="8" t="s">
        <v>117</v>
      </c>
      <c r="K23" s="8" t="str">
        <f t="shared" si="1"/>
        <v>压制</v>
      </c>
      <c r="L23" s="8" t="s">
        <v>24</v>
      </c>
      <c r="M23" s="7">
        <v>1</v>
      </c>
    </row>
    <row r="24" spans="1:13" s="8" customFormat="1">
      <c r="A24" s="7">
        <v>118</v>
      </c>
      <c r="B24" s="8" t="s">
        <v>175</v>
      </c>
      <c r="C24" s="8" t="s">
        <v>107</v>
      </c>
      <c r="D24" s="7">
        <v>3</v>
      </c>
      <c r="E24" s="9">
        <v>1</v>
      </c>
      <c r="F24" s="9">
        <v>0</v>
      </c>
      <c r="G24" s="8" t="str">
        <f t="shared" si="0"/>
        <v>LONGSUFFERING</v>
      </c>
      <c r="H24" s="8" t="s">
        <v>83</v>
      </c>
      <c r="I24" s="8" t="s">
        <v>117</v>
      </c>
      <c r="K24" s="8" t="str">
        <f t="shared" si="1"/>
        <v>坚忍</v>
      </c>
      <c r="L24" s="8" t="s">
        <v>25</v>
      </c>
      <c r="M24" s="7">
        <v>1</v>
      </c>
    </row>
    <row r="25" spans="1:13" s="3" customFormat="1">
      <c r="A25" s="2">
        <v>119</v>
      </c>
      <c r="B25" s="3" t="s">
        <v>191</v>
      </c>
      <c r="C25" s="3" t="s">
        <v>178</v>
      </c>
      <c r="D25" s="2">
        <v>0</v>
      </c>
      <c r="E25" s="4">
        <v>1</v>
      </c>
      <c r="F25" s="4">
        <v>10</v>
      </c>
      <c r="G25" s="3" t="str">
        <f t="shared" si="0"/>
        <v>MOVESPD</v>
      </c>
      <c r="H25" s="3" t="s">
        <v>84</v>
      </c>
      <c r="I25" s="3" t="s">
        <v>193</v>
      </c>
      <c r="K25" s="3" t="str">
        <f t="shared" si="1"/>
        <v>移速</v>
      </c>
      <c r="L25" s="3" t="s">
        <v>26</v>
      </c>
      <c r="M25" s="2">
        <v>1</v>
      </c>
    </row>
    <row r="26" spans="1:13" s="8" customFormat="1">
      <c r="A26" s="7">
        <v>120</v>
      </c>
      <c r="B26" s="8" t="s">
        <v>182</v>
      </c>
      <c r="C26" s="8" t="s">
        <v>183</v>
      </c>
      <c r="D26" s="7">
        <v>0</v>
      </c>
      <c r="E26" s="9">
        <v>1</v>
      </c>
      <c r="F26" s="9">
        <v>0</v>
      </c>
      <c r="G26" s="8" t="s">
        <v>104</v>
      </c>
      <c r="H26" s="8" t="s">
        <v>198</v>
      </c>
      <c r="K26" s="8" t="str">
        <f t="shared" si="1"/>
        <v>急救术回复</v>
      </c>
      <c r="L26" s="8" t="s">
        <v>199</v>
      </c>
      <c r="M26" s="7">
        <v>1</v>
      </c>
    </row>
    <row r="27" spans="1:13">
      <c r="A27" s="5">
        <v>201</v>
      </c>
      <c r="B27" s="1" t="s">
        <v>46</v>
      </c>
      <c r="C27" s="1" t="s">
        <v>46</v>
      </c>
      <c r="D27" s="5">
        <v>0</v>
      </c>
      <c r="E27" s="6">
        <v>1</v>
      </c>
      <c r="F27" s="6">
        <v>0</v>
      </c>
      <c r="G27" s="1" t="str">
        <f t="shared" ref="G27:G35" si="2">LEFTB(RIGHTB(L27,LENB(L27)-FINDB("_",L27,1)),FINDB(",",RIGHTB(L27,LENB(L27)-FINDB("_",L27,1)),1)-1)</f>
        <v>LEV</v>
      </c>
      <c r="H27" s="1" t="s">
        <v>85</v>
      </c>
      <c r="K27" s="1" t="str">
        <f t="shared" si="1"/>
        <v>等级</v>
      </c>
      <c r="L27" s="1" t="s">
        <v>27</v>
      </c>
      <c r="M27" s="5">
        <v>1</v>
      </c>
    </row>
    <row r="28" spans="1:13">
      <c r="A28" s="5">
        <v>202</v>
      </c>
      <c r="B28" s="1" t="s">
        <v>47</v>
      </c>
      <c r="C28" s="1" t="s">
        <v>47</v>
      </c>
      <c r="D28" s="5">
        <v>0</v>
      </c>
      <c r="E28" s="6">
        <v>1</v>
      </c>
      <c r="F28" s="6">
        <v>0</v>
      </c>
      <c r="G28" s="1" t="str">
        <f t="shared" si="2"/>
        <v>HP</v>
      </c>
      <c r="H28" s="1" t="s">
        <v>86</v>
      </c>
      <c r="K28" s="1" t="str">
        <f t="shared" si="1"/>
        <v>生命</v>
      </c>
      <c r="L28" s="1" t="s">
        <v>28</v>
      </c>
      <c r="M28" s="5">
        <v>1</v>
      </c>
    </row>
    <row r="29" spans="1:13">
      <c r="A29" s="5">
        <v>203</v>
      </c>
      <c r="B29" s="1" t="s">
        <v>48</v>
      </c>
      <c r="C29" s="1" t="s">
        <v>48</v>
      </c>
      <c r="D29" s="5">
        <v>0</v>
      </c>
      <c r="E29" s="6">
        <v>1</v>
      </c>
      <c r="F29" s="6">
        <v>0</v>
      </c>
      <c r="G29" s="1" t="str">
        <f t="shared" si="2"/>
        <v>MP</v>
      </c>
      <c r="H29" s="1" t="s">
        <v>87</v>
      </c>
      <c r="K29" s="1" t="str">
        <f t="shared" si="1"/>
        <v>法力</v>
      </c>
      <c r="L29" s="1" t="s">
        <v>29</v>
      </c>
      <c r="M29" s="5">
        <v>1</v>
      </c>
    </row>
    <row r="30" spans="1:13">
      <c r="A30" s="5">
        <v>204</v>
      </c>
      <c r="B30" s="1" t="s">
        <v>49</v>
      </c>
      <c r="C30" s="1" t="s">
        <v>49</v>
      </c>
      <c r="D30" s="5">
        <v>0</v>
      </c>
      <c r="E30" s="5">
        <v>1</v>
      </c>
      <c r="F30" s="6">
        <v>0</v>
      </c>
      <c r="G30" s="1" t="str">
        <f t="shared" si="2"/>
        <v>EXP</v>
      </c>
      <c r="H30" s="1" t="s">
        <v>88</v>
      </c>
      <c r="K30" s="1" t="str">
        <f t="shared" si="1"/>
        <v>经验</v>
      </c>
      <c r="L30" s="1" t="s">
        <v>30</v>
      </c>
      <c r="M30" s="5">
        <v>1</v>
      </c>
    </row>
    <row r="31" spans="1:13">
      <c r="A31" s="5">
        <v>205</v>
      </c>
      <c r="B31" s="1" t="s">
        <v>50</v>
      </c>
      <c r="C31" s="1" t="s">
        <v>50</v>
      </c>
      <c r="D31" s="5">
        <v>0</v>
      </c>
      <c r="E31" s="5">
        <v>1</v>
      </c>
      <c r="F31" s="6">
        <v>0</v>
      </c>
      <c r="G31" s="1" t="str">
        <f t="shared" si="2"/>
        <v>GOLD</v>
      </c>
      <c r="H31" s="1" t="s">
        <v>89</v>
      </c>
      <c r="K31" s="1" t="str">
        <f t="shared" si="1"/>
        <v>金钱</v>
      </c>
      <c r="L31" s="1" t="s">
        <v>31</v>
      </c>
      <c r="M31" s="5">
        <v>1</v>
      </c>
    </row>
    <row r="32" spans="1:13">
      <c r="A32" s="5">
        <v>206</v>
      </c>
      <c r="B32" s="1" t="s">
        <v>51</v>
      </c>
      <c r="C32" s="1" t="s">
        <v>51</v>
      </c>
      <c r="D32" s="5">
        <v>0</v>
      </c>
      <c r="E32" s="5">
        <v>1</v>
      </c>
      <c r="F32" s="5">
        <v>0</v>
      </c>
      <c r="G32" s="1" t="str">
        <f t="shared" si="2"/>
        <v>MONEY</v>
      </c>
      <c r="H32" s="1" t="s">
        <v>90</v>
      </c>
      <c r="K32" s="1" t="str">
        <f t="shared" si="1"/>
        <v>付费货币（白金币）</v>
      </c>
      <c r="L32" s="1" t="s">
        <v>32</v>
      </c>
      <c r="M32" s="5">
        <v>1</v>
      </c>
    </row>
    <row r="33" spans="1:13">
      <c r="A33" s="5">
        <v>207</v>
      </c>
      <c r="B33" s="1" t="s">
        <v>52</v>
      </c>
      <c r="C33" s="1" t="s">
        <v>52</v>
      </c>
      <c r="D33" s="5">
        <v>0</v>
      </c>
      <c r="E33" s="5">
        <v>1</v>
      </c>
      <c r="F33" s="5">
        <v>0</v>
      </c>
      <c r="G33" s="1" t="str">
        <f t="shared" si="2"/>
        <v>EXPGETDAILY</v>
      </c>
      <c r="H33" s="1" t="s">
        <v>91</v>
      </c>
      <c r="K33" s="1" t="str">
        <f t="shared" si="1"/>
        <v>当日获取经验</v>
      </c>
      <c r="L33" s="1" t="s">
        <v>33</v>
      </c>
      <c r="M33" s="5">
        <v>1</v>
      </c>
    </row>
    <row r="34" spans="1:13">
      <c r="A34" s="5">
        <v>208</v>
      </c>
      <c r="B34" s="1" t="s">
        <v>53</v>
      </c>
      <c r="C34" s="1" t="s">
        <v>53</v>
      </c>
      <c r="D34" s="5">
        <v>0</v>
      </c>
      <c r="E34" s="5">
        <v>1</v>
      </c>
      <c r="F34" s="5">
        <v>0</v>
      </c>
      <c r="G34" s="1" t="str">
        <f t="shared" si="2"/>
        <v>GOLDGETDAILY</v>
      </c>
      <c r="H34" s="1" t="s">
        <v>92</v>
      </c>
      <c r="K34" s="1" t="str">
        <f t="shared" si="1"/>
        <v>当日获取金钱</v>
      </c>
      <c r="L34" s="1" t="s">
        <v>34</v>
      </c>
      <c r="M34" s="5">
        <v>1</v>
      </c>
    </row>
    <row r="35" spans="1:13">
      <c r="A35" s="5">
        <v>209</v>
      </c>
      <c r="B35" s="1" t="s">
        <v>100</v>
      </c>
      <c r="C35" s="1" t="s">
        <v>101</v>
      </c>
      <c r="D35" s="5">
        <v>0</v>
      </c>
      <c r="E35" s="5">
        <v>1</v>
      </c>
      <c r="F35" s="5">
        <v>0</v>
      </c>
      <c r="G35" s="1" t="str">
        <f t="shared" si="2"/>
        <v>BINDING_COIN</v>
      </c>
      <c r="H35" s="1" t="s">
        <v>99</v>
      </c>
      <c r="K35" s="1" t="s">
        <v>102</v>
      </c>
      <c r="L35" s="1" t="s">
        <v>103</v>
      </c>
      <c r="M35" s="5">
        <v>1</v>
      </c>
    </row>
    <row r="36" spans="1:13">
      <c r="A36" s="5">
        <v>214</v>
      </c>
      <c r="B36" s="1" t="s">
        <v>111</v>
      </c>
      <c r="C36" s="1" t="s">
        <v>111</v>
      </c>
      <c r="D36" s="5">
        <v>0</v>
      </c>
      <c r="E36" s="5">
        <v>1</v>
      </c>
      <c r="F36" s="5">
        <v>0</v>
      </c>
      <c r="G36" s="1" t="s">
        <v>110</v>
      </c>
      <c r="H36" s="1" t="s">
        <v>200</v>
      </c>
      <c r="K36" s="1" t="s">
        <v>201</v>
      </c>
      <c r="M36" s="5">
        <v>1</v>
      </c>
    </row>
    <row r="37" spans="1:13">
      <c r="A37" s="5">
        <v>215</v>
      </c>
      <c r="B37" s="1" t="s">
        <v>112</v>
      </c>
      <c r="C37" s="1" t="s">
        <v>112</v>
      </c>
      <c r="D37" s="5">
        <v>0</v>
      </c>
      <c r="E37" s="5">
        <v>1</v>
      </c>
      <c r="F37" s="5">
        <v>0</v>
      </c>
      <c r="K37" s="1" t="s">
        <v>112</v>
      </c>
      <c r="M37" s="5">
        <v>1</v>
      </c>
    </row>
    <row r="38" spans="1:13">
      <c r="A38" s="5">
        <v>301</v>
      </c>
      <c r="B38" s="1" t="s">
        <v>54</v>
      </c>
      <c r="C38" s="1" t="s">
        <v>54</v>
      </c>
      <c r="D38" s="5">
        <v>0</v>
      </c>
      <c r="E38" s="5">
        <v>1</v>
      </c>
      <c r="F38" s="5">
        <v>0</v>
      </c>
      <c r="G38" s="1" t="str">
        <f t="shared" ref="G38:G43" si="3">LEFTB(RIGHTB(L38,LENB(L38)-FINDB("_",L38,1)),FINDB(",",RIGHTB(L38,LENB(L38)-FINDB("_",L38,1)),1)-1)</f>
        <v>LEVLIMIT</v>
      </c>
      <c r="H38" s="1" t="s">
        <v>93</v>
      </c>
      <c r="K38" s="1" t="str">
        <f t="shared" ref="K38:K43" si="4">RIGHTB(L38,LENB(L38)-FINDB("%% ",L38,1)-2)</f>
        <v>等级上限</v>
      </c>
      <c r="L38" s="1" t="s">
        <v>35</v>
      </c>
      <c r="M38" s="5">
        <v>1</v>
      </c>
    </row>
    <row r="39" spans="1:13">
      <c r="A39" s="5">
        <v>304</v>
      </c>
      <c r="B39" s="1" t="s">
        <v>55</v>
      </c>
      <c r="C39" s="1" t="s">
        <v>55</v>
      </c>
      <c r="D39" s="5">
        <v>0</v>
      </c>
      <c r="E39" s="5">
        <v>1</v>
      </c>
      <c r="F39" s="5">
        <v>0</v>
      </c>
      <c r="G39" s="1" t="str">
        <f t="shared" si="3"/>
        <v>EXPNEEDED</v>
      </c>
      <c r="H39" s="1" t="s">
        <v>94</v>
      </c>
      <c r="K39" s="1" t="str">
        <f t="shared" si="4"/>
        <v>经验上限</v>
      </c>
      <c r="L39" s="1" t="s">
        <v>36</v>
      </c>
      <c r="M39" s="5">
        <v>1</v>
      </c>
    </row>
    <row r="40" spans="1:13">
      <c r="A40" s="5">
        <v>305</v>
      </c>
      <c r="B40" s="1" t="s">
        <v>56</v>
      </c>
      <c r="C40" s="1" t="s">
        <v>56</v>
      </c>
      <c r="D40" s="5">
        <v>0</v>
      </c>
      <c r="E40" s="5">
        <v>1</v>
      </c>
      <c r="F40" s="5">
        <v>0</v>
      </c>
      <c r="G40" s="1" t="str">
        <f t="shared" si="3"/>
        <v>GOLDLIMIT</v>
      </c>
      <c r="H40" s="1" t="s">
        <v>95</v>
      </c>
      <c r="K40" s="1" t="str">
        <f t="shared" si="4"/>
        <v>金钱上限</v>
      </c>
      <c r="L40" s="1" t="s">
        <v>37</v>
      </c>
      <c r="M40" s="5">
        <v>1</v>
      </c>
    </row>
    <row r="41" spans="1:13">
      <c r="A41" s="5">
        <v>306</v>
      </c>
      <c r="B41" s="1" t="s">
        <v>57</v>
      </c>
      <c r="C41" s="1" t="s">
        <v>57</v>
      </c>
      <c r="D41" s="5">
        <v>0</v>
      </c>
      <c r="E41" s="5">
        <v>1</v>
      </c>
      <c r="F41" s="5">
        <v>0</v>
      </c>
      <c r="G41" s="1" t="str">
        <f t="shared" si="3"/>
        <v>MONEYLIMIT</v>
      </c>
      <c r="H41" s="1" t="s">
        <v>96</v>
      </c>
      <c r="K41" s="1" t="str">
        <f t="shared" si="4"/>
        <v>付费货币上限（白金币）</v>
      </c>
      <c r="L41" s="1" t="s">
        <v>38</v>
      </c>
      <c r="M41" s="5">
        <v>1</v>
      </c>
    </row>
    <row r="42" spans="1:13">
      <c r="A42" s="5">
        <v>307</v>
      </c>
      <c r="B42" s="1" t="s">
        <v>58</v>
      </c>
      <c r="C42" s="1" t="s">
        <v>58</v>
      </c>
      <c r="D42" s="5">
        <v>0</v>
      </c>
      <c r="E42" s="5">
        <v>1</v>
      </c>
      <c r="F42" s="5">
        <v>0</v>
      </c>
      <c r="G42" s="1" t="str">
        <f t="shared" si="3"/>
        <v>EXPGETDAILYLIMIT</v>
      </c>
      <c r="H42" s="1" t="s">
        <v>97</v>
      </c>
      <c r="K42" s="1" t="str">
        <f t="shared" si="4"/>
        <v>当日获取经验上限</v>
      </c>
      <c r="L42" s="1" t="s">
        <v>39</v>
      </c>
      <c r="M42" s="5">
        <v>1</v>
      </c>
    </row>
    <row r="43" spans="1:13">
      <c r="A43" s="5">
        <v>308</v>
      </c>
      <c r="B43" s="1" t="s">
        <v>59</v>
      </c>
      <c r="C43" s="1" t="s">
        <v>59</v>
      </c>
      <c r="D43" s="5">
        <v>0</v>
      </c>
      <c r="E43" s="5">
        <v>1</v>
      </c>
      <c r="F43" s="5">
        <v>0</v>
      </c>
      <c r="G43" s="1" t="str">
        <f t="shared" si="3"/>
        <v>GOLDGETDAILYLIMIT</v>
      </c>
      <c r="H43" s="1" t="s">
        <v>98</v>
      </c>
      <c r="K43" s="1" t="str">
        <f t="shared" si="4"/>
        <v>当日获取金钱上限</v>
      </c>
      <c r="L43" s="1" t="s">
        <v>40</v>
      </c>
      <c r="M43" s="5">
        <v>1</v>
      </c>
    </row>
  </sheetData>
  <autoFilter ref="A1:L43">
    <sortState ref="A2:L43">
      <sortCondition ref="A1:A43"/>
    </sortState>
  </autoFilter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E24"/>
  <sheetViews>
    <sheetView workbookViewId="0">
      <selection activeCell="L24" sqref="L24"/>
    </sheetView>
  </sheetViews>
  <sheetFormatPr defaultRowHeight="13.5"/>
  <cols>
    <col min="2" max="2" width="9" bestFit="1" customWidth="1"/>
    <col min="3" max="3" width="15" bestFit="1" customWidth="1"/>
    <col min="4" max="4" width="33.875" bestFit="1" customWidth="1"/>
  </cols>
  <sheetData>
    <row r="1" spans="1:5">
      <c r="A1">
        <v>1</v>
      </c>
      <c r="B1" t="s">
        <v>41</v>
      </c>
      <c r="C1" t="s">
        <v>134</v>
      </c>
      <c r="D1" t="s">
        <v>116</v>
      </c>
    </row>
    <row r="2" spans="1:5">
      <c r="A2">
        <v>2</v>
      </c>
      <c r="B2" t="s">
        <v>42</v>
      </c>
      <c r="C2" t="s">
        <v>135</v>
      </c>
      <c r="D2" t="s">
        <v>116</v>
      </c>
    </row>
    <row r="3" spans="1:5">
      <c r="A3">
        <v>3</v>
      </c>
      <c r="B3" t="s">
        <v>43</v>
      </c>
      <c r="C3" t="s">
        <v>136</v>
      </c>
      <c r="D3" t="s">
        <v>116</v>
      </c>
    </row>
    <row r="4" spans="1:5">
      <c r="A4">
        <v>4</v>
      </c>
      <c r="B4" t="s">
        <v>44</v>
      </c>
      <c r="C4" t="s">
        <v>137</v>
      </c>
      <c r="D4" t="s">
        <v>116</v>
      </c>
    </row>
    <row r="5" spans="1:5">
      <c r="A5">
        <v>5</v>
      </c>
      <c r="B5" t="s">
        <v>138</v>
      </c>
      <c r="C5" t="s">
        <v>139</v>
      </c>
      <c r="D5" t="s">
        <v>116</v>
      </c>
    </row>
    <row r="6" spans="1:5">
      <c r="A6">
        <v>101</v>
      </c>
      <c r="B6" t="s">
        <v>140</v>
      </c>
      <c r="C6" t="s">
        <v>141</v>
      </c>
      <c r="D6" t="s">
        <v>116</v>
      </c>
    </row>
    <row r="7" spans="1:5">
      <c r="A7">
        <v>102</v>
      </c>
      <c r="B7" t="s">
        <v>142</v>
      </c>
      <c r="C7" t="s">
        <v>143</v>
      </c>
      <c r="D7" t="s">
        <v>116</v>
      </c>
    </row>
    <row r="8" spans="1:5">
      <c r="A8">
        <v>103</v>
      </c>
      <c r="B8" t="s">
        <v>144</v>
      </c>
      <c r="C8" t="s">
        <v>145</v>
      </c>
      <c r="D8" t="s">
        <v>118</v>
      </c>
      <c r="E8" t="s">
        <v>173</v>
      </c>
    </row>
    <row r="9" spans="1:5">
      <c r="A9">
        <v>104</v>
      </c>
      <c r="B9" t="s">
        <v>47</v>
      </c>
      <c r="C9" t="s">
        <v>146</v>
      </c>
      <c r="D9" t="s">
        <v>116</v>
      </c>
    </row>
    <row r="10" spans="1:5">
      <c r="A10">
        <v>105</v>
      </c>
      <c r="B10" t="s">
        <v>48</v>
      </c>
      <c r="C10" t="s">
        <v>147</v>
      </c>
      <c r="D10" t="s">
        <v>116</v>
      </c>
    </row>
    <row r="11" spans="1:5">
      <c r="A11">
        <v>106</v>
      </c>
      <c r="B11" t="s">
        <v>148</v>
      </c>
      <c r="C11" t="s">
        <v>149</v>
      </c>
      <c r="D11" t="s">
        <v>126</v>
      </c>
      <c r="E11" t="s">
        <v>173</v>
      </c>
    </row>
    <row r="12" spans="1:5">
      <c r="A12">
        <v>107</v>
      </c>
      <c r="B12" t="s">
        <v>150</v>
      </c>
      <c r="C12" t="s">
        <v>151</v>
      </c>
      <c r="D12" t="s">
        <v>120</v>
      </c>
      <c r="E12" t="s">
        <v>173</v>
      </c>
    </row>
    <row r="13" spans="1:5">
      <c r="A13">
        <v>108</v>
      </c>
      <c r="B13" t="s">
        <v>152</v>
      </c>
      <c r="C13" t="s">
        <v>153</v>
      </c>
      <c r="D13" t="s">
        <v>127</v>
      </c>
      <c r="E13" t="s">
        <v>173</v>
      </c>
    </row>
    <row r="14" spans="1:5">
      <c r="A14">
        <v>109</v>
      </c>
      <c r="B14" t="s">
        <v>154</v>
      </c>
      <c r="C14" t="s">
        <v>155</v>
      </c>
      <c r="D14" t="s">
        <v>128</v>
      </c>
      <c r="E14" t="s">
        <v>173</v>
      </c>
    </row>
    <row r="15" spans="1:5">
      <c r="A15">
        <v>110</v>
      </c>
      <c r="B15" t="s">
        <v>156</v>
      </c>
      <c r="C15" t="s">
        <v>157</v>
      </c>
      <c r="D15" t="s">
        <v>129</v>
      </c>
      <c r="E15" t="s">
        <v>173</v>
      </c>
    </row>
    <row r="16" spans="1:5">
      <c r="A16">
        <v>111</v>
      </c>
      <c r="B16" t="s">
        <v>45</v>
      </c>
      <c r="C16" t="s">
        <v>45</v>
      </c>
      <c r="D16" t="s">
        <v>116</v>
      </c>
    </row>
    <row r="17" spans="1:4">
      <c r="A17">
        <v>112</v>
      </c>
      <c r="B17" t="s">
        <v>158</v>
      </c>
      <c r="C17" t="s">
        <v>159</v>
      </c>
      <c r="D17" t="s">
        <v>122</v>
      </c>
    </row>
    <row r="18" spans="1:4">
      <c r="A18">
        <v>113</v>
      </c>
      <c r="B18" t="s">
        <v>160</v>
      </c>
      <c r="C18" t="s">
        <v>161</v>
      </c>
      <c r="D18" t="s">
        <v>124</v>
      </c>
    </row>
    <row r="19" spans="1:4">
      <c r="A19">
        <v>114</v>
      </c>
      <c r="B19" t="s">
        <v>162</v>
      </c>
      <c r="C19" t="s">
        <v>163</v>
      </c>
      <c r="D19" t="s">
        <v>130</v>
      </c>
    </row>
    <row r="20" spans="1:4">
      <c r="A20">
        <v>115</v>
      </c>
      <c r="B20" t="s">
        <v>164</v>
      </c>
      <c r="C20" t="s">
        <v>165</v>
      </c>
      <c r="D20" t="s">
        <v>131</v>
      </c>
    </row>
    <row r="21" spans="1:4">
      <c r="A21">
        <v>116</v>
      </c>
      <c r="B21" t="s">
        <v>166</v>
      </c>
      <c r="C21" t="s">
        <v>167</v>
      </c>
      <c r="D21" t="s">
        <v>116</v>
      </c>
    </row>
    <row r="22" spans="1:4">
      <c r="A22">
        <v>117</v>
      </c>
      <c r="B22" t="s">
        <v>133</v>
      </c>
      <c r="C22" t="s">
        <v>168</v>
      </c>
      <c r="D22" t="s">
        <v>116</v>
      </c>
    </row>
    <row r="23" spans="1:4">
      <c r="A23">
        <v>118</v>
      </c>
      <c r="B23" t="s">
        <v>169</v>
      </c>
      <c r="C23" t="s">
        <v>170</v>
      </c>
      <c r="D23" t="s">
        <v>116</v>
      </c>
    </row>
    <row r="24" spans="1:4">
      <c r="A24">
        <v>119</v>
      </c>
      <c r="B24" t="s">
        <v>171</v>
      </c>
      <c r="C24" t="s">
        <v>172</v>
      </c>
      <c r="D24" t="s">
        <v>116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CharPropertyConfig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2018-01-30T08:25:08Z</dcterms:modified>
</cp:coreProperties>
</file>