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5" windowWidth="14520" windowHeight="11190"/>
  </bookViews>
  <sheets>
    <sheet name="titles" sheetId="1" r:id="rId1"/>
    <sheet name="备份的称号" sheetId="3" r:id="rId2"/>
  </sheets>
  <externalReferences>
    <externalReference r:id="rId3"/>
    <externalReference r:id="rId4"/>
    <externalReference r:id="rId5"/>
  </externalReferences>
  <definedNames>
    <definedName name="_xlnm._FilterDatabase" localSheetId="0" hidden="1">titles!$I$1:$I$69</definedName>
  </definedNames>
  <calcPr calcId="145621"/>
</workbook>
</file>

<file path=xl/calcChain.xml><?xml version="1.0" encoding="utf-8"?>
<calcChain xmlns="http://schemas.openxmlformats.org/spreadsheetml/2006/main">
  <c r="AX3" i="1" l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2" i="1"/>
  <c r="AO97" i="1" l="1"/>
  <c r="AM97" i="1"/>
  <c r="Y97" i="1"/>
  <c r="AA97" i="1"/>
  <c r="AC97" i="1"/>
  <c r="H97" i="1"/>
  <c r="G97" i="1"/>
  <c r="AJ97" i="1"/>
  <c r="AL97" i="1"/>
  <c r="AK97" i="1"/>
  <c r="AI97" i="1"/>
  <c r="AH97" i="1"/>
  <c r="AD97" i="1" s="1"/>
  <c r="AG97" i="1"/>
  <c r="W97" i="1"/>
  <c r="V97" i="1"/>
  <c r="U97" i="1"/>
  <c r="T97" i="1"/>
  <c r="S97" i="1"/>
  <c r="R97" i="1"/>
  <c r="F97" i="1"/>
  <c r="E97" i="1"/>
  <c r="AO96" i="1"/>
  <c r="AM96" i="1"/>
  <c r="Y96" i="1"/>
  <c r="AA96" i="1"/>
  <c r="AC96" i="1"/>
  <c r="H96" i="1"/>
  <c r="G96" i="1"/>
  <c r="AJ96" i="1"/>
  <c r="AL96" i="1"/>
  <c r="AK96" i="1"/>
  <c r="AI96" i="1"/>
  <c r="AH96" i="1"/>
  <c r="AG96" i="1"/>
  <c r="W96" i="1"/>
  <c r="V96" i="1"/>
  <c r="U96" i="1"/>
  <c r="T96" i="1"/>
  <c r="S96" i="1"/>
  <c r="R96" i="1"/>
  <c r="F96" i="1"/>
  <c r="E96" i="1"/>
  <c r="O95" i="1"/>
  <c r="O94" i="1"/>
  <c r="O93" i="1"/>
  <c r="O92" i="1"/>
  <c r="AO95" i="1"/>
  <c r="AM95" i="1"/>
  <c r="Y95" i="1"/>
  <c r="AA95" i="1"/>
  <c r="AC95" i="1"/>
  <c r="H95" i="1"/>
  <c r="G95" i="1"/>
  <c r="AJ95" i="1"/>
  <c r="AL95" i="1"/>
  <c r="AK95" i="1"/>
  <c r="AI95" i="1"/>
  <c r="AH95" i="1"/>
  <c r="AG95" i="1"/>
  <c r="W95" i="1"/>
  <c r="V95" i="1"/>
  <c r="U95" i="1"/>
  <c r="T95" i="1"/>
  <c r="S95" i="1"/>
  <c r="R95" i="1"/>
  <c r="F95" i="1"/>
  <c r="E95" i="1"/>
  <c r="AO94" i="1"/>
  <c r="AM94" i="1"/>
  <c r="Y94" i="1"/>
  <c r="AA94" i="1"/>
  <c r="AC94" i="1"/>
  <c r="H94" i="1"/>
  <c r="G94" i="1"/>
  <c r="AJ94" i="1"/>
  <c r="AL94" i="1"/>
  <c r="AK94" i="1"/>
  <c r="AI94" i="1"/>
  <c r="AH94" i="1"/>
  <c r="AG94" i="1"/>
  <c r="W94" i="1"/>
  <c r="V94" i="1"/>
  <c r="U94" i="1"/>
  <c r="T94" i="1"/>
  <c r="S94" i="1"/>
  <c r="R94" i="1"/>
  <c r="F94" i="1"/>
  <c r="E94" i="1"/>
  <c r="AG93" i="1"/>
  <c r="Y93" i="1"/>
  <c r="AH93" i="1"/>
  <c r="AA93" i="1"/>
  <c r="AG92" i="1"/>
  <c r="Y92" i="1"/>
  <c r="AH92" i="1"/>
  <c r="AA92" i="1"/>
  <c r="AO93" i="1"/>
  <c r="AM93" i="1"/>
  <c r="AC93" i="1"/>
  <c r="H93" i="1"/>
  <c r="G93" i="1"/>
  <c r="AJ93" i="1"/>
  <c r="AL93" i="1"/>
  <c r="AK93" i="1"/>
  <c r="AI93" i="1"/>
  <c r="W93" i="1"/>
  <c r="V93" i="1"/>
  <c r="U93" i="1"/>
  <c r="T93" i="1"/>
  <c r="S93" i="1"/>
  <c r="R93" i="1"/>
  <c r="F93" i="1"/>
  <c r="E93" i="1"/>
  <c r="AO92" i="1"/>
  <c r="AM92" i="1"/>
  <c r="AC92" i="1"/>
  <c r="H92" i="1"/>
  <c r="G92" i="1"/>
  <c r="AJ92" i="1"/>
  <c r="AL92" i="1"/>
  <c r="AK92" i="1"/>
  <c r="AI92" i="1"/>
  <c r="W92" i="1"/>
  <c r="V92" i="1"/>
  <c r="U92" i="1"/>
  <c r="T92" i="1"/>
  <c r="S92" i="1"/>
  <c r="R92" i="1"/>
  <c r="F92" i="1"/>
  <c r="E92" i="1"/>
  <c r="AG25" i="1"/>
  <c r="Y25" i="1"/>
  <c r="AI25" i="1"/>
  <c r="AC25" i="1"/>
  <c r="AG26" i="1"/>
  <c r="Y26" i="1"/>
  <c r="AI26" i="1"/>
  <c r="AC26" i="1"/>
  <c r="AG27" i="1"/>
  <c r="Y27" i="1"/>
  <c r="AI27" i="1"/>
  <c r="AC27" i="1"/>
  <c r="AG28" i="1"/>
  <c r="Y28" i="1"/>
  <c r="AI28" i="1"/>
  <c r="AC28" i="1"/>
  <c r="AG29" i="1"/>
  <c r="Y29" i="1"/>
  <c r="AI29" i="1"/>
  <c r="AC29" i="1"/>
  <c r="AG30" i="1"/>
  <c r="Y30" i="1"/>
  <c r="AI30" i="1"/>
  <c r="AC30" i="1"/>
  <c r="AG31" i="1"/>
  <c r="Y31" i="1"/>
  <c r="AI31" i="1"/>
  <c r="AC31" i="1"/>
  <c r="AG32" i="1"/>
  <c r="Y32" i="1"/>
  <c r="AI32" i="1"/>
  <c r="AC32" i="1"/>
  <c r="AG33" i="1"/>
  <c r="Y33" i="1"/>
  <c r="AI33" i="1"/>
  <c r="AC33" i="1"/>
  <c r="AG34" i="1"/>
  <c r="Y34" i="1"/>
  <c r="AI34" i="1"/>
  <c r="AC34" i="1"/>
  <c r="AG35" i="1"/>
  <c r="Y35" i="1"/>
  <c r="AI35" i="1"/>
  <c r="AC35" i="1"/>
  <c r="AH36" i="1"/>
  <c r="AA36" i="1"/>
  <c r="AI36" i="1"/>
  <c r="AC36" i="1"/>
  <c r="AH37" i="1"/>
  <c r="AA37" i="1"/>
  <c r="AI37" i="1"/>
  <c r="AC37" i="1"/>
  <c r="AH38" i="1"/>
  <c r="AA38" i="1"/>
  <c r="AI38" i="1"/>
  <c r="AC38" i="1"/>
  <c r="AH39" i="1"/>
  <c r="AA39" i="1"/>
  <c r="AI39" i="1"/>
  <c r="AC39" i="1"/>
  <c r="AG40" i="1"/>
  <c r="Y40" i="1"/>
  <c r="AH40" i="1"/>
  <c r="AA40" i="1"/>
  <c r="AG41" i="1"/>
  <c r="Y41" i="1"/>
  <c r="AH41" i="1"/>
  <c r="AA41" i="1"/>
  <c r="AG42" i="1"/>
  <c r="Y42" i="1"/>
  <c r="AH42" i="1"/>
  <c r="AA42" i="1"/>
  <c r="AG43" i="1"/>
  <c r="Y43" i="1"/>
  <c r="AH43" i="1"/>
  <c r="AA43" i="1"/>
  <c r="AG44" i="1"/>
  <c r="Y44" i="1"/>
  <c r="AH44" i="1"/>
  <c r="AA44" i="1"/>
  <c r="AG45" i="1"/>
  <c r="Y45" i="1"/>
  <c r="AH45" i="1"/>
  <c r="AA45" i="1"/>
  <c r="AG46" i="1"/>
  <c r="Y46" i="1"/>
  <c r="AH46" i="1"/>
  <c r="AA46" i="1"/>
  <c r="AG47" i="1"/>
  <c r="Y47" i="1"/>
  <c r="AH47" i="1"/>
  <c r="AA47" i="1"/>
  <c r="AG48" i="1"/>
  <c r="Y48" i="1"/>
  <c r="AH48" i="1"/>
  <c r="AA48" i="1"/>
  <c r="AG49" i="1"/>
  <c r="Y49" i="1"/>
  <c r="AH49" i="1"/>
  <c r="AA49" i="1"/>
  <c r="AG50" i="1"/>
  <c r="Y50" i="1"/>
  <c r="AH50" i="1"/>
  <c r="AA50" i="1"/>
  <c r="AG51" i="1"/>
  <c r="Y51" i="1"/>
  <c r="AH51" i="1"/>
  <c r="AA51" i="1"/>
  <c r="AG52" i="1"/>
  <c r="Y52" i="1"/>
  <c r="AH52" i="1"/>
  <c r="AA52" i="1"/>
  <c r="AG53" i="1"/>
  <c r="Y53" i="1"/>
  <c r="AH53" i="1"/>
  <c r="AA53" i="1"/>
  <c r="AG54" i="1"/>
  <c r="Y54" i="1"/>
  <c r="AH54" i="1"/>
  <c r="AA54" i="1"/>
  <c r="AG55" i="1"/>
  <c r="Y55" i="1"/>
  <c r="AH55" i="1"/>
  <c r="AA55" i="1"/>
  <c r="AG56" i="1"/>
  <c r="Y56" i="1"/>
  <c r="AH56" i="1"/>
  <c r="AA56" i="1"/>
  <c r="AG57" i="1"/>
  <c r="Y57" i="1"/>
  <c r="AH57" i="1"/>
  <c r="AA57" i="1"/>
  <c r="AG58" i="1"/>
  <c r="Y58" i="1"/>
  <c r="AH58" i="1"/>
  <c r="AA58" i="1"/>
  <c r="AG59" i="1"/>
  <c r="Y59" i="1"/>
  <c r="AI59" i="1"/>
  <c r="AC59" i="1"/>
  <c r="AG60" i="1"/>
  <c r="Y60" i="1"/>
  <c r="AI60" i="1"/>
  <c r="AC60" i="1"/>
  <c r="AG61" i="1"/>
  <c r="Y61" i="1"/>
  <c r="AI61" i="1"/>
  <c r="AC61" i="1"/>
  <c r="AG62" i="1"/>
  <c r="Y62" i="1"/>
  <c r="AI62" i="1"/>
  <c r="AC62" i="1"/>
  <c r="AG63" i="1"/>
  <c r="Y63" i="1"/>
  <c r="AI63" i="1"/>
  <c r="AC63" i="1"/>
  <c r="AH70" i="1"/>
  <c r="AA70" i="1"/>
  <c r="AI70" i="1"/>
  <c r="AC70" i="1"/>
  <c r="AH71" i="1"/>
  <c r="AA71" i="1"/>
  <c r="AI71" i="1"/>
  <c r="AC71" i="1"/>
  <c r="AG66" i="1"/>
  <c r="Y66" i="1"/>
  <c r="AI66" i="1"/>
  <c r="AC66" i="1"/>
  <c r="AG67" i="1"/>
  <c r="Y67" i="1"/>
  <c r="AI67" i="1"/>
  <c r="AC67" i="1"/>
  <c r="AG68" i="1"/>
  <c r="Y68" i="1"/>
  <c r="AI68" i="1"/>
  <c r="AC68" i="1"/>
  <c r="AG69" i="1"/>
  <c r="Y69" i="1"/>
  <c r="AI69" i="1"/>
  <c r="AC69" i="1"/>
  <c r="AG72" i="1"/>
  <c r="Y72" i="1"/>
  <c r="AH72" i="1"/>
  <c r="AA72" i="1"/>
  <c r="AG73" i="1"/>
  <c r="Y73" i="1"/>
  <c r="AH73" i="1"/>
  <c r="AA73" i="1"/>
  <c r="AG74" i="1"/>
  <c r="Y74" i="1"/>
  <c r="AI74" i="1"/>
  <c r="AC74" i="1"/>
  <c r="AG75" i="1"/>
  <c r="Y75" i="1"/>
  <c r="AI75" i="1"/>
  <c r="AC75" i="1"/>
  <c r="AH76" i="1"/>
  <c r="AA76" i="1"/>
  <c r="AI76" i="1"/>
  <c r="AC76" i="1"/>
  <c r="AG77" i="1"/>
  <c r="Y77" i="1"/>
  <c r="AI77" i="1"/>
  <c r="AC77" i="1"/>
  <c r="AG78" i="1"/>
  <c r="Y78" i="1"/>
  <c r="AH78" i="1"/>
  <c r="AA78" i="1"/>
  <c r="AH79" i="1"/>
  <c r="AA79" i="1"/>
  <c r="AI79" i="1"/>
  <c r="AC79" i="1"/>
  <c r="AG80" i="1"/>
  <c r="Y80" i="1"/>
  <c r="AI80" i="1"/>
  <c r="AC80" i="1"/>
  <c r="AG81" i="1"/>
  <c r="Y81" i="1"/>
  <c r="AH81" i="1"/>
  <c r="AA81" i="1"/>
  <c r="AH82" i="1"/>
  <c r="AA82" i="1"/>
  <c r="AI82" i="1"/>
  <c r="AC82" i="1"/>
  <c r="AG83" i="1"/>
  <c r="Y83" i="1"/>
  <c r="AI83" i="1"/>
  <c r="AC83" i="1"/>
  <c r="AG84" i="1"/>
  <c r="Y84" i="1"/>
  <c r="AH84" i="1"/>
  <c r="AA84" i="1"/>
  <c r="AH85" i="1"/>
  <c r="AA85" i="1"/>
  <c r="AI85" i="1"/>
  <c r="AC85" i="1"/>
  <c r="AG86" i="1"/>
  <c r="Y86" i="1"/>
  <c r="AI86" i="1"/>
  <c r="AC86" i="1"/>
  <c r="AG87" i="1"/>
  <c r="Y87" i="1"/>
  <c r="AH87" i="1"/>
  <c r="AA87" i="1"/>
  <c r="AH88" i="1"/>
  <c r="AA88" i="1"/>
  <c r="AI88" i="1"/>
  <c r="AC88" i="1"/>
  <c r="AG89" i="1"/>
  <c r="Y89" i="1"/>
  <c r="AI89" i="1"/>
  <c r="AC89" i="1"/>
  <c r="AG90" i="1"/>
  <c r="Y90" i="1"/>
  <c r="AH90" i="1"/>
  <c r="AA90" i="1"/>
  <c r="AH3" i="1"/>
  <c r="AA3" i="1"/>
  <c r="AI3" i="1"/>
  <c r="AC3" i="1"/>
  <c r="AH4" i="1"/>
  <c r="AA4" i="1"/>
  <c r="AI4" i="1"/>
  <c r="AC4" i="1"/>
  <c r="AH5" i="1"/>
  <c r="AA5" i="1"/>
  <c r="AI5" i="1"/>
  <c r="AC5" i="1"/>
  <c r="AH6" i="1"/>
  <c r="AA6" i="1"/>
  <c r="AI6" i="1"/>
  <c r="AC6" i="1"/>
  <c r="AH7" i="1"/>
  <c r="AA7" i="1"/>
  <c r="AI7" i="1"/>
  <c r="AC7" i="1"/>
  <c r="AH8" i="1"/>
  <c r="AA8" i="1"/>
  <c r="AI8" i="1"/>
  <c r="AC8" i="1"/>
  <c r="AH9" i="1"/>
  <c r="AA9" i="1"/>
  <c r="AI9" i="1"/>
  <c r="AC9" i="1"/>
  <c r="AH10" i="1"/>
  <c r="AA10" i="1"/>
  <c r="AI10" i="1"/>
  <c r="AC10" i="1"/>
  <c r="AG11" i="1"/>
  <c r="Y11" i="1"/>
  <c r="AH11" i="1"/>
  <c r="AA11" i="1"/>
  <c r="AG12" i="1"/>
  <c r="Y12" i="1"/>
  <c r="AH12" i="1"/>
  <c r="AA12" i="1"/>
  <c r="AG13" i="1"/>
  <c r="Y13" i="1"/>
  <c r="AH13" i="1"/>
  <c r="AA13" i="1"/>
  <c r="AG14" i="1"/>
  <c r="Y14" i="1"/>
  <c r="AH14" i="1"/>
  <c r="AA14" i="1"/>
  <c r="AG15" i="1"/>
  <c r="Y15" i="1"/>
  <c r="AH15" i="1"/>
  <c r="AA15" i="1"/>
  <c r="AG16" i="1"/>
  <c r="Y16" i="1"/>
  <c r="AH16" i="1"/>
  <c r="AA16" i="1"/>
  <c r="AG17" i="1"/>
  <c r="Y17" i="1"/>
  <c r="AH17" i="1"/>
  <c r="AA17" i="1"/>
  <c r="AG18" i="1"/>
  <c r="Y18" i="1"/>
  <c r="AH18" i="1"/>
  <c r="AA18" i="1"/>
  <c r="AH19" i="1"/>
  <c r="AA19" i="1"/>
  <c r="AI19" i="1"/>
  <c r="AC19" i="1"/>
  <c r="AH20" i="1"/>
  <c r="AA20" i="1"/>
  <c r="AI20" i="1"/>
  <c r="AC20" i="1"/>
  <c r="AH21" i="1"/>
  <c r="AA21" i="1"/>
  <c r="AI21" i="1"/>
  <c r="AC21" i="1"/>
  <c r="AH22" i="1"/>
  <c r="AA22" i="1"/>
  <c r="AI22" i="1"/>
  <c r="AC22" i="1"/>
  <c r="AH23" i="1"/>
  <c r="AA23" i="1"/>
  <c r="AI23" i="1"/>
  <c r="AC23" i="1"/>
  <c r="AG24" i="1"/>
  <c r="Y24" i="1"/>
  <c r="AI24" i="1"/>
  <c r="AC24" i="1"/>
  <c r="AH2" i="1"/>
  <c r="AA2" i="1"/>
  <c r="AI2" i="1"/>
  <c r="AC2" i="1"/>
  <c r="O91" i="1"/>
  <c r="AI90" i="1"/>
  <c r="AC90" i="1"/>
  <c r="AH74" i="1"/>
  <c r="AA74" i="1"/>
  <c r="AH75" i="1"/>
  <c r="AA75" i="1"/>
  <c r="AH68" i="1"/>
  <c r="AA68" i="1"/>
  <c r="AH66" i="1"/>
  <c r="AA66" i="1"/>
  <c r="AI40" i="1"/>
  <c r="AC40" i="1"/>
  <c r="AI13" i="1"/>
  <c r="AC13" i="1"/>
  <c r="AI47" i="1"/>
  <c r="AC47" i="1"/>
  <c r="AH25" i="1"/>
  <c r="AD25" i="1" s="1"/>
  <c r="AA25" i="1"/>
  <c r="AI50" i="1"/>
  <c r="AC50" i="1"/>
  <c r="AH31" i="1"/>
  <c r="AD31" i="1" s="1"/>
  <c r="AA31" i="1"/>
  <c r="AI73" i="1"/>
  <c r="AC73" i="1"/>
  <c r="AH61" i="1"/>
  <c r="AD61" i="1" s="1"/>
  <c r="AA61" i="1"/>
  <c r="AH29" i="1"/>
  <c r="AA29" i="1"/>
  <c r="AI58" i="1"/>
  <c r="AC58" i="1"/>
  <c r="AH30" i="1"/>
  <c r="AA30" i="1"/>
  <c r="AI57" i="1"/>
  <c r="AC57" i="1"/>
  <c r="AI15" i="1"/>
  <c r="AC15" i="1"/>
  <c r="AI14" i="1"/>
  <c r="AC14" i="1"/>
  <c r="AH33" i="1"/>
  <c r="AA33" i="1"/>
  <c r="AI43" i="1"/>
  <c r="AC43" i="1"/>
  <c r="AH34" i="1"/>
  <c r="AA34" i="1"/>
  <c r="AH60" i="1"/>
  <c r="AD60" i="1" s="1"/>
  <c r="AA60" i="1"/>
  <c r="AH62" i="1"/>
  <c r="AA62" i="1"/>
  <c r="AH83" i="1"/>
  <c r="AD83" i="1" s="1"/>
  <c r="AA83" i="1"/>
  <c r="AI87" i="1"/>
  <c r="AC87" i="1"/>
  <c r="AH89" i="1"/>
  <c r="AD89" i="1" s="1"/>
  <c r="AA89" i="1"/>
  <c r="AI72" i="1"/>
  <c r="AC72" i="1"/>
  <c r="AI78" i="1"/>
  <c r="AC78" i="1"/>
  <c r="AI54" i="1"/>
  <c r="AC54" i="1"/>
  <c r="AI52" i="1"/>
  <c r="AC52" i="1"/>
  <c r="AI17" i="1"/>
  <c r="AC17" i="1"/>
  <c r="AH35" i="1"/>
  <c r="AD35" i="1" s="1"/>
  <c r="AA35" i="1"/>
  <c r="AI56" i="1"/>
  <c r="AC56" i="1"/>
  <c r="AI41" i="1"/>
  <c r="AC41" i="1"/>
  <c r="AI11" i="1"/>
  <c r="AC11" i="1"/>
  <c r="AI18" i="1"/>
  <c r="AC18" i="1"/>
  <c r="AH32" i="1"/>
  <c r="AD32" i="1" s="1"/>
  <c r="AA32" i="1"/>
  <c r="AH63" i="1"/>
  <c r="AD63" i="1" s="1"/>
  <c r="AA63" i="1"/>
  <c r="AH24" i="1"/>
  <c r="AA24" i="1"/>
  <c r="AI42" i="1"/>
  <c r="AC42" i="1"/>
  <c r="AI55" i="1"/>
  <c r="AC55" i="1"/>
  <c r="AH59" i="1"/>
  <c r="AD59" i="1" s="1"/>
  <c r="AA59" i="1"/>
  <c r="AI49" i="1"/>
  <c r="AC49" i="1"/>
  <c r="AI53" i="1"/>
  <c r="AC53" i="1"/>
  <c r="AI81" i="1"/>
  <c r="AC81" i="1"/>
  <c r="AI84" i="1"/>
  <c r="AC84" i="1"/>
  <c r="AH86" i="1"/>
  <c r="AA86" i="1"/>
  <c r="AI48" i="1"/>
  <c r="AC48" i="1"/>
  <c r="AI12" i="1"/>
  <c r="AC12" i="1"/>
  <c r="AI44" i="1"/>
  <c r="AC44" i="1"/>
  <c r="AH69" i="1"/>
  <c r="AA69" i="1"/>
  <c r="AH28" i="1"/>
  <c r="AD28" i="1" s="1"/>
  <c r="AA28" i="1"/>
  <c r="AI46" i="1"/>
  <c r="AC46" i="1"/>
  <c r="AH26" i="1"/>
  <c r="AD26" i="1" s="1"/>
  <c r="AA26" i="1"/>
  <c r="AI45" i="1"/>
  <c r="AC45" i="1"/>
  <c r="AH27" i="1"/>
  <c r="AD27" i="1" s="1"/>
  <c r="AA27" i="1"/>
  <c r="AI16" i="1"/>
  <c r="AC16" i="1"/>
  <c r="AH67" i="1"/>
  <c r="AD67" i="1" s="1"/>
  <c r="AA67" i="1"/>
  <c r="AI51" i="1"/>
  <c r="AC51" i="1"/>
  <c r="AH77" i="1"/>
  <c r="AD77" i="1" s="1"/>
  <c r="AA77" i="1"/>
  <c r="AH80" i="1"/>
  <c r="AA80" i="1"/>
  <c r="AG85" i="1"/>
  <c r="Y85" i="1"/>
  <c r="Y91" i="1"/>
  <c r="AA91" i="1"/>
  <c r="AC91" i="1"/>
  <c r="U91" i="1"/>
  <c r="E91" i="1"/>
  <c r="AG91" i="1"/>
  <c r="AH91" i="1"/>
  <c r="AD91" i="1" s="1"/>
  <c r="AI91" i="1"/>
  <c r="AJ91" i="1"/>
  <c r="AM91" i="1"/>
  <c r="AO91" i="1"/>
  <c r="T91" i="1"/>
  <c r="W91" i="1"/>
  <c r="H91" i="1"/>
  <c r="R91" i="1"/>
  <c r="F91" i="1"/>
  <c r="S91" i="1"/>
  <c r="V91" i="1"/>
  <c r="G91" i="1"/>
  <c r="AL91" i="1"/>
  <c r="AK91" i="1"/>
  <c r="R77" i="1"/>
  <c r="AJ77" i="1"/>
  <c r="AM77" i="1"/>
  <c r="C77" i="1" s="1"/>
  <c r="AO77" i="1"/>
  <c r="AJ78" i="1"/>
  <c r="AM78" i="1"/>
  <c r="C78" i="1" s="1"/>
  <c r="AO78" i="1"/>
  <c r="Y79" i="1"/>
  <c r="AG79" i="1"/>
  <c r="AJ79" i="1"/>
  <c r="AM79" i="1"/>
  <c r="C79" i="1" s="1"/>
  <c r="AO79" i="1"/>
  <c r="R80" i="1"/>
  <c r="AJ80" i="1"/>
  <c r="AM80" i="1"/>
  <c r="C80" i="1" s="1"/>
  <c r="AO80" i="1"/>
  <c r="H81" i="1"/>
  <c r="AJ81" i="1"/>
  <c r="AM81" i="1"/>
  <c r="C81" i="1" s="1"/>
  <c r="AO81" i="1"/>
  <c r="Y82" i="1"/>
  <c r="AG82" i="1"/>
  <c r="AJ82" i="1"/>
  <c r="AM82" i="1"/>
  <c r="C82" i="1" s="1"/>
  <c r="AO82" i="1"/>
  <c r="AJ83" i="1"/>
  <c r="AM83" i="1"/>
  <c r="C83" i="1" s="1"/>
  <c r="AO83" i="1"/>
  <c r="AJ84" i="1"/>
  <c r="AM84" i="1"/>
  <c r="C84" i="1" s="1"/>
  <c r="AO84" i="1"/>
  <c r="H85" i="1"/>
  <c r="AJ85" i="1"/>
  <c r="AM85" i="1"/>
  <c r="C85" i="1" s="1"/>
  <c r="AO85" i="1"/>
  <c r="AJ86" i="1"/>
  <c r="AM86" i="1"/>
  <c r="C86" i="1" s="1"/>
  <c r="AO86" i="1"/>
  <c r="R87" i="1"/>
  <c r="AJ87" i="1"/>
  <c r="AM87" i="1"/>
  <c r="C87" i="1" s="1"/>
  <c r="AO87" i="1"/>
  <c r="Y88" i="1"/>
  <c r="U88" i="1"/>
  <c r="AG88" i="1"/>
  <c r="AJ88" i="1"/>
  <c r="AM88" i="1"/>
  <c r="C88" i="1" s="1"/>
  <c r="AO88" i="1"/>
  <c r="H89" i="1"/>
  <c r="AJ89" i="1"/>
  <c r="AM89" i="1"/>
  <c r="C89" i="1" s="1"/>
  <c r="AO89" i="1"/>
  <c r="U90" i="1"/>
  <c r="AJ90" i="1"/>
  <c r="AM90" i="1"/>
  <c r="C90" i="1" s="1"/>
  <c r="AO90" i="1"/>
  <c r="E88" i="1"/>
  <c r="V87" i="1"/>
  <c r="H87" i="1"/>
  <c r="V90" i="1"/>
  <c r="H90" i="1"/>
  <c r="U89" i="1"/>
  <c r="R88" i="1"/>
  <c r="F88" i="1"/>
  <c r="H86" i="1"/>
  <c r="U85" i="1"/>
  <c r="E85" i="1"/>
  <c r="V82" i="1"/>
  <c r="H82" i="1"/>
  <c r="R81" i="1"/>
  <c r="V78" i="1"/>
  <c r="H78" i="1"/>
  <c r="V77" i="1"/>
  <c r="H77" i="1"/>
  <c r="R90" i="1"/>
  <c r="V88" i="1"/>
  <c r="H88" i="1"/>
  <c r="U87" i="1"/>
  <c r="R86" i="1"/>
  <c r="H84" i="1"/>
  <c r="U83" i="1"/>
  <c r="R82" i="1"/>
  <c r="F82" i="1"/>
  <c r="V80" i="1"/>
  <c r="E80" i="1"/>
  <c r="H80" i="1"/>
  <c r="R79" i="1"/>
  <c r="F79" i="1"/>
  <c r="W77" i="1"/>
  <c r="V83" i="1"/>
  <c r="E83" i="1"/>
  <c r="H83" i="1"/>
  <c r="V79" i="1"/>
  <c r="H79" i="1"/>
  <c r="R78" i="1"/>
  <c r="S77" i="1"/>
  <c r="F77" i="1"/>
  <c r="V89" i="1"/>
  <c r="R89" i="1"/>
  <c r="V85" i="1"/>
  <c r="R85" i="1"/>
  <c r="F85" i="1"/>
  <c r="V86" i="1"/>
  <c r="U86" i="1"/>
  <c r="R84" i="1"/>
  <c r="V84" i="1"/>
  <c r="R83" i="1"/>
  <c r="U82" i="1"/>
  <c r="E82" i="1"/>
  <c r="V81" i="1"/>
  <c r="T89" i="1"/>
  <c r="T86" i="1"/>
  <c r="T83" i="1"/>
  <c r="T80" i="1"/>
  <c r="U84" i="1"/>
  <c r="U81" i="1"/>
  <c r="U80" i="1"/>
  <c r="U79" i="1"/>
  <c r="E79" i="1"/>
  <c r="U78" i="1"/>
  <c r="U77" i="1"/>
  <c r="T87" i="1"/>
  <c r="F87" i="1"/>
  <c r="T84" i="1"/>
  <c r="F84" i="1"/>
  <c r="T81" i="1"/>
  <c r="F81" i="1"/>
  <c r="T77" i="1"/>
  <c r="E77" i="1"/>
  <c r="T90" i="1"/>
  <c r="F90" i="1"/>
  <c r="T78" i="1"/>
  <c r="F78" i="1"/>
  <c r="W90" i="1"/>
  <c r="E90" i="1"/>
  <c r="S90" i="1"/>
  <c r="W89" i="1"/>
  <c r="S89" i="1"/>
  <c r="F89" i="1"/>
  <c r="W88" i="1"/>
  <c r="S88" i="1"/>
  <c r="W87" i="1"/>
  <c r="S87" i="1"/>
  <c r="W86" i="1"/>
  <c r="S86" i="1"/>
  <c r="F86" i="1"/>
  <c r="W85" i="1"/>
  <c r="S85" i="1"/>
  <c r="W84" i="1"/>
  <c r="E84" i="1"/>
  <c r="S84" i="1"/>
  <c r="W83" i="1"/>
  <c r="S83" i="1"/>
  <c r="F83" i="1"/>
  <c r="W82" i="1"/>
  <c r="S82" i="1"/>
  <c r="W81" i="1"/>
  <c r="E81" i="1"/>
  <c r="S81" i="1"/>
  <c r="W80" i="1"/>
  <c r="S80" i="1"/>
  <c r="F80" i="1"/>
  <c r="W79" i="1"/>
  <c r="S79" i="1"/>
  <c r="W78" i="1"/>
  <c r="S78" i="1"/>
  <c r="T88" i="1"/>
  <c r="T85" i="1"/>
  <c r="T82" i="1"/>
  <c r="T79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2" i="1"/>
  <c r="AW2" i="1"/>
  <c r="AZ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Z11" i="1"/>
  <c r="AZ6" i="1"/>
  <c r="AZ4" i="1"/>
  <c r="AZ3" i="1"/>
  <c r="AZ8" i="1"/>
  <c r="AZ7" i="1"/>
  <c r="AZ9" i="1"/>
  <c r="AZ10" i="1"/>
  <c r="AZ5" i="1"/>
  <c r="E78" i="1"/>
  <c r="AK79" i="1"/>
  <c r="G79" i="1"/>
  <c r="AL79" i="1"/>
  <c r="AK81" i="1"/>
  <c r="G81" i="1"/>
  <c r="AL81" i="1"/>
  <c r="AK84" i="1"/>
  <c r="G84" i="1"/>
  <c r="AK87" i="1"/>
  <c r="G87" i="1"/>
  <c r="AK88" i="1"/>
  <c r="G88" i="1"/>
  <c r="AL88" i="1"/>
  <c r="AK78" i="1"/>
  <c r="G78" i="1"/>
  <c r="AL78" i="1"/>
  <c r="AK80" i="1"/>
  <c r="G80" i="1"/>
  <c r="AL80" i="1"/>
  <c r="AK82" i="1"/>
  <c r="G82" i="1"/>
  <c r="AL82" i="1"/>
  <c r="AK85" i="1"/>
  <c r="G85" i="1"/>
  <c r="AL85" i="1"/>
  <c r="AK89" i="1"/>
  <c r="G89" i="1"/>
  <c r="AL89" i="1"/>
  <c r="AK77" i="1"/>
  <c r="G77" i="1"/>
  <c r="AL77" i="1"/>
  <c r="AK83" i="1"/>
  <c r="G83" i="1"/>
  <c r="AL83" i="1"/>
  <c r="E86" i="1"/>
  <c r="AK86" i="1"/>
  <c r="G86" i="1"/>
  <c r="AL86" i="1"/>
  <c r="G90" i="1"/>
  <c r="AL90" i="1"/>
  <c r="AK90" i="1"/>
  <c r="W73" i="1"/>
  <c r="E73" i="1"/>
  <c r="V75" i="1"/>
  <c r="E75" i="1"/>
  <c r="S75" i="1"/>
  <c r="F75" i="1"/>
  <c r="R76" i="1"/>
  <c r="F76" i="1"/>
  <c r="U76" i="1"/>
  <c r="E76" i="1"/>
  <c r="V72" i="1"/>
  <c r="S72" i="1"/>
  <c r="AM72" i="1"/>
  <c r="C72" i="1" s="1"/>
  <c r="AO72" i="1"/>
  <c r="R73" i="1"/>
  <c r="S73" i="1"/>
  <c r="V73" i="1"/>
  <c r="AM73" i="1"/>
  <c r="C73" i="1" s="1"/>
  <c r="AO73" i="1"/>
  <c r="U74" i="1"/>
  <c r="R74" i="1"/>
  <c r="AM74" i="1"/>
  <c r="AO74" i="1"/>
  <c r="U75" i="1"/>
  <c r="R75" i="1"/>
  <c r="T75" i="1"/>
  <c r="W75" i="1"/>
  <c r="AM75" i="1"/>
  <c r="C75" i="1" s="1"/>
  <c r="AO75" i="1"/>
  <c r="Y76" i="1"/>
  <c r="V76" i="1"/>
  <c r="AG76" i="1"/>
  <c r="AM76" i="1"/>
  <c r="C76" i="1" s="1"/>
  <c r="AO76" i="1"/>
  <c r="AC65" i="1"/>
  <c r="AC64" i="1"/>
  <c r="AA64" i="1"/>
  <c r="AA65" i="1"/>
  <c r="Y3" i="1"/>
  <c r="Y4" i="1"/>
  <c r="Y5" i="1"/>
  <c r="H5" i="1"/>
  <c r="G5" i="1"/>
  <c r="AV5" i="1"/>
  <c r="Y6" i="1"/>
  <c r="Y7" i="1"/>
  <c r="Y8" i="1"/>
  <c r="Y9" i="1"/>
  <c r="H9" i="1"/>
  <c r="G9" i="1"/>
  <c r="AV9" i="1"/>
  <c r="Y10" i="1"/>
  <c r="H13" i="1"/>
  <c r="G13" i="1"/>
  <c r="AV13" i="1"/>
  <c r="H17" i="1"/>
  <c r="G17" i="1"/>
  <c r="AV17" i="1"/>
  <c r="Y19" i="1"/>
  <c r="Y20" i="1"/>
  <c r="Y21" i="1"/>
  <c r="H21" i="1"/>
  <c r="G21" i="1"/>
  <c r="AV21" i="1"/>
  <c r="Y22" i="1"/>
  <c r="Y23" i="1"/>
  <c r="H25" i="1"/>
  <c r="G25" i="1"/>
  <c r="AV25" i="1"/>
  <c r="H29" i="1"/>
  <c r="G29" i="1"/>
  <c r="AV29" i="1"/>
  <c r="H33" i="1"/>
  <c r="G33" i="1"/>
  <c r="AV33" i="1"/>
  <c r="Y36" i="1"/>
  <c r="Y37" i="1"/>
  <c r="H37" i="1"/>
  <c r="G37" i="1"/>
  <c r="AV37" i="1"/>
  <c r="Y38" i="1"/>
  <c r="Y39" i="1"/>
  <c r="H41" i="1"/>
  <c r="G41" i="1"/>
  <c r="AV41" i="1"/>
  <c r="H45" i="1"/>
  <c r="G45" i="1"/>
  <c r="AV45" i="1"/>
  <c r="H47" i="1"/>
  <c r="G47" i="1"/>
  <c r="AV47" i="1"/>
  <c r="H49" i="1"/>
  <c r="G49" i="1"/>
  <c r="AV49" i="1"/>
  <c r="H51" i="1"/>
  <c r="G51" i="1"/>
  <c r="AV51" i="1"/>
  <c r="H53" i="1"/>
  <c r="G53" i="1"/>
  <c r="AV53" i="1"/>
  <c r="H55" i="1"/>
  <c r="G55" i="1"/>
  <c r="AV55" i="1"/>
  <c r="H57" i="1"/>
  <c r="G57" i="1"/>
  <c r="AV57" i="1"/>
  <c r="H61" i="1"/>
  <c r="H63" i="1"/>
  <c r="G63" i="1"/>
  <c r="AV63" i="1"/>
  <c r="Y64" i="1"/>
  <c r="Y65" i="1"/>
  <c r="H65" i="1"/>
  <c r="G65" i="1"/>
  <c r="AV65" i="1"/>
  <c r="H67" i="1"/>
  <c r="G67" i="1"/>
  <c r="AV67" i="1"/>
  <c r="H69" i="1"/>
  <c r="G69" i="1"/>
  <c r="AV69" i="1"/>
  <c r="Y70" i="1"/>
  <c r="Y71" i="1"/>
  <c r="H71" i="1"/>
  <c r="G71" i="1"/>
  <c r="AV71" i="1"/>
  <c r="G61" i="1"/>
  <c r="AV61" i="1"/>
  <c r="Y2" i="1"/>
  <c r="U3" i="1"/>
  <c r="E3" i="1"/>
  <c r="R3" i="1"/>
  <c r="F3" i="1"/>
  <c r="U4" i="1"/>
  <c r="E4" i="1"/>
  <c r="R4" i="1"/>
  <c r="F4" i="1"/>
  <c r="U5" i="1"/>
  <c r="E5" i="1"/>
  <c r="R5" i="1"/>
  <c r="F5" i="1"/>
  <c r="U6" i="1"/>
  <c r="E6" i="1"/>
  <c r="R6" i="1"/>
  <c r="F6" i="1"/>
  <c r="U7" i="1"/>
  <c r="E7" i="1"/>
  <c r="R7" i="1"/>
  <c r="F7" i="1"/>
  <c r="U8" i="1"/>
  <c r="E8" i="1"/>
  <c r="R8" i="1"/>
  <c r="F8" i="1"/>
  <c r="U9" i="1"/>
  <c r="E9" i="1"/>
  <c r="R9" i="1"/>
  <c r="F9" i="1"/>
  <c r="U10" i="1"/>
  <c r="E10" i="1"/>
  <c r="R10" i="1"/>
  <c r="F10" i="1"/>
  <c r="W11" i="1"/>
  <c r="E11" i="1"/>
  <c r="T11" i="1"/>
  <c r="F11" i="1"/>
  <c r="W12" i="1"/>
  <c r="E12" i="1"/>
  <c r="T12" i="1"/>
  <c r="F12" i="1"/>
  <c r="W13" i="1"/>
  <c r="E13" i="1"/>
  <c r="T13" i="1"/>
  <c r="F13" i="1"/>
  <c r="W14" i="1"/>
  <c r="E14" i="1"/>
  <c r="T14" i="1"/>
  <c r="F14" i="1"/>
  <c r="W15" i="1"/>
  <c r="E15" i="1"/>
  <c r="T15" i="1"/>
  <c r="F15" i="1"/>
  <c r="W16" i="1"/>
  <c r="E16" i="1"/>
  <c r="T16" i="1"/>
  <c r="F16" i="1"/>
  <c r="W17" i="1"/>
  <c r="E17" i="1"/>
  <c r="T17" i="1"/>
  <c r="F17" i="1"/>
  <c r="W18" i="1"/>
  <c r="E18" i="1"/>
  <c r="T18" i="1"/>
  <c r="F18" i="1"/>
  <c r="U19" i="1"/>
  <c r="E19" i="1"/>
  <c r="R19" i="1"/>
  <c r="F19" i="1"/>
  <c r="U20" i="1"/>
  <c r="E20" i="1"/>
  <c r="R20" i="1"/>
  <c r="F20" i="1"/>
  <c r="U21" i="1"/>
  <c r="E21" i="1"/>
  <c r="R21" i="1"/>
  <c r="F21" i="1"/>
  <c r="U22" i="1"/>
  <c r="E22" i="1"/>
  <c r="R22" i="1"/>
  <c r="F22" i="1"/>
  <c r="U23" i="1"/>
  <c r="E23" i="1"/>
  <c r="V24" i="1"/>
  <c r="E24" i="1"/>
  <c r="S24" i="1"/>
  <c r="F24" i="1"/>
  <c r="V25" i="1"/>
  <c r="E25" i="1"/>
  <c r="S25" i="1"/>
  <c r="F25" i="1"/>
  <c r="V26" i="1"/>
  <c r="E26" i="1"/>
  <c r="S26" i="1"/>
  <c r="F26" i="1"/>
  <c r="V27" i="1"/>
  <c r="E27" i="1"/>
  <c r="S27" i="1"/>
  <c r="F27" i="1"/>
  <c r="V28" i="1"/>
  <c r="E28" i="1"/>
  <c r="S28" i="1"/>
  <c r="F28" i="1"/>
  <c r="V29" i="1"/>
  <c r="E29" i="1"/>
  <c r="S29" i="1"/>
  <c r="F29" i="1"/>
  <c r="V30" i="1"/>
  <c r="E30" i="1"/>
  <c r="S30" i="1"/>
  <c r="F30" i="1"/>
  <c r="V31" i="1"/>
  <c r="E31" i="1"/>
  <c r="S31" i="1"/>
  <c r="F31" i="1"/>
  <c r="V32" i="1"/>
  <c r="E32" i="1"/>
  <c r="S32" i="1"/>
  <c r="F32" i="1"/>
  <c r="V33" i="1"/>
  <c r="E33" i="1"/>
  <c r="S33" i="1"/>
  <c r="F33" i="1"/>
  <c r="V34" i="1"/>
  <c r="E34" i="1"/>
  <c r="S34" i="1"/>
  <c r="F34" i="1"/>
  <c r="V35" i="1"/>
  <c r="E35" i="1"/>
  <c r="S35" i="1"/>
  <c r="F35" i="1"/>
  <c r="U36" i="1"/>
  <c r="E36" i="1"/>
  <c r="R36" i="1"/>
  <c r="F36" i="1"/>
  <c r="U37" i="1"/>
  <c r="E37" i="1"/>
  <c r="R37" i="1"/>
  <c r="F37" i="1"/>
  <c r="U38" i="1"/>
  <c r="E38" i="1"/>
  <c r="R38" i="1"/>
  <c r="F38" i="1"/>
  <c r="U39" i="1"/>
  <c r="E39" i="1"/>
  <c r="R39" i="1"/>
  <c r="F39" i="1"/>
  <c r="W40" i="1"/>
  <c r="E40" i="1"/>
  <c r="T40" i="1"/>
  <c r="F40" i="1"/>
  <c r="W41" i="1"/>
  <c r="E41" i="1"/>
  <c r="W42" i="1"/>
  <c r="E42" i="1"/>
  <c r="T42" i="1"/>
  <c r="F42" i="1"/>
  <c r="W43" i="1"/>
  <c r="E43" i="1"/>
  <c r="T43" i="1"/>
  <c r="F43" i="1"/>
  <c r="W44" i="1"/>
  <c r="E44" i="1"/>
  <c r="T44" i="1"/>
  <c r="F44" i="1"/>
  <c r="W45" i="1"/>
  <c r="E45" i="1"/>
  <c r="W46" i="1"/>
  <c r="E46" i="1"/>
  <c r="T46" i="1"/>
  <c r="F46" i="1"/>
  <c r="W47" i="1"/>
  <c r="E47" i="1"/>
  <c r="T47" i="1"/>
  <c r="F47" i="1"/>
  <c r="U48" i="1"/>
  <c r="W48" i="1"/>
  <c r="E48" i="1"/>
  <c r="R48" i="1"/>
  <c r="T48" i="1"/>
  <c r="F48" i="1"/>
  <c r="U49" i="1"/>
  <c r="W49" i="1"/>
  <c r="E49" i="1"/>
  <c r="R49" i="1"/>
  <c r="T49" i="1"/>
  <c r="F49" i="1"/>
  <c r="U50" i="1"/>
  <c r="W50" i="1"/>
  <c r="E50" i="1"/>
  <c r="R50" i="1"/>
  <c r="T50" i="1"/>
  <c r="F50" i="1"/>
  <c r="U51" i="1"/>
  <c r="W51" i="1"/>
  <c r="E51" i="1"/>
  <c r="R51" i="1"/>
  <c r="T51" i="1"/>
  <c r="F51" i="1"/>
  <c r="U52" i="1"/>
  <c r="W52" i="1"/>
  <c r="E52" i="1"/>
  <c r="R52" i="1"/>
  <c r="T52" i="1"/>
  <c r="F52" i="1"/>
  <c r="U53" i="1"/>
  <c r="W53" i="1"/>
  <c r="E53" i="1"/>
  <c r="R53" i="1"/>
  <c r="T53" i="1"/>
  <c r="F53" i="1"/>
  <c r="U54" i="1"/>
  <c r="W54" i="1"/>
  <c r="E54" i="1"/>
  <c r="R54" i="1"/>
  <c r="T54" i="1"/>
  <c r="F54" i="1"/>
  <c r="U55" i="1"/>
  <c r="W55" i="1"/>
  <c r="E55" i="1"/>
  <c r="R55" i="1"/>
  <c r="T55" i="1"/>
  <c r="F55" i="1"/>
  <c r="U56" i="1"/>
  <c r="W56" i="1"/>
  <c r="E56" i="1"/>
  <c r="R56" i="1"/>
  <c r="T56" i="1"/>
  <c r="F56" i="1"/>
  <c r="U57" i="1"/>
  <c r="W57" i="1"/>
  <c r="E57" i="1"/>
  <c r="R57" i="1"/>
  <c r="T57" i="1"/>
  <c r="F57" i="1"/>
  <c r="U58" i="1"/>
  <c r="W58" i="1"/>
  <c r="E58" i="1"/>
  <c r="R58" i="1"/>
  <c r="T58" i="1"/>
  <c r="F58" i="1"/>
  <c r="U60" i="1"/>
  <c r="V60" i="1"/>
  <c r="E60" i="1"/>
  <c r="R60" i="1"/>
  <c r="S60" i="1"/>
  <c r="F60" i="1"/>
  <c r="U61" i="1"/>
  <c r="V61" i="1"/>
  <c r="E61" i="1"/>
  <c r="R61" i="1"/>
  <c r="S61" i="1"/>
  <c r="F61" i="1"/>
  <c r="U62" i="1"/>
  <c r="V62" i="1"/>
  <c r="E62" i="1"/>
  <c r="R62" i="1"/>
  <c r="S62" i="1"/>
  <c r="F62" i="1"/>
  <c r="U63" i="1"/>
  <c r="V63" i="1"/>
  <c r="E63" i="1"/>
  <c r="R63" i="1"/>
  <c r="S63" i="1"/>
  <c r="F63" i="1"/>
  <c r="U64" i="1"/>
  <c r="V64" i="1"/>
  <c r="E64" i="1"/>
  <c r="R64" i="1"/>
  <c r="S64" i="1"/>
  <c r="F64" i="1"/>
  <c r="U65" i="1"/>
  <c r="V65" i="1"/>
  <c r="E65" i="1"/>
  <c r="R65" i="1"/>
  <c r="S65" i="1"/>
  <c r="F65" i="1"/>
  <c r="U66" i="1"/>
  <c r="V66" i="1"/>
  <c r="E66" i="1"/>
  <c r="R66" i="1"/>
  <c r="S66" i="1"/>
  <c r="F66" i="1"/>
  <c r="U67" i="1"/>
  <c r="V67" i="1"/>
  <c r="E67" i="1"/>
  <c r="R67" i="1"/>
  <c r="S67" i="1"/>
  <c r="F67" i="1"/>
  <c r="U68" i="1"/>
  <c r="V68" i="1"/>
  <c r="E68" i="1"/>
  <c r="R68" i="1"/>
  <c r="S68" i="1"/>
  <c r="F68" i="1"/>
  <c r="U69" i="1"/>
  <c r="V69" i="1"/>
  <c r="E69" i="1"/>
  <c r="R69" i="1"/>
  <c r="S69" i="1"/>
  <c r="F69" i="1"/>
  <c r="U70" i="1"/>
  <c r="E70" i="1"/>
  <c r="U71" i="1"/>
  <c r="E71" i="1"/>
  <c r="R2" i="1"/>
  <c r="F2" i="1"/>
  <c r="U2" i="1"/>
  <c r="E2" i="1"/>
  <c r="AU2" i="1"/>
  <c r="AM2" i="1"/>
  <c r="C2" i="1" s="1"/>
  <c r="AO71" i="1"/>
  <c r="AQ71" i="1"/>
  <c r="AM71" i="1"/>
  <c r="AG71" i="1"/>
  <c r="W71" i="1"/>
  <c r="AO70" i="1"/>
  <c r="AQ70" i="1"/>
  <c r="AM70" i="1"/>
  <c r="V70" i="1"/>
  <c r="AG70" i="1"/>
  <c r="R70" i="1"/>
  <c r="AO6" i="1"/>
  <c r="AQ6" i="1"/>
  <c r="AO7" i="1"/>
  <c r="AQ7" i="1"/>
  <c r="AO8" i="1"/>
  <c r="AQ8" i="1"/>
  <c r="AO9" i="1"/>
  <c r="AQ9" i="1"/>
  <c r="AO10" i="1"/>
  <c r="AQ10" i="1"/>
  <c r="AO11" i="1"/>
  <c r="AQ11" i="1"/>
  <c r="AO12" i="1"/>
  <c r="AQ12" i="1"/>
  <c r="AO13" i="1"/>
  <c r="AQ13" i="1"/>
  <c r="AO14" i="1"/>
  <c r="AQ14" i="1"/>
  <c r="AO15" i="1"/>
  <c r="AQ15" i="1"/>
  <c r="AO16" i="1"/>
  <c r="AQ16" i="1"/>
  <c r="AO17" i="1"/>
  <c r="AQ17" i="1"/>
  <c r="AO18" i="1"/>
  <c r="AQ18" i="1"/>
  <c r="AO19" i="1"/>
  <c r="AQ19" i="1"/>
  <c r="AO20" i="1"/>
  <c r="AQ20" i="1"/>
  <c r="AO21" i="1"/>
  <c r="AQ21" i="1"/>
  <c r="AO22" i="1"/>
  <c r="AQ22" i="1"/>
  <c r="AO23" i="1"/>
  <c r="AQ23" i="1"/>
  <c r="AO24" i="1"/>
  <c r="AQ24" i="1"/>
  <c r="AO25" i="1"/>
  <c r="AQ25" i="1"/>
  <c r="AO26" i="1"/>
  <c r="AQ26" i="1"/>
  <c r="AO27" i="1"/>
  <c r="AQ27" i="1"/>
  <c r="AO28" i="1"/>
  <c r="AQ28" i="1"/>
  <c r="AO29" i="1"/>
  <c r="AQ29" i="1"/>
  <c r="AO30" i="1"/>
  <c r="AQ30" i="1"/>
  <c r="AO31" i="1"/>
  <c r="AQ31" i="1"/>
  <c r="AO32" i="1"/>
  <c r="AQ32" i="1"/>
  <c r="AO33" i="1"/>
  <c r="AQ33" i="1"/>
  <c r="AO34" i="1"/>
  <c r="AQ34" i="1"/>
  <c r="AO35" i="1"/>
  <c r="AQ35" i="1"/>
  <c r="AO36" i="1"/>
  <c r="AQ36" i="1"/>
  <c r="AO37" i="1"/>
  <c r="AQ37" i="1"/>
  <c r="AO38" i="1"/>
  <c r="AQ38" i="1"/>
  <c r="AO39" i="1"/>
  <c r="AQ39" i="1"/>
  <c r="AO40" i="1"/>
  <c r="AQ40" i="1"/>
  <c r="AO41" i="1"/>
  <c r="AQ41" i="1"/>
  <c r="AO42" i="1"/>
  <c r="AQ42" i="1"/>
  <c r="AO43" i="1"/>
  <c r="AQ43" i="1"/>
  <c r="AO44" i="1"/>
  <c r="AQ44" i="1"/>
  <c r="AO45" i="1"/>
  <c r="AQ45" i="1"/>
  <c r="AO46" i="1"/>
  <c r="AQ46" i="1"/>
  <c r="AO47" i="1"/>
  <c r="AQ47" i="1"/>
  <c r="AO48" i="1"/>
  <c r="AQ48" i="1" s="1"/>
  <c r="AO49" i="1"/>
  <c r="AQ49" i="1" s="1"/>
  <c r="AO50" i="1"/>
  <c r="AQ50" i="1" s="1"/>
  <c r="AO51" i="1"/>
  <c r="AQ51" i="1" s="1"/>
  <c r="AO52" i="1"/>
  <c r="AQ52" i="1" s="1"/>
  <c r="AO53" i="1"/>
  <c r="AQ53" i="1" s="1"/>
  <c r="AO54" i="1"/>
  <c r="AQ54" i="1"/>
  <c r="AO55" i="1"/>
  <c r="AQ55" i="1"/>
  <c r="AO56" i="1"/>
  <c r="AQ56" i="1"/>
  <c r="AO57" i="1"/>
  <c r="AQ57" i="1"/>
  <c r="AO58" i="1"/>
  <c r="AQ58" i="1"/>
  <c r="AO59" i="1"/>
  <c r="AQ59" i="1" s="1"/>
  <c r="AO60" i="1"/>
  <c r="AQ60" i="1"/>
  <c r="AO61" i="1"/>
  <c r="AQ61" i="1" s="1"/>
  <c r="AO62" i="1"/>
  <c r="AQ62" i="1"/>
  <c r="AO63" i="1"/>
  <c r="AQ63" i="1" s="1"/>
  <c r="AO64" i="1"/>
  <c r="AQ64" i="1"/>
  <c r="AO65" i="1"/>
  <c r="AQ65" i="1" s="1"/>
  <c r="AO66" i="1"/>
  <c r="AQ66" i="1"/>
  <c r="AO67" i="1"/>
  <c r="AQ67" i="1" s="1"/>
  <c r="AO68" i="1"/>
  <c r="AQ68" i="1"/>
  <c r="AO3" i="1"/>
  <c r="AQ3" i="1"/>
  <c r="AO4" i="1"/>
  <c r="AQ4" i="1"/>
  <c r="AO5" i="1"/>
  <c r="AQ5" i="1"/>
  <c r="AO2" i="1"/>
  <c r="AQ2" i="1"/>
  <c r="AG64" i="1"/>
  <c r="AH64" i="1"/>
  <c r="AI64" i="1"/>
  <c r="AM64" i="1"/>
  <c r="C64" i="1" s="1"/>
  <c r="T65" i="1"/>
  <c r="W65" i="1"/>
  <c r="AG65" i="1"/>
  <c r="AH65" i="1"/>
  <c r="AI65" i="1"/>
  <c r="AM65" i="1"/>
  <c r="C65" i="1" s="1"/>
  <c r="AM66" i="1"/>
  <c r="C66" i="1" s="1"/>
  <c r="AL67" i="1"/>
  <c r="AM67" i="1"/>
  <c r="C67" i="1" s="1"/>
  <c r="AM68" i="1"/>
  <c r="C68" i="1" s="1"/>
  <c r="T64" i="1"/>
  <c r="T68" i="1"/>
  <c r="AL65" i="1"/>
  <c r="AK65" i="1"/>
  <c r="AK39" i="3"/>
  <c r="AI39" i="3"/>
  <c r="C39" i="3" s="1"/>
  <c r="AF39" i="3"/>
  <c r="AE39" i="3"/>
  <c r="Z39" i="3" s="1"/>
  <c r="AD39" i="3"/>
  <c r="W39" i="3"/>
  <c r="Y39" i="3"/>
  <c r="AC39" i="3"/>
  <c r="AB39" i="3" s="1"/>
  <c r="U39" i="3"/>
  <c r="P39" i="3"/>
  <c r="H39" i="3"/>
  <c r="AK38" i="3"/>
  <c r="AI38" i="3"/>
  <c r="C38" i="3" s="1"/>
  <c r="AF38" i="3"/>
  <c r="AE38" i="3"/>
  <c r="AD38" i="3"/>
  <c r="AB38" i="3" s="1"/>
  <c r="AC38" i="3"/>
  <c r="U38" i="3"/>
  <c r="W38" i="3"/>
  <c r="Y38" i="3"/>
  <c r="N38" i="3"/>
  <c r="F38" i="3" s="1"/>
  <c r="P38" i="3"/>
  <c r="AK37" i="3"/>
  <c r="AI37" i="3"/>
  <c r="C37" i="3" s="1"/>
  <c r="AF37" i="3"/>
  <c r="AE37" i="3"/>
  <c r="AC37" i="3"/>
  <c r="U37" i="3"/>
  <c r="Y37" i="3"/>
  <c r="AD37" i="3"/>
  <c r="Z37" i="3" s="1"/>
  <c r="W37" i="3"/>
  <c r="H37" i="3"/>
  <c r="AG37" i="3"/>
  <c r="AK36" i="3"/>
  <c r="AI36" i="3"/>
  <c r="C36" i="3" s="1"/>
  <c r="AF36" i="3"/>
  <c r="AE36" i="3"/>
  <c r="AD36" i="3"/>
  <c r="AC36" i="3"/>
  <c r="U36" i="3"/>
  <c r="W36" i="3"/>
  <c r="Y36" i="3"/>
  <c r="R36" i="3"/>
  <c r="AK35" i="3"/>
  <c r="AI35" i="3"/>
  <c r="C35" i="3" s="1"/>
  <c r="AF35" i="3"/>
  <c r="AE35" i="3"/>
  <c r="AC35" i="3"/>
  <c r="AB35" i="3" s="1"/>
  <c r="U35" i="3"/>
  <c r="Y35" i="3"/>
  <c r="AD35" i="3"/>
  <c r="W35" i="3"/>
  <c r="Q35" i="3"/>
  <c r="E35" i="3" s="1"/>
  <c r="P35" i="3"/>
  <c r="N35" i="3"/>
  <c r="F35" i="3" s="1"/>
  <c r="AK34" i="3"/>
  <c r="AI34" i="3"/>
  <c r="C34" i="3" s="1"/>
  <c r="AF34" i="3"/>
  <c r="AE34" i="3"/>
  <c r="AC34" i="3"/>
  <c r="AA34" i="3" s="1"/>
  <c r="U34" i="3"/>
  <c r="Y34" i="3"/>
  <c r="AD34" i="3"/>
  <c r="W34" i="3"/>
  <c r="N34" i="3"/>
  <c r="F34" i="3" s="1"/>
  <c r="R34" i="3"/>
  <c r="AK33" i="3"/>
  <c r="AI33" i="3"/>
  <c r="C33" i="3" s="1"/>
  <c r="AF33" i="3"/>
  <c r="AE33" i="3"/>
  <c r="AD33" i="3"/>
  <c r="AC33" i="3"/>
  <c r="AA33" i="3" s="1"/>
  <c r="Y33" i="3"/>
  <c r="W33" i="3"/>
  <c r="U33" i="3"/>
  <c r="H33" i="3"/>
  <c r="AG33" i="3"/>
  <c r="AK32" i="3"/>
  <c r="AI32" i="3"/>
  <c r="C32" i="3" s="1"/>
  <c r="AF32" i="3"/>
  <c r="AE32" i="3"/>
  <c r="AC32" i="3"/>
  <c r="U32" i="3"/>
  <c r="Y32" i="3"/>
  <c r="AD32" i="3"/>
  <c r="Z32" i="3" s="1"/>
  <c r="W32" i="3"/>
  <c r="P32" i="3"/>
  <c r="AK31" i="3"/>
  <c r="AI31" i="3"/>
  <c r="C31" i="3" s="1"/>
  <c r="AF31" i="3"/>
  <c r="AE31" i="3"/>
  <c r="AD31" i="3"/>
  <c r="W31" i="3"/>
  <c r="Y31" i="3"/>
  <c r="AC31" i="3"/>
  <c r="U31" i="3"/>
  <c r="P31" i="3"/>
  <c r="AK30" i="3"/>
  <c r="AI30" i="3"/>
  <c r="C30" i="3" s="1"/>
  <c r="AF30" i="3"/>
  <c r="AE30" i="3"/>
  <c r="AC30" i="3"/>
  <c r="AD30" i="3"/>
  <c r="U30" i="3"/>
  <c r="W30" i="3"/>
  <c r="Y30" i="3"/>
  <c r="Q30" i="3"/>
  <c r="E30" i="3" s="1"/>
  <c r="R30" i="3"/>
  <c r="AK29" i="3"/>
  <c r="AI29" i="3"/>
  <c r="C29" i="3" s="1"/>
  <c r="AF29" i="3"/>
  <c r="AE29" i="3"/>
  <c r="AC29" i="3"/>
  <c r="U29" i="3"/>
  <c r="Y29" i="3"/>
  <c r="AD29" i="3"/>
  <c r="Z29" i="3" s="1"/>
  <c r="W29" i="3"/>
  <c r="S29" i="3"/>
  <c r="AK28" i="3"/>
  <c r="AI28" i="3"/>
  <c r="C28" i="3" s="1"/>
  <c r="AF28" i="3"/>
  <c r="AE28" i="3"/>
  <c r="AC28" i="3"/>
  <c r="U28" i="3"/>
  <c r="Y28" i="3"/>
  <c r="AD28" i="3"/>
  <c r="Z28" i="3" s="1"/>
  <c r="W28" i="3"/>
  <c r="S28" i="3"/>
  <c r="AK27" i="3"/>
  <c r="AI27" i="3"/>
  <c r="C27" i="3" s="1"/>
  <c r="AF27" i="3"/>
  <c r="AE27" i="3"/>
  <c r="AC27" i="3"/>
  <c r="U27" i="3"/>
  <c r="Y27" i="3"/>
  <c r="AD27" i="3"/>
  <c r="AB27" i="3" s="1"/>
  <c r="W27" i="3"/>
  <c r="AK26" i="3"/>
  <c r="AI26" i="3"/>
  <c r="C26" i="3" s="1"/>
  <c r="AF26" i="3"/>
  <c r="AE26" i="3"/>
  <c r="AD26" i="3"/>
  <c r="W26" i="3"/>
  <c r="Y26" i="3"/>
  <c r="AC26" i="3"/>
  <c r="U26" i="3"/>
  <c r="P26" i="3"/>
  <c r="AK25" i="3"/>
  <c r="AI25" i="3"/>
  <c r="C25" i="3" s="1"/>
  <c r="AF25" i="3"/>
  <c r="AE25" i="3"/>
  <c r="AD25" i="3"/>
  <c r="AB25" i="3" s="1"/>
  <c r="W25" i="3"/>
  <c r="Y25" i="3"/>
  <c r="AC25" i="3"/>
  <c r="Q25" i="3"/>
  <c r="E25" i="3" s="1"/>
  <c r="U25" i="3"/>
  <c r="H25" i="3"/>
  <c r="AG25" i="3"/>
  <c r="S25" i="3"/>
  <c r="AK24" i="3"/>
  <c r="AI24" i="3"/>
  <c r="C24" i="3" s="1"/>
  <c r="AF24" i="3"/>
  <c r="AE24" i="3"/>
  <c r="AD24" i="3"/>
  <c r="W24" i="3"/>
  <c r="Y24" i="3"/>
  <c r="AC24" i="3"/>
  <c r="AB24" i="3" s="1"/>
  <c r="U24" i="3"/>
  <c r="S24" i="3"/>
  <c r="N24" i="3"/>
  <c r="F24" i="3" s="1"/>
  <c r="AK23" i="3"/>
  <c r="AI23" i="3"/>
  <c r="C23" i="3" s="1"/>
  <c r="AF23" i="3"/>
  <c r="AE23" i="3"/>
  <c r="AD23" i="3"/>
  <c r="W23" i="3"/>
  <c r="Y23" i="3"/>
  <c r="AC23" i="3"/>
  <c r="U23" i="3"/>
  <c r="Q23" i="3"/>
  <c r="E23" i="3" s="1"/>
  <c r="AK22" i="3"/>
  <c r="AI22" i="3"/>
  <c r="C22" i="3"/>
  <c r="AF22" i="3"/>
  <c r="AE22" i="3"/>
  <c r="AC22" i="3"/>
  <c r="AA22" i="3" s="1"/>
  <c r="U22" i="3"/>
  <c r="Y22" i="3"/>
  <c r="AD22" i="3"/>
  <c r="W22" i="3"/>
  <c r="AK21" i="3"/>
  <c r="AI21" i="3"/>
  <c r="C21" i="3" s="1"/>
  <c r="AF21" i="3"/>
  <c r="AE21" i="3"/>
  <c r="Z21" i="3" s="1"/>
  <c r="AD21" i="3"/>
  <c r="W21" i="3"/>
  <c r="Y21" i="3"/>
  <c r="AC21" i="3"/>
  <c r="AA21" i="3" s="1"/>
  <c r="U21" i="3"/>
  <c r="S21" i="3"/>
  <c r="H21" i="3"/>
  <c r="AK20" i="3"/>
  <c r="AI20" i="3"/>
  <c r="C20" i="3" s="1"/>
  <c r="AF20" i="3"/>
  <c r="AE20" i="3"/>
  <c r="AD20" i="3"/>
  <c r="AB20" i="3" s="1"/>
  <c r="AC20" i="3"/>
  <c r="U20" i="3"/>
  <c r="Y20" i="3"/>
  <c r="W20" i="3"/>
  <c r="Q20" i="3"/>
  <c r="E20" i="3" s="1"/>
  <c r="P20" i="3"/>
  <c r="R20" i="3"/>
  <c r="AK19" i="3"/>
  <c r="AI19" i="3"/>
  <c r="C19" i="3" s="1"/>
  <c r="AF19" i="3"/>
  <c r="AE19" i="3"/>
  <c r="AD19" i="3"/>
  <c r="AB19" i="3" s="1"/>
  <c r="W19" i="3"/>
  <c r="Y19" i="3"/>
  <c r="AC19" i="3"/>
  <c r="AA19" i="3" s="1"/>
  <c r="U19" i="3"/>
  <c r="S19" i="3"/>
  <c r="AK18" i="3"/>
  <c r="AI18" i="3"/>
  <c r="C18" i="3" s="1"/>
  <c r="AF18" i="3"/>
  <c r="AE18" i="3"/>
  <c r="AD18" i="3"/>
  <c r="W18" i="3"/>
  <c r="Y18" i="3"/>
  <c r="AC18" i="3"/>
  <c r="U18" i="3"/>
  <c r="AK17" i="3"/>
  <c r="AI17" i="3"/>
  <c r="C17" i="3" s="1"/>
  <c r="AF17" i="3"/>
  <c r="AE17" i="3"/>
  <c r="AD17" i="3"/>
  <c r="AC17" i="3"/>
  <c r="AA17" i="3" s="1"/>
  <c r="U17" i="3"/>
  <c r="Y17" i="3"/>
  <c r="W17" i="3"/>
  <c r="Q17" i="3"/>
  <c r="E17" i="3" s="1"/>
  <c r="AK16" i="3"/>
  <c r="AI16" i="3"/>
  <c r="C16" i="3" s="1"/>
  <c r="AF16" i="3"/>
  <c r="AE16" i="3"/>
  <c r="AD16" i="3"/>
  <c r="W16" i="3"/>
  <c r="Y16" i="3"/>
  <c r="AC16" i="3"/>
  <c r="AB16" i="3" s="1"/>
  <c r="U16" i="3"/>
  <c r="H16" i="3"/>
  <c r="N16" i="3"/>
  <c r="F16" i="3" s="1"/>
  <c r="AK15" i="3"/>
  <c r="AI15" i="3"/>
  <c r="C15" i="3" s="1"/>
  <c r="AF15" i="3"/>
  <c r="AE15" i="3"/>
  <c r="AD15" i="3"/>
  <c r="AB15" i="3" s="1"/>
  <c r="W15" i="3"/>
  <c r="Y15" i="3"/>
  <c r="AC15" i="3"/>
  <c r="AA15" i="3" s="1"/>
  <c r="U15" i="3"/>
  <c r="AK14" i="3"/>
  <c r="AI14" i="3"/>
  <c r="C14" i="3" s="1"/>
  <c r="AF14" i="3"/>
  <c r="AE14" i="3"/>
  <c r="AD14" i="3"/>
  <c r="W14" i="3"/>
  <c r="Y14" i="3"/>
  <c r="AC14" i="3"/>
  <c r="AA14" i="3" s="1"/>
  <c r="U14" i="3"/>
  <c r="R14" i="3"/>
  <c r="AK13" i="3"/>
  <c r="AI13" i="3"/>
  <c r="C13" i="3" s="1"/>
  <c r="AF13" i="3"/>
  <c r="AE13" i="3"/>
  <c r="AC13" i="3"/>
  <c r="AD13" i="3"/>
  <c r="AB13" i="3" s="1"/>
  <c r="U13" i="3"/>
  <c r="W13" i="3"/>
  <c r="Y13" i="3"/>
  <c r="AK12" i="3"/>
  <c r="AI12" i="3"/>
  <c r="C12" i="3" s="1"/>
  <c r="AF12" i="3"/>
  <c r="AE12" i="3"/>
  <c r="AC12" i="3"/>
  <c r="AD12" i="3"/>
  <c r="U12" i="3"/>
  <c r="W12" i="3"/>
  <c r="Y12" i="3"/>
  <c r="O12" i="3"/>
  <c r="H12" i="3"/>
  <c r="AG12" i="3"/>
  <c r="R12" i="3"/>
  <c r="AK11" i="3"/>
  <c r="AI11" i="3"/>
  <c r="C11" i="3" s="1"/>
  <c r="AF11" i="3"/>
  <c r="AE11" i="3"/>
  <c r="AA11" i="3" s="1"/>
  <c r="AD11" i="3"/>
  <c r="AC11" i="3"/>
  <c r="U11" i="3"/>
  <c r="W11" i="3"/>
  <c r="Y11" i="3"/>
  <c r="H11" i="3"/>
  <c r="G11" i="3"/>
  <c r="AH11" i="3"/>
  <c r="S11" i="3"/>
  <c r="P11" i="3"/>
  <c r="AK10" i="3"/>
  <c r="AI10" i="3"/>
  <c r="C10" i="3" s="1"/>
  <c r="AF10" i="3"/>
  <c r="AE10" i="3"/>
  <c r="AD10" i="3"/>
  <c r="AB10" i="3" s="1"/>
  <c r="W10" i="3"/>
  <c r="Y10" i="3"/>
  <c r="AC10" i="3"/>
  <c r="U10" i="3"/>
  <c r="P10" i="3"/>
  <c r="O10" i="3"/>
  <c r="AK9" i="3"/>
  <c r="AI9" i="3"/>
  <c r="C9" i="3" s="1"/>
  <c r="AF9" i="3"/>
  <c r="AE9" i="3"/>
  <c r="AD9" i="3"/>
  <c r="W9" i="3"/>
  <c r="Y9" i="3"/>
  <c r="AC9" i="3"/>
  <c r="AA9" i="3" s="1"/>
  <c r="U9" i="3"/>
  <c r="R9" i="3"/>
  <c r="Q9" i="3"/>
  <c r="E9" i="3" s="1"/>
  <c r="AK8" i="3"/>
  <c r="AI8" i="3"/>
  <c r="C8" i="3" s="1"/>
  <c r="AF8" i="3"/>
  <c r="AE8" i="3"/>
  <c r="AD8" i="3"/>
  <c r="W8" i="3"/>
  <c r="Y8" i="3"/>
  <c r="AC8" i="3"/>
  <c r="U8" i="3"/>
  <c r="P8" i="3"/>
  <c r="R8" i="3"/>
  <c r="AK7" i="3"/>
  <c r="AI7" i="3"/>
  <c r="C7" i="3" s="1"/>
  <c r="AF7" i="3"/>
  <c r="AE7" i="3"/>
  <c r="AD7" i="3"/>
  <c r="AB7" i="3" s="1"/>
  <c r="AC7" i="3"/>
  <c r="U7" i="3"/>
  <c r="W7" i="3"/>
  <c r="Y7" i="3"/>
  <c r="Q7" i="3"/>
  <c r="E7" i="3" s="1"/>
  <c r="AK6" i="3"/>
  <c r="AI6" i="3"/>
  <c r="C6" i="3" s="1"/>
  <c r="AF6" i="3"/>
  <c r="AE6" i="3"/>
  <c r="AD6" i="3"/>
  <c r="W6" i="3"/>
  <c r="Y6" i="3"/>
  <c r="AC6" i="3"/>
  <c r="AA6" i="3" s="1"/>
  <c r="N6" i="3"/>
  <c r="F6" i="3" s="1"/>
  <c r="U6" i="3"/>
  <c r="P6" i="3"/>
  <c r="AK5" i="3"/>
  <c r="AI5" i="3"/>
  <c r="C5" i="3" s="1"/>
  <c r="AF5" i="3"/>
  <c r="AE5" i="3"/>
  <c r="AD5" i="3"/>
  <c r="W5" i="3"/>
  <c r="Y5" i="3"/>
  <c r="AC5" i="3"/>
  <c r="U5" i="3"/>
  <c r="AK4" i="3"/>
  <c r="AI4" i="3"/>
  <c r="C4" i="3" s="1"/>
  <c r="AF4" i="3"/>
  <c r="AE4" i="3"/>
  <c r="Z4" i="3" s="1"/>
  <c r="AD4" i="3"/>
  <c r="W4" i="3"/>
  <c r="Y4" i="3"/>
  <c r="AC4" i="3"/>
  <c r="AB4" i="3" s="1"/>
  <c r="U4" i="3"/>
  <c r="AK3" i="3"/>
  <c r="AI3" i="3"/>
  <c r="C3" i="3" s="1"/>
  <c r="AF3" i="3"/>
  <c r="AE3" i="3"/>
  <c r="AD3" i="3"/>
  <c r="Z3" i="3" s="1"/>
  <c r="AC3" i="3"/>
  <c r="Y3" i="3"/>
  <c r="U3" i="3"/>
  <c r="R3" i="3"/>
  <c r="W3" i="3"/>
  <c r="AK2" i="3"/>
  <c r="AI2" i="3"/>
  <c r="C2" i="3" s="1"/>
  <c r="AF2" i="3"/>
  <c r="AE2" i="3"/>
  <c r="AD2" i="3"/>
  <c r="W2" i="3"/>
  <c r="Y2" i="3"/>
  <c r="AC2" i="3"/>
  <c r="AA2" i="3" s="1"/>
  <c r="U2" i="3"/>
  <c r="P2" i="3"/>
  <c r="AK1" i="3"/>
  <c r="AI1" i="3"/>
  <c r="C1" i="3" s="1"/>
  <c r="AF1" i="3"/>
  <c r="AE1" i="3"/>
  <c r="AD1" i="3"/>
  <c r="AB1" i="3" s="1"/>
  <c r="W1" i="3"/>
  <c r="Y1" i="3"/>
  <c r="AC1" i="3"/>
  <c r="AA1" i="3" s="1"/>
  <c r="U1" i="3"/>
  <c r="R1" i="3"/>
  <c r="S1" i="3"/>
  <c r="Q1" i="3"/>
  <c r="E1" i="3" s="1"/>
  <c r="H6" i="3"/>
  <c r="AG6" i="3"/>
  <c r="O8" i="3"/>
  <c r="N9" i="3"/>
  <c r="F9" i="3" s="1"/>
  <c r="S12" i="3"/>
  <c r="H14" i="3"/>
  <c r="AG14" i="3"/>
  <c r="R17" i="3"/>
  <c r="R18" i="3"/>
  <c r="H19" i="3"/>
  <c r="AG19" i="3"/>
  <c r="N1" i="3"/>
  <c r="F1" i="3" s="1"/>
  <c r="N2" i="3"/>
  <c r="F2" i="3"/>
  <c r="O5" i="3"/>
  <c r="H7" i="3"/>
  <c r="G7" i="3"/>
  <c r="AH7" i="3"/>
  <c r="R10" i="3"/>
  <c r="N14" i="3"/>
  <c r="F14" i="3" s="1"/>
  <c r="O17" i="3"/>
  <c r="O18" i="3"/>
  <c r="O2" i="3"/>
  <c r="P5" i="3"/>
  <c r="R7" i="3"/>
  <c r="S10" i="3"/>
  <c r="R11" i="3"/>
  <c r="O14" i="3"/>
  <c r="S14" i="3"/>
  <c r="R15" i="3"/>
  <c r="N21" i="3"/>
  <c r="F21" i="3" s="1"/>
  <c r="P21" i="3"/>
  <c r="R22" i="3"/>
  <c r="H22" i="3"/>
  <c r="G22" i="3"/>
  <c r="AH22" i="3"/>
  <c r="S22" i="3"/>
  <c r="O22" i="3"/>
  <c r="O11" i="3"/>
  <c r="O15" i="3"/>
  <c r="S20" i="3"/>
  <c r="O20" i="3"/>
  <c r="R23" i="3"/>
  <c r="H24" i="3"/>
  <c r="G24" i="3"/>
  <c r="AH24" i="3"/>
  <c r="P25" i="3"/>
  <c r="O26" i="3"/>
  <c r="R27" i="3"/>
  <c r="H28" i="3"/>
  <c r="P29" i="3"/>
  <c r="O30" i="3"/>
  <c r="S30" i="3"/>
  <c r="R31" i="3"/>
  <c r="G33" i="3"/>
  <c r="AH33" i="3"/>
  <c r="P33" i="3"/>
  <c r="O34" i="3"/>
  <c r="S34" i="3"/>
  <c r="R35" i="3"/>
  <c r="H36" i="3"/>
  <c r="G37" i="3"/>
  <c r="AH37" i="3"/>
  <c r="P37" i="3"/>
  <c r="O38" i="3"/>
  <c r="S38" i="3"/>
  <c r="R39" i="3"/>
  <c r="S23" i="3"/>
  <c r="O27" i="3"/>
  <c r="O31" i="3"/>
  <c r="S31" i="3"/>
  <c r="O35" i="3"/>
  <c r="S35" i="3"/>
  <c r="O39" i="3"/>
  <c r="S39" i="3"/>
  <c r="R21" i="3"/>
  <c r="O24" i="3"/>
  <c r="N25" i="3"/>
  <c r="F25" i="3" s="1"/>
  <c r="R25" i="3"/>
  <c r="H26" i="3"/>
  <c r="G26" i="3"/>
  <c r="AH26" i="3"/>
  <c r="N29" i="3"/>
  <c r="F29" i="3" s="1"/>
  <c r="R29" i="3"/>
  <c r="H30" i="3"/>
  <c r="O32" i="3"/>
  <c r="N33" i="3"/>
  <c r="F33" i="3" s="1"/>
  <c r="R33" i="3"/>
  <c r="H34" i="3"/>
  <c r="G34" i="3"/>
  <c r="AH34" i="3"/>
  <c r="O36" i="3"/>
  <c r="N37" i="3"/>
  <c r="F37" i="3" s="1"/>
  <c r="R37" i="3"/>
  <c r="H38" i="3"/>
  <c r="G38" i="3"/>
  <c r="AH38" i="3"/>
  <c r="O21" i="3"/>
  <c r="O25" i="3"/>
  <c r="H27" i="3"/>
  <c r="AG27" i="3"/>
  <c r="O29" i="3"/>
  <c r="O33" i="3"/>
  <c r="O37" i="3"/>
  <c r="AG26" i="3"/>
  <c r="AG24" i="3"/>
  <c r="G19" i="3"/>
  <c r="AH19" i="3"/>
  <c r="G6" i="3"/>
  <c r="AH6" i="3"/>
  <c r="AG34" i="3"/>
  <c r="AG38" i="3"/>
  <c r="G14" i="3"/>
  <c r="AH14" i="3"/>
  <c r="G28" i="3"/>
  <c r="AH28" i="3"/>
  <c r="AG28" i="3"/>
  <c r="AG7" i="3"/>
  <c r="AM54" i="1"/>
  <c r="S55" i="1"/>
  <c r="AK55" i="1"/>
  <c r="AM55" i="1"/>
  <c r="AM56" i="1"/>
  <c r="S57" i="1"/>
  <c r="AK57" i="1"/>
  <c r="AM57" i="1"/>
  <c r="AM58" i="1"/>
  <c r="AM59" i="1"/>
  <c r="AO69" i="1"/>
  <c r="AQ69" i="1" s="1"/>
  <c r="AM69" i="1"/>
  <c r="C69" i="1" s="1"/>
  <c r="AG3" i="1"/>
  <c r="AG39" i="1"/>
  <c r="AG2" i="1"/>
  <c r="AG4" i="1"/>
  <c r="AG5" i="1"/>
  <c r="AG6" i="1"/>
  <c r="AG7" i="1"/>
  <c r="AG8" i="1"/>
  <c r="AG9" i="1"/>
  <c r="AG10" i="1"/>
  <c r="AG19" i="1"/>
  <c r="AG20" i="1"/>
  <c r="AG21" i="1"/>
  <c r="AG22" i="1"/>
  <c r="AG23" i="1"/>
  <c r="AG36" i="1"/>
  <c r="AG37" i="1"/>
  <c r="AG38" i="1"/>
  <c r="W23" i="1"/>
  <c r="AM23" i="1"/>
  <c r="C23" i="1"/>
  <c r="AM3" i="1"/>
  <c r="C3" i="1" s="1"/>
  <c r="AM4" i="1"/>
  <c r="C4" i="1" s="1"/>
  <c r="AM5" i="1"/>
  <c r="C5" i="1" s="1"/>
  <c r="AM6" i="1"/>
  <c r="C6" i="1" s="1"/>
  <c r="AM7" i="1"/>
  <c r="C7" i="1" s="1"/>
  <c r="AM8" i="1"/>
  <c r="C8" i="1" s="1"/>
  <c r="AM9" i="1"/>
  <c r="C9" i="1" s="1"/>
  <c r="AM10" i="1"/>
  <c r="C10" i="1" s="1"/>
  <c r="AM11" i="1"/>
  <c r="C11" i="1" s="1"/>
  <c r="AM12" i="1"/>
  <c r="C12" i="1" s="1"/>
  <c r="AM13" i="1"/>
  <c r="C13" i="1" s="1"/>
  <c r="AM14" i="1"/>
  <c r="C14" i="1" s="1"/>
  <c r="AM15" i="1"/>
  <c r="C15" i="1" s="1"/>
  <c r="AM16" i="1"/>
  <c r="C16" i="1" s="1"/>
  <c r="AM17" i="1"/>
  <c r="C17" i="1" s="1"/>
  <c r="AM18" i="1"/>
  <c r="C18" i="1" s="1"/>
  <c r="AM19" i="1"/>
  <c r="C19" i="1" s="1"/>
  <c r="AM20" i="1"/>
  <c r="C20" i="1" s="1"/>
  <c r="AM21" i="1"/>
  <c r="C21" i="1" s="1"/>
  <c r="AM22" i="1"/>
  <c r="C22" i="1" s="1"/>
  <c r="AM24" i="1"/>
  <c r="C24" i="1" s="1"/>
  <c r="AM25" i="1"/>
  <c r="C25" i="1" s="1"/>
  <c r="AM26" i="1"/>
  <c r="C26" i="1" s="1"/>
  <c r="AM27" i="1"/>
  <c r="C27" i="1" s="1"/>
  <c r="AM28" i="1"/>
  <c r="C28" i="1" s="1"/>
  <c r="AM29" i="1"/>
  <c r="C29" i="1" s="1"/>
  <c r="AM30" i="1"/>
  <c r="C30" i="1" s="1"/>
  <c r="AM31" i="1"/>
  <c r="C31" i="1" s="1"/>
  <c r="AM32" i="1"/>
  <c r="C32" i="1" s="1"/>
  <c r="AM33" i="1"/>
  <c r="C33" i="1" s="1"/>
  <c r="AM34" i="1"/>
  <c r="C34" i="1" s="1"/>
  <c r="AM35" i="1"/>
  <c r="C35" i="1" s="1"/>
  <c r="AM36" i="1"/>
  <c r="C36" i="1" s="1"/>
  <c r="AM37" i="1"/>
  <c r="C37" i="1" s="1"/>
  <c r="AM38" i="1"/>
  <c r="C38" i="1" s="1"/>
  <c r="AM39" i="1"/>
  <c r="C39" i="1" s="1"/>
  <c r="AM40" i="1"/>
  <c r="C40" i="1" s="1"/>
  <c r="AM41" i="1"/>
  <c r="C41" i="1" s="1"/>
  <c r="AM42" i="1"/>
  <c r="C42" i="1" s="1"/>
  <c r="AM43" i="1"/>
  <c r="C43" i="1" s="1"/>
  <c r="AM44" i="1"/>
  <c r="C44" i="1" s="1"/>
  <c r="AM45" i="1"/>
  <c r="C45" i="1" s="1"/>
  <c r="AM46" i="1"/>
  <c r="C46" i="1" s="1"/>
  <c r="AM47" i="1"/>
  <c r="C47" i="1" s="1"/>
  <c r="C48" i="1"/>
  <c r="C49" i="1"/>
  <c r="C50" i="1"/>
  <c r="C51" i="1"/>
  <c r="C52" i="1"/>
  <c r="AM53" i="1"/>
  <c r="C53" i="1"/>
  <c r="AM60" i="1"/>
  <c r="C60" i="1" s="1"/>
  <c r="AM61" i="1"/>
  <c r="C61" i="1" s="1"/>
  <c r="AM62" i="1"/>
  <c r="AM63" i="1"/>
  <c r="C63" i="1" s="1"/>
  <c r="AM48" i="1"/>
  <c r="AM49" i="1"/>
  <c r="AM50" i="1"/>
  <c r="AM51" i="1"/>
  <c r="AM52" i="1"/>
  <c r="AK29" i="1"/>
  <c r="AK33" i="1"/>
  <c r="AK63" i="1"/>
  <c r="W61" i="1"/>
  <c r="S53" i="1"/>
  <c r="V50" i="1"/>
  <c r="S46" i="1"/>
  <c r="R45" i="1"/>
  <c r="V45" i="1"/>
  <c r="R44" i="1"/>
  <c r="V44" i="1"/>
  <c r="U40" i="1"/>
  <c r="W39" i="1"/>
  <c r="T35" i="1"/>
  <c r="U30" i="1"/>
  <c r="R28" i="1"/>
  <c r="U27" i="1"/>
  <c r="R25" i="1"/>
  <c r="U24" i="1"/>
  <c r="T22" i="1"/>
  <c r="V17" i="1"/>
  <c r="R17" i="1"/>
  <c r="U16" i="1"/>
  <c r="R15" i="1"/>
  <c r="S13" i="1"/>
  <c r="U12" i="1"/>
  <c r="V12" i="1"/>
  <c r="R11" i="1"/>
  <c r="S10" i="1"/>
  <c r="T8" i="1"/>
  <c r="S7" i="1"/>
  <c r="S5" i="1"/>
  <c r="V3" i="1"/>
  <c r="T3" i="1"/>
  <c r="U32" i="1"/>
  <c r="T32" i="1"/>
  <c r="W28" i="1"/>
  <c r="U45" i="1"/>
  <c r="T27" i="1"/>
  <c r="T31" i="1"/>
  <c r="W35" i="1"/>
  <c r="T4" i="1"/>
  <c r="S36" i="1"/>
  <c r="AL13" i="1"/>
  <c r="AL21" i="1"/>
  <c r="AK69" i="1"/>
  <c r="S40" i="1"/>
  <c r="W27" i="1"/>
  <c r="AK21" i="1"/>
  <c r="W8" i="1"/>
  <c r="T23" i="1"/>
  <c r="T69" i="1"/>
  <c r="W69" i="1"/>
  <c r="V7" i="1"/>
  <c r="W22" i="1"/>
  <c r="S3" i="1"/>
  <c r="V5" i="1"/>
  <c r="R32" i="1"/>
  <c r="R46" i="1"/>
  <c r="AK13" i="1"/>
  <c r="T61" i="1"/>
  <c r="R12" i="1"/>
  <c r="T39" i="1"/>
  <c r="V40" i="1"/>
  <c r="U44" i="1"/>
  <c r="S21" i="1"/>
  <c r="U25" i="1"/>
  <c r="U15" i="1"/>
  <c r="U28" i="1"/>
  <c r="T28" i="1"/>
  <c r="W4" i="1"/>
  <c r="V21" i="1"/>
  <c r="S52" i="1"/>
  <c r="W31" i="1"/>
  <c r="AK9" i="1"/>
  <c r="S17" i="1"/>
  <c r="R24" i="1"/>
  <c r="W9" i="1"/>
  <c r="AL69" i="1"/>
  <c r="AL9" i="1"/>
  <c r="AL5" i="1"/>
  <c r="AK5" i="1"/>
  <c r="AL47" i="1"/>
  <c r="AK47" i="1"/>
  <c r="AK17" i="1"/>
  <c r="AL17" i="1"/>
  <c r="AK61" i="1"/>
  <c r="AL61" i="1"/>
  <c r="AL51" i="1"/>
  <c r="AK51" i="1"/>
  <c r="AL63" i="1"/>
  <c r="W5" i="1"/>
  <c r="T5" i="1"/>
  <c r="T9" i="1"/>
  <c r="V9" i="1"/>
  <c r="S9" i="1"/>
  <c r="T10" i="1"/>
  <c r="V10" i="1"/>
  <c r="S12" i="1"/>
  <c r="S15" i="1"/>
  <c r="S19" i="1"/>
  <c r="W19" i="1"/>
  <c r="T24" i="1"/>
  <c r="R29" i="1"/>
  <c r="U29" i="1"/>
  <c r="W32" i="1"/>
  <c r="T36" i="1"/>
  <c r="V36" i="1"/>
  <c r="W36" i="1"/>
  <c r="V38" i="1"/>
  <c r="S38" i="1"/>
  <c r="R41" i="1"/>
  <c r="U41" i="1"/>
  <c r="V42" i="1"/>
  <c r="S42" i="1"/>
  <c r="S48" i="1"/>
  <c r="V48" i="1"/>
  <c r="V52" i="1"/>
  <c r="W62" i="1"/>
  <c r="T62" i="1"/>
  <c r="U11" i="1"/>
  <c r="V15" i="1"/>
  <c r="V19" i="1"/>
  <c r="V46" i="1"/>
  <c r="W10" i="1"/>
  <c r="W24" i="1"/>
  <c r="T19" i="1"/>
  <c r="S50" i="1"/>
  <c r="S44" i="1"/>
  <c r="V13" i="1"/>
  <c r="R40" i="1"/>
  <c r="R16" i="1"/>
  <c r="U14" i="1"/>
  <c r="R14" i="1"/>
  <c r="T20" i="1"/>
  <c r="S20" i="1"/>
  <c r="AG30" i="3"/>
  <c r="G30" i="3"/>
  <c r="AH30" i="3"/>
  <c r="G36" i="3"/>
  <c r="AH36" i="3"/>
  <c r="AG36" i="3"/>
  <c r="AG22" i="3"/>
  <c r="R5" i="3"/>
  <c r="H5" i="3"/>
  <c r="G21" i="3"/>
  <c r="AH21" i="3"/>
  <c r="AG21" i="3"/>
  <c r="AG39" i="3"/>
  <c r="G39" i="3"/>
  <c r="AH39" i="3"/>
  <c r="V14" i="1"/>
  <c r="O3" i="3"/>
  <c r="N4" i="3"/>
  <c r="F4" i="3" s="1"/>
  <c r="Q4" i="3"/>
  <c r="E4" i="3" s="1"/>
  <c r="V57" i="1"/>
  <c r="H4" i="3"/>
  <c r="O4" i="3"/>
  <c r="S4" i="3"/>
  <c r="S59" i="1"/>
  <c r="V58" i="1"/>
  <c r="H35" i="3"/>
  <c r="S36" i="3"/>
  <c r="N36" i="3"/>
  <c r="F36" i="3" s="1"/>
  <c r="Q37" i="3"/>
  <c r="E37" i="3" s="1"/>
  <c r="W64" i="1"/>
  <c r="R71" i="1"/>
  <c r="N11" i="3"/>
  <c r="F11" i="3" s="1"/>
  <c r="N7" i="3"/>
  <c r="F7" i="3" s="1"/>
  <c r="O1" i="3"/>
  <c r="P1" i="3"/>
  <c r="Q2" i="3"/>
  <c r="E2" i="3" s="1"/>
  <c r="Q5" i="3"/>
  <c r="E5" i="3" s="1"/>
  <c r="Q11" i="3"/>
  <c r="E11" i="3" s="1"/>
  <c r="P12" i="3"/>
  <c r="Q13" i="3"/>
  <c r="E13" i="3" s="1"/>
  <c r="P14" i="3"/>
  <c r="R19" i="3"/>
  <c r="Q21" i="3"/>
  <c r="E21" i="3" s="1"/>
  <c r="P22" i="3"/>
  <c r="H31" i="3"/>
  <c r="Q33" i="3"/>
  <c r="E33" i="3" s="1"/>
  <c r="P36" i="3"/>
  <c r="T71" i="1"/>
  <c r="P19" i="3"/>
  <c r="O9" i="3"/>
  <c r="R2" i="3"/>
  <c r="N17" i="3"/>
  <c r="F17" i="3" s="1"/>
  <c r="S2" i="3"/>
  <c r="S5" i="3"/>
  <c r="Q6" i="3"/>
  <c r="E6" i="3" s="1"/>
  <c r="Q14" i="3"/>
  <c r="E14" i="3" s="1"/>
  <c r="S15" i="3"/>
  <c r="Q29" i="3"/>
  <c r="E29" i="3" s="1"/>
  <c r="Q36" i="3"/>
  <c r="E36" i="3" s="1"/>
  <c r="R38" i="3"/>
  <c r="N39" i="3"/>
  <c r="F39" i="3" s="1"/>
  <c r="AK67" i="1"/>
  <c r="W68" i="1"/>
  <c r="T66" i="1"/>
  <c r="V6" i="1"/>
  <c r="T6" i="1"/>
  <c r="W6" i="1"/>
  <c r="V11" i="1"/>
  <c r="S11" i="1"/>
  <c r="V16" i="1"/>
  <c r="S16" i="1"/>
  <c r="T21" i="1"/>
  <c r="W21" i="1"/>
  <c r="W26" i="1"/>
  <c r="T26" i="1"/>
  <c r="R31" i="1"/>
  <c r="U31" i="1"/>
  <c r="R35" i="1"/>
  <c r="U35" i="1"/>
  <c r="S41" i="1"/>
  <c r="V41" i="1"/>
  <c r="AL53" i="1"/>
  <c r="AK53" i="1"/>
  <c r="W60" i="1"/>
  <c r="R26" i="1"/>
  <c r="U46" i="1"/>
  <c r="S45" i="1"/>
  <c r="R59" i="1"/>
  <c r="F59" i="1"/>
  <c r="U59" i="1"/>
  <c r="V59" i="1"/>
  <c r="E59" i="1"/>
  <c r="T59" i="1"/>
  <c r="S4" i="1"/>
  <c r="V4" i="1"/>
  <c r="R18" i="1"/>
  <c r="V18" i="1"/>
  <c r="S18" i="1"/>
  <c r="S22" i="1"/>
  <c r="V22" i="1"/>
  <c r="W25" i="1"/>
  <c r="T29" i="1"/>
  <c r="W29" i="1"/>
  <c r="R33" i="1"/>
  <c r="T33" i="1"/>
  <c r="U33" i="1"/>
  <c r="W33" i="1"/>
  <c r="W37" i="1"/>
  <c r="V37" i="1"/>
  <c r="T37" i="1"/>
  <c r="T38" i="1"/>
  <c r="W38" i="1"/>
  <c r="V39" i="1"/>
  <c r="S39" i="1"/>
  <c r="R42" i="1"/>
  <c r="U42" i="1"/>
  <c r="S47" i="1"/>
  <c r="U47" i="1"/>
  <c r="V47" i="1"/>
  <c r="R47" i="1"/>
  <c r="W63" i="1"/>
  <c r="T63" i="1"/>
  <c r="AK45" i="1"/>
  <c r="AL45" i="1"/>
  <c r="AL37" i="1"/>
  <c r="AK37" i="1"/>
  <c r="T25" i="1"/>
  <c r="R30" i="1"/>
  <c r="AL29" i="1"/>
  <c r="AL55" i="1"/>
  <c r="V55" i="1"/>
  <c r="W59" i="1"/>
  <c r="U17" i="1"/>
  <c r="R27" i="1"/>
  <c r="U34" i="1"/>
  <c r="R34" i="1"/>
  <c r="T34" i="1"/>
  <c r="W34" i="1"/>
  <c r="S43" i="1"/>
  <c r="R43" i="1"/>
  <c r="U43" i="1"/>
  <c r="V43" i="1"/>
  <c r="V51" i="1"/>
  <c r="S51" i="1"/>
  <c r="AL49" i="1"/>
  <c r="AK49" i="1"/>
  <c r="T2" i="1"/>
  <c r="S2" i="1"/>
  <c r="W2" i="1"/>
  <c r="V2" i="1"/>
  <c r="T7" i="1"/>
  <c r="W7" i="1"/>
  <c r="V8" i="1"/>
  <c r="S8" i="1"/>
  <c r="R13" i="1"/>
  <c r="U13" i="1"/>
  <c r="W20" i="1"/>
  <c r="V20" i="1"/>
  <c r="T30" i="1"/>
  <c r="W30" i="1"/>
  <c r="V49" i="1"/>
  <c r="S49" i="1"/>
  <c r="T60" i="1"/>
  <c r="AK41" i="1"/>
  <c r="AL41" i="1"/>
  <c r="AK25" i="1"/>
  <c r="AL25" i="1"/>
  <c r="AT9" i="1"/>
  <c r="AT11" i="1" s="1"/>
  <c r="S23" i="1"/>
  <c r="V23" i="1"/>
  <c r="AL33" i="1"/>
  <c r="S6" i="1"/>
  <c r="S37" i="1"/>
  <c r="W3" i="1"/>
  <c r="U18" i="1"/>
  <c r="U26" i="1"/>
  <c r="V53" i="1"/>
  <c r="S14" i="1"/>
  <c r="S56" i="1"/>
  <c r="V56" i="1"/>
  <c r="S54" i="1"/>
  <c r="V54" i="1"/>
  <c r="P3" i="3"/>
  <c r="S3" i="3"/>
  <c r="Q3" i="3"/>
  <c r="E3" i="3" s="1"/>
  <c r="H3" i="3"/>
  <c r="T67" i="1"/>
  <c r="W67" i="1"/>
  <c r="AL57" i="1"/>
  <c r="S58" i="1"/>
  <c r="G27" i="3"/>
  <c r="AH27" i="3"/>
  <c r="H9" i="3"/>
  <c r="S9" i="3"/>
  <c r="P9" i="3"/>
  <c r="H10" i="3"/>
  <c r="N10" i="3"/>
  <c r="F10" i="3" s="1"/>
  <c r="AG16" i="3"/>
  <c r="G16" i="3"/>
  <c r="AH16" i="3"/>
  <c r="Q28" i="3"/>
  <c r="E28" i="3" s="1"/>
  <c r="O28" i="3"/>
  <c r="G12" i="3"/>
  <c r="AH12" i="3"/>
  <c r="AG11" i="3"/>
  <c r="N3" i="3"/>
  <c r="F3" i="3" s="1"/>
  <c r="O6" i="3"/>
  <c r="R6" i="3"/>
  <c r="S6" i="3"/>
  <c r="Q8" i="3"/>
  <c r="E8" i="3"/>
  <c r="N8" i="3"/>
  <c r="F8" i="3" s="1"/>
  <c r="H8" i="3"/>
  <c r="S8" i="3"/>
  <c r="R16" i="3"/>
  <c r="P16" i="3"/>
  <c r="O16" i="3"/>
  <c r="S16" i="3"/>
  <c r="Q18" i="3"/>
  <c r="E18" i="3" s="1"/>
  <c r="N18" i="3"/>
  <c r="F18" i="3" s="1"/>
  <c r="H18" i="3"/>
  <c r="S18" i="3"/>
  <c r="P18" i="3"/>
  <c r="N27" i="3"/>
  <c r="F27" i="3"/>
  <c r="Q27" i="3"/>
  <c r="E27" i="3" s="1"/>
  <c r="S27" i="3"/>
  <c r="N28" i="3"/>
  <c r="F28" i="3" s="1"/>
  <c r="P30" i="3"/>
  <c r="N30" i="3"/>
  <c r="F30" i="3" s="1"/>
  <c r="S13" i="3"/>
  <c r="N13" i="3"/>
  <c r="F13" i="3"/>
  <c r="S7" i="3"/>
  <c r="O7" i="3"/>
  <c r="P7" i="3"/>
  <c r="H13" i="3"/>
  <c r="R13" i="3"/>
  <c r="P13" i="3"/>
  <c r="O13" i="3"/>
  <c r="P15" i="3"/>
  <c r="H15" i="3"/>
  <c r="H17" i="3"/>
  <c r="S17" i="3"/>
  <c r="P17" i="3"/>
  <c r="Q32" i="3"/>
  <c r="E32" i="3" s="1"/>
  <c r="N32" i="3"/>
  <c r="F32" i="3" s="1"/>
  <c r="H32" i="3"/>
  <c r="H23" i="3"/>
  <c r="O23" i="3"/>
  <c r="S26" i="3"/>
  <c r="G25" i="3"/>
  <c r="AH25" i="3"/>
  <c r="H20" i="3"/>
  <c r="H2" i="3"/>
  <c r="H1" i="3"/>
  <c r="N5" i="3"/>
  <c r="F5" i="3" s="1"/>
  <c r="Q12" i="3"/>
  <c r="E12" i="3" s="1"/>
  <c r="N12" i="3"/>
  <c r="F12" i="3" s="1"/>
  <c r="N15" i="3"/>
  <c r="F15" i="3" s="1"/>
  <c r="Q15" i="3"/>
  <c r="E15" i="3" s="1"/>
  <c r="Q16" i="3"/>
  <c r="E16" i="3" s="1"/>
  <c r="O19" i="3"/>
  <c r="Q22" i="3"/>
  <c r="E22" i="3"/>
  <c r="N22" i="3"/>
  <c r="F22" i="3" s="1"/>
  <c r="P23" i="3"/>
  <c r="R24" i="3"/>
  <c r="P24" i="3"/>
  <c r="Q26" i="3"/>
  <c r="E26" i="3" s="1"/>
  <c r="N26" i="3"/>
  <c r="F26" i="3" s="1"/>
  <c r="R28" i="3"/>
  <c r="P28" i="3"/>
  <c r="H29" i="3"/>
  <c r="Q31" i="3"/>
  <c r="E31" i="3" s="1"/>
  <c r="N31" i="3"/>
  <c r="F31" i="3" s="1"/>
  <c r="S32" i="3"/>
  <c r="R32" i="3"/>
  <c r="S33" i="3"/>
  <c r="AL71" i="1"/>
  <c r="AK71" i="1"/>
  <c r="R4" i="3"/>
  <c r="P4" i="3"/>
  <c r="Q10" i="3"/>
  <c r="E10" i="3" s="1"/>
  <c r="N20" i="3"/>
  <c r="F20" i="3" s="1"/>
  <c r="N23" i="3"/>
  <c r="F23" i="3" s="1"/>
  <c r="Q24" i="3"/>
  <c r="E24" i="3"/>
  <c r="R26" i="3"/>
  <c r="P27" i="3"/>
  <c r="P34" i="3"/>
  <c r="W66" i="1"/>
  <c r="Q19" i="3"/>
  <c r="E19" i="3" s="1"/>
  <c r="N19" i="3"/>
  <c r="F19" i="3" s="1"/>
  <c r="T70" i="1"/>
  <c r="W70" i="1"/>
  <c r="S70" i="1"/>
  <c r="S71" i="1"/>
  <c r="V71" i="1"/>
  <c r="S37" i="3"/>
  <c r="Q38" i="3"/>
  <c r="E38" i="3" s="1"/>
  <c r="Q39" i="3"/>
  <c r="E39" i="3" s="1"/>
  <c r="Q34" i="3"/>
  <c r="E34" i="3" s="1"/>
  <c r="AG31" i="3"/>
  <c r="G31" i="3"/>
  <c r="AH31" i="3"/>
  <c r="AG4" i="3"/>
  <c r="G4" i="3"/>
  <c r="AH4" i="3"/>
  <c r="G35" i="3"/>
  <c r="AH35" i="3"/>
  <c r="AG35" i="3"/>
  <c r="G5" i="3"/>
  <c r="AH5" i="3"/>
  <c r="AG5" i="3"/>
  <c r="AG1" i="3"/>
  <c r="G1" i="3"/>
  <c r="AH1" i="3"/>
  <c r="AG32" i="3"/>
  <c r="G32" i="3"/>
  <c r="AH32" i="3"/>
  <c r="G13" i="3"/>
  <c r="AH13" i="3"/>
  <c r="AG13" i="3"/>
  <c r="G18" i="3"/>
  <c r="AH18" i="3"/>
  <c r="AG18" i="3"/>
  <c r="G29" i="3"/>
  <c r="AH29" i="3"/>
  <c r="AG29" i="3"/>
  <c r="G2" i="3"/>
  <c r="AH2" i="3"/>
  <c r="AG2" i="3"/>
  <c r="AG8" i="3"/>
  <c r="G8" i="3"/>
  <c r="AH8" i="3"/>
  <c r="G9" i="3"/>
  <c r="AH9" i="3"/>
  <c r="AG9" i="3"/>
  <c r="AG3" i="3"/>
  <c r="G3" i="3"/>
  <c r="AH3" i="3"/>
  <c r="G20" i="3"/>
  <c r="AH20" i="3"/>
  <c r="AG20" i="3"/>
  <c r="G23" i="3"/>
  <c r="AH23" i="3"/>
  <c r="AG23" i="3"/>
  <c r="G17" i="3"/>
  <c r="AH17" i="3"/>
  <c r="AG17" i="3"/>
  <c r="G10" i="3"/>
  <c r="AH10" i="3"/>
  <c r="AG10" i="3"/>
  <c r="AG15" i="3"/>
  <c r="G15" i="3"/>
  <c r="AH15" i="3"/>
  <c r="R72" i="1"/>
  <c r="U72" i="1"/>
  <c r="H74" i="1"/>
  <c r="V74" i="1"/>
  <c r="E74" i="1"/>
  <c r="T74" i="1"/>
  <c r="W74" i="1"/>
  <c r="T45" i="1"/>
  <c r="F45" i="1"/>
  <c r="T41" i="1"/>
  <c r="F41" i="1"/>
  <c r="H2" i="1"/>
  <c r="H43" i="1"/>
  <c r="T72" i="1"/>
  <c r="F72" i="1"/>
  <c r="U73" i="1"/>
  <c r="T73" i="1"/>
  <c r="F73" i="1"/>
  <c r="H76" i="1"/>
  <c r="S76" i="1"/>
  <c r="T76" i="1"/>
  <c r="W76" i="1"/>
  <c r="S74" i="1"/>
  <c r="F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75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72" i="1"/>
  <c r="H73" i="1"/>
  <c r="H39" i="1"/>
  <c r="H35" i="1"/>
  <c r="H31" i="1"/>
  <c r="H27" i="1"/>
  <c r="H23" i="1"/>
  <c r="H19" i="1"/>
  <c r="H15" i="1"/>
  <c r="H11" i="1"/>
  <c r="H7" i="1"/>
  <c r="H3" i="1"/>
  <c r="W72" i="1"/>
  <c r="E72" i="1"/>
  <c r="H59" i="1"/>
  <c r="Z35" i="3"/>
  <c r="AB9" i="3"/>
  <c r="E87" i="1"/>
  <c r="AL87" i="1"/>
  <c r="AL84" i="1"/>
  <c r="AB28" i="3"/>
  <c r="G7" i="1"/>
  <c r="AK7" i="1"/>
  <c r="G23" i="1"/>
  <c r="AL23" i="1"/>
  <c r="AK23" i="1"/>
  <c r="G39" i="1"/>
  <c r="AK39" i="1"/>
  <c r="G8" i="1"/>
  <c r="AK8" i="1"/>
  <c r="AK24" i="1"/>
  <c r="G24" i="1"/>
  <c r="AK40" i="1"/>
  <c r="G40" i="1"/>
  <c r="G56" i="1"/>
  <c r="AK56" i="1"/>
  <c r="G75" i="1"/>
  <c r="AK75" i="1"/>
  <c r="G18" i="1"/>
  <c r="AK18" i="1"/>
  <c r="G34" i="1"/>
  <c r="AK34" i="1"/>
  <c r="G50" i="1"/>
  <c r="AK50" i="1"/>
  <c r="G66" i="1"/>
  <c r="AK66" i="1"/>
  <c r="G76" i="1"/>
  <c r="AK76" i="1"/>
  <c r="G11" i="1"/>
  <c r="AK11" i="1"/>
  <c r="G27" i="1"/>
  <c r="AK27" i="1"/>
  <c r="AK73" i="1"/>
  <c r="G73" i="1"/>
  <c r="AK12" i="1"/>
  <c r="G12" i="1"/>
  <c r="AK28" i="1"/>
  <c r="G28" i="1"/>
  <c r="AK44" i="1"/>
  <c r="G44" i="1"/>
  <c r="G60" i="1"/>
  <c r="AK60" i="1"/>
  <c r="G6" i="1"/>
  <c r="AK6" i="1"/>
  <c r="G22" i="1"/>
  <c r="AK22" i="1"/>
  <c r="G38" i="1"/>
  <c r="AK38" i="1"/>
  <c r="G54" i="1"/>
  <c r="AK54" i="1"/>
  <c r="AK70" i="1"/>
  <c r="G70" i="1"/>
  <c r="G43" i="1"/>
  <c r="AK43" i="1"/>
  <c r="G32" i="1"/>
  <c r="AK32" i="1"/>
  <c r="G58" i="1"/>
  <c r="AK58" i="1"/>
  <c r="G15" i="1"/>
  <c r="AK15" i="1"/>
  <c r="G31" i="1"/>
  <c r="AK31" i="1"/>
  <c r="G72" i="1"/>
  <c r="AK72" i="1"/>
  <c r="AK16" i="1"/>
  <c r="G16" i="1"/>
  <c r="G48" i="1"/>
  <c r="AK48" i="1"/>
  <c r="G64" i="1"/>
  <c r="AK64" i="1"/>
  <c r="G10" i="1"/>
  <c r="AK10" i="1"/>
  <c r="AK26" i="1"/>
  <c r="G26" i="1"/>
  <c r="G42" i="1"/>
  <c r="AK42" i="1"/>
  <c r="G2" i="1"/>
  <c r="AK2" i="1"/>
  <c r="G3" i="1"/>
  <c r="AK3" i="1"/>
  <c r="G19" i="1"/>
  <c r="AK19" i="1"/>
  <c r="G35" i="1"/>
  <c r="AK35" i="1"/>
  <c r="AK4" i="1"/>
  <c r="G4" i="1"/>
  <c r="G20" i="1"/>
  <c r="AK20" i="1"/>
  <c r="AK36" i="1"/>
  <c r="G36" i="1"/>
  <c r="G52" i="1"/>
  <c r="AK52" i="1"/>
  <c r="AK68" i="1"/>
  <c r="G68" i="1"/>
  <c r="G14" i="1"/>
  <c r="AK14" i="1"/>
  <c r="G30" i="1"/>
  <c r="AK30" i="1"/>
  <c r="G46" i="1"/>
  <c r="AK46" i="1"/>
  <c r="G62" i="1"/>
  <c r="AK62" i="1"/>
  <c r="AK74" i="1"/>
  <c r="G74" i="1"/>
  <c r="AK59" i="1"/>
  <c r="G59" i="1"/>
  <c r="E89" i="1"/>
  <c r="AV68" i="1"/>
  <c r="AL68" i="1"/>
  <c r="AV4" i="1"/>
  <c r="AL4" i="1"/>
  <c r="AV28" i="1"/>
  <c r="AL28" i="1"/>
  <c r="AV73" i="1"/>
  <c r="AL73" i="1"/>
  <c r="AV40" i="1"/>
  <c r="AL40" i="1"/>
  <c r="AL62" i="1"/>
  <c r="AV62" i="1"/>
  <c r="AV30" i="1"/>
  <c r="AL30" i="1"/>
  <c r="AV19" i="1"/>
  <c r="AL19" i="1"/>
  <c r="AV2" i="1"/>
  <c r="AL2" i="1"/>
  <c r="AV64" i="1"/>
  <c r="AL64" i="1"/>
  <c r="AV31" i="1"/>
  <c r="AL31" i="1"/>
  <c r="AV58" i="1"/>
  <c r="AL58" i="1"/>
  <c r="AV43" i="1"/>
  <c r="AL43" i="1"/>
  <c r="AV54" i="1"/>
  <c r="AL54" i="1"/>
  <c r="AV22" i="1"/>
  <c r="AL22" i="1"/>
  <c r="AV60" i="1"/>
  <c r="AL60" i="1"/>
  <c r="AV11" i="1"/>
  <c r="AL11" i="1"/>
  <c r="AV66" i="1"/>
  <c r="AL66" i="1"/>
  <c r="AV34" i="1"/>
  <c r="AL34" i="1"/>
  <c r="AV75" i="1"/>
  <c r="AL75" i="1"/>
  <c r="AV8" i="1"/>
  <c r="AL8" i="1"/>
  <c r="AV23" i="1"/>
  <c r="AV74" i="1"/>
  <c r="AL74" i="1"/>
  <c r="AV70" i="1"/>
  <c r="AL70" i="1"/>
  <c r="AV44" i="1"/>
  <c r="AL44" i="1"/>
  <c r="AV12" i="1"/>
  <c r="AL12" i="1"/>
  <c r="AV24" i="1"/>
  <c r="AL24" i="1"/>
  <c r="AV36" i="1"/>
  <c r="AL36" i="1"/>
  <c r="AV26" i="1"/>
  <c r="AL26" i="1"/>
  <c r="AV16" i="1"/>
  <c r="AL16" i="1"/>
  <c r="AV46" i="1"/>
  <c r="AL46" i="1"/>
  <c r="AV14" i="1"/>
  <c r="AL14" i="1"/>
  <c r="AV52" i="1"/>
  <c r="AL52" i="1"/>
  <c r="AV20" i="1"/>
  <c r="AL20" i="1"/>
  <c r="AV35" i="1"/>
  <c r="AL35" i="1"/>
  <c r="AV3" i="1"/>
  <c r="AL3" i="1"/>
  <c r="AV42" i="1"/>
  <c r="AL42" i="1"/>
  <c r="AV10" i="1"/>
  <c r="AL10" i="1"/>
  <c r="AV48" i="1"/>
  <c r="AL48" i="1"/>
  <c r="AV72" i="1"/>
  <c r="AL72" i="1"/>
  <c r="AV15" i="1"/>
  <c r="AL15" i="1"/>
  <c r="AV32" i="1"/>
  <c r="AL32" i="1"/>
  <c r="AV38" i="1"/>
  <c r="AL38" i="1"/>
  <c r="AV6" i="1"/>
  <c r="AL6" i="1"/>
  <c r="AV27" i="1"/>
  <c r="AL27" i="1"/>
  <c r="AV76" i="1"/>
  <c r="AL76" i="1"/>
  <c r="AV50" i="1"/>
  <c r="AL50" i="1"/>
  <c r="AV18" i="1"/>
  <c r="AL18" i="1"/>
  <c r="AV56" i="1"/>
  <c r="AL56" i="1"/>
  <c r="AV39" i="1"/>
  <c r="AL39" i="1"/>
  <c r="AV7" i="1"/>
  <c r="AL7" i="1"/>
  <c r="AV59" i="1"/>
  <c r="AL59" i="1"/>
  <c r="AT8" i="1"/>
  <c r="AB18" i="3"/>
  <c r="AB23" i="3"/>
  <c r="AA25" i="3"/>
  <c r="Z17" i="3"/>
  <c r="R23" i="1"/>
  <c r="F23" i="1"/>
  <c r="Z34" i="3"/>
  <c r="AB3" i="3"/>
  <c r="Z22" i="3"/>
  <c r="AA28" i="3"/>
  <c r="AA36" i="3"/>
  <c r="AA10" i="3"/>
  <c r="Z30" i="3"/>
  <c r="AA26" i="3"/>
  <c r="Z11" i="3"/>
  <c r="AA38" i="3"/>
  <c r="AA23" i="3"/>
  <c r="AA3" i="3" l="1"/>
  <c r="Z27" i="3"/>
  <c r="AA4" i="3"/>
  <c r="AB6" i="3"/>
  <c r="AB29" i="3"/>
  <c r="AB34" i="3"/>
  <c r="Z2" i="3"/>
  <c r="AA13" i="3"/>
  <c r="AB26" i="3"/>
  <c r="AA30" i="3"/>
  <c r="AA32" i="3"/>
  <c r="Z36" i="3"/>
  <c r="AA7" i="3"/>
  <c r="Z8" i="3"/>
  <c r="AA24" i="3"/>
  <c r="Z25" i="3"/>
  <c r="AB14" i="3"/>
  <c r="AB32" i="3"/>
  <c r="AA16" i="3"/>
  <c r="Z6" i="3"/>
  <c r="Z9" i="3"/>
  <c r="Z20" i="3"/>
  <c r="AB31" i="3"/>
  <c r="Z33" i="3"/>
  <c r="AA37" i="3"/>
  <c r="Z13" i="3"/>
  <c r="AB21" i="3"/>
  <c r="Z1" i="3"/>
  <c r="AB5" i="3"/>
  <c r="Z7" i="3"/>
  <c r="AB8" i="3"/>
  <c r="AA12" i="3"/>
  <c r="Z14" i="3"/>
  <c r="Z18" i="3"/>
  <c r="AD65" i="1"/>
  <c r="AD13" i="1"/>
  <c r="AD90" i="1"/>
  <c r="AE97" i="1"/>
  <c r="AB33" i="3"/>
  <c r="AB2" i="3"/>
  <c r="AA5" i="3"/>
  <c r="Z38" i="3"/>
  <c r="AA8" i="3"/>
  <c r="Z12" i="3"/>
  <c r="AD2" i="1"/>
  <c r="AD23" i="1"/>
  <c r="AD22" i="1"/>
  <c r="AD21" i="1"/>
  <c r="AD20" i="1"/>
  <c r="AD19" i="1"/>
  <c r="AD10" i="1"/>
  <c r="AD9" i="1"/>
  <c r="AD8" i="1"/>
  <c r="AD7" i="1"/>
  <c r="AD6" i="1"/>
  <c r="AD5" i="1"/>
  <c r="AD4" i="1"/>
  <c r="AD3" i="1"/>
  <c r="AD88" i="1"/>
  <c r="AD85" i="1"/>
  <c r="AD82" i="1"/>
  <c r="AD79" i="1"/>
  <c r="AD76" i="1"/>
  <c r="AD71" i="1"/>
  <c r="AD70" i="1"/>
  <c r="AD39" i="1"/>
  <c r="AD38" i="1"/>
  <c r="AD37" i="1"/>
  <c r="AD36" i="1"/>
  <c r="AD93" i="1"/>
  <c r="Z15" i="3"/>
  <c r="Z16" i="3"/>
  <c r="AB22" i="3"/>
  <c r="AA35" i="3"/>
  <c r="AD80" i="1"/>
  <c r="AD69" i="1"/>
  <c r="AD86" i="1"/>
  <c r="AD24" i="1"/>
  <c r="AD62" i="1"/>
  <c r="AD34" i="1"/>
  <c r="AD33" i="1"/>
  <c r="AD30" i="1"/>
  <c r="AD29" i="1"/>
  <c r="AD68" i="1"/>
  <c r="AD74" i="1"/>
  <c r="AD95" i="1"/>
  <c r="AF96" i="1"/>
  <c r="Z24" i="3"/>
  <c r="AA20" i="3"/>
  <c r="AA39" i="3"/>
  <c r="AB37" i="3"/>
  <c r="AB17" i="3"/>
  <c r="AB12" i="3"/>
  <c r="Z31" i="3"/>
  <c r="AB36" i="3"/>
  <c r="AD14" i="1"/>
  <c r="AD96" i="1"/>
  <c r="AF36" i="1"/>
  <c r="AE36" i="1"/>
  <c r="AE20" i="1"/>
  <c r="AF20" i="1"/>
  <c r="AE8" i="1"/>
  <c r="AF8" i="1"/>
  <c r="AF4" i="1"/>
  <c r="AE4" i="1"/>
  <c r="AE64" i="1"/>
  <c r="AF64" i="1"/>
  <c r="AF70" i="1"/>
  <c r="AE70" i="1"/>
  <c r="AF97" i="1"/>
  <c r="AF23" i="1"/>
  <c r="AE23" i="1"/>
  <c r="AF19" i="1"/>
  <c r="AE19" i="1"/>
  <c r="AF7" i="1"/>
  <c r="AE7" i="1"/>
  <c r="AF2" i="1"/>
  <c r="AE2" i="1"/>
  <c r="Z10" i="3"/>
  <c r="Z19" i="3"/>
  <c r="AA27" i="3"/>
  <c r="AE65" i="1"/>
  <c r="AF65" i="1"/>
  <c r="AE76" i="1"/>
  <c r="AF76" i="1"/>
  <c r="AE88" i="1"/>
  <c r="AF88" i="1"/>
  <c r="AF79" i="1"/>
  <c r="AE79" i="1"/>
  <c r="AD18" i="1"/>
  <c r="AD17" i="1"/>
  <c r="AD16" i="1"/>
  <c r="AD15" i="1"/>
  <c r="AD12" i="1"/>
  <c r="AD11" i="1"/>
  <c r="AD87" i="1"/>
  <c r="AD84" i="1"/>
  <c r="AD81" i="1"/>
  <c r="AD78" i="1"/>
  <c r="AD73" i="1"/>
  <c r="AD72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F92" i="1"/>
  <c r="AE92" i="1"/>
  <c r="AE93" i="1"/>
  <c r="AF93" i="1"/>
  <c r="AF38" i="1"/>
  <c r="AE38" i="1"/>
  <c r="AE22" i="1"/>
  <c r="AF22" i="1"/>
  <c r="AE10" i="1"/>
  <c r="AF10" i="1"/>
  <c r="AF6" i="1"/>
  <c r="AE6" i="1"/>
  <c r="AF39" i="1"/>
  <c r="AE39" i="1"/>
  <c r="AF71" i="1"/>
  <c r="AE71" i="1"/>
  <c r="AE85" i="1"/>
  <c r="AF85" i="1"/>
  <c r="AD66" i="1"/>
  <c r="AD75" i="1"/>
  <c r="AF94" i="1"/>
  <c r="AE94" i="1"/>
  <c r="AE96" i="1"/>
  <c r="AE37" i="1"/>
  <c r="AF37" i="1"/>
  <c r="AE21" i="1"/>
  <c r="AF21" i="1"/>
  <c r="AE9" i="1"/>
  <c r="AF9" i="1"/>
  <c r="AE5" i="1"/>
  <c r="AF5" i="1"/>
  <c r="AF3" i="1"/>
  <c r="AE3" i="1"/>
  <c r="Z5" i="3"/>
  <c r="AB11" i="3"/>
  <c r="Z23" i="3"/>
  <c r="Z26" i="3"/>
  <c r="AA29" i="3"/>
  <c r="AB30" i="3"/>
  <c r="AD64" i="1"/>
  <c r="AF82" i="1"/>
  <c r="AE82" i="1"/>
  <c r="AF91" i="1"/>
  <c r="AE91" i="1"/>
  <c r="AE24" i="1"/>
  <c r="AF24" i="1"/>
  <c r="AE18" i="1"/>
  <c r="AF18" i="1"/>
  <c r="AE17" i="1"/>
  <c r="AF17" i="1"/>
  <c r="AF16" i="1"/>
  <c r="AE16" i="1"/>
  <c r="AF15" i="1"/>
  <c r="AE15" i="1"/>
  <c r="AF14" i="1"/>
  <c r="AE14" i="1"/>
  <c r="AE13" i="1"/>
  <c r="AF13" i="1"/>
  <c r="AF12" i="1"/>
  <c r="AE12" i="1"/>
  <c r="AF11" i="1"/>
  <c r="AE11" i="1"/>
  <c r="AF90" i="1"/>
  <c r="AE90" i="1"/>
  <c r="AE89" i="1"/>
  <c r="AF89" i="1"/>
  <c r="AF87" i="1"/>
  <c r="AE87" i="1"/>
  <c r="AF86" i="1"/>
  <c r="AE86" i="1"/>
  <c r="AF84" i="1"/>
  <c r="AE84" i="1"/>
  <c r="AF83" i="1"/>
  <c r="AE83" i="1"/>
  <c r="AE81" i="1"/>
  <c r="AF81" i="1"/>
  <c r="AF80" i="1"/>
  <c r="AE80" i="1"/>
  <c r="AF78" i="1"/>
  <c r="AE78" i="1"/>
  <c r="AE77" i="1"/>
  <c r="AF77" i="1"/>
  <c r="AF75" i="1"/>
  <c r="AE75" i="1"/>
  <c r="AF74" i="1"/>
  <c r="AE74" i="1"/>
  <c r="AE73" i="1"/>
  <c r="AF73" i="1"/>
  <c r="AF72" i="1"/>
  <c r="AE72" i="1"/>
  <c r="AE69" i="1"/>
  <c r="AF69" i="1"/>
  <c r="AF68" i="1"/>
  <c r="AE68" i="1"/>
  <c r="AF67" i="1"/>
  <c r="AE67" i="1"/>
  <c r="AF66" i="1"/>
  <c r="AE66" i="1"/>
  <c r="AF63" i="1"/>
  <c r="AE63" i="1"/>
  <c r="AF62" i="1"/>
  <c r="AE62" i="1"/>
  <c r="AE61" i="1"/>
  <c r="AF61" i="1"/>
  <c r="AF60" i="1"/>
  <c r="AE60" i="1"/>
  <c r="AF59" i="1"/>
  <c r="AE59" i="1"/>
  <c r="AF58" i="1"/>
  <c r="AE58" i="1"/>
  <c r="AE57" i="1"/>
  <c r="AF57" i="1"/>
  <c r="AF56" i="1"/>
  <c r="AE56" i="1"/>
  <c r="AF55" i="1"/>
  <c r="AE55" i="1"/>
  <c r="AF54" i="1"/>
  <c r="AE54" i="1"/>
  <c r="AE53" i="1"/>
  <c r="AF53" i="1"/>
  <c r="AE52" i="1"/>
  <c r="AF52" i="1"/>
  <c r="AF51" i="1"/>
  <c r="AE51" i="1"/>
  <c r="AF50" i="1"/>
  <c r="AE50" i="1"/>
  <c r="AE49" i="1"/>
  <c r="AF49" i="1"/>
  <c r="AF48" i="1"/>
  <c r="AE48" i="1"/>
  <c r="AF47" i="1"/>
  <c r="AE47" i="1"/>
  <c r="AF46" i="1"/>
  <c r="AE46" i="1"/>
  <c r="AE45" i="1"/>
  <c r="AF45" i="1"/>
  <c r="AF44" i="1"/>
  <c r="AE44" i="1"/>
  <c r="AF43" i="1"/>
  <c r="AE43" i="1"/>
  <c r="AE42" i="1"/>
  <c r="AF42" i="1"/>
  <c r="AE41" i="1"/>
  <c r="AF41" i="1"/>
  <c r="AE40" i="1"/>
  <c r="AF40" i="1"/>
  <c r="AF35" i="1"/>
  <c r="AE35" i="1"/>
  <c r="AE34" i="1"/>
  <c r="AF34" i="1"/>
  <c r="AE33" i="1"/>
  <c r="AF33" i="1"/>
  <c r="AE32" i="1"/>
  <c r="AF32" i="1"/>
  <c r="AF31" i="1"/>
  <c r="AE31" i="1"/>
  <c r="AE30" i="1"/>
  <c r="AF30" i="1"/>
  <c r="AE29" i="1"/>
  <c r="AF29" i="1"/>
  <c r="AF28" i="1"/>
  <c r="AE28" i="1"/>
  <c r="AF27" i="1"/>
  <c r="AE27" i="1"/>
  <c r="AF26" i="1"/>
  <c r="AE26" i="1"/>
  <c r="AE25" i="1"/>
  <c r="AF25" i="1"/>
  <c r="AD92" i="1"/>
  <c r="AD94" i="1"/>
  <c r="AF95" i="1"/>
  <c r="AE95" i="1"/>
  <c r="AA31" i="3"/>
  <c r="AA18" i="3"/>
</calcChain>
</file>

<file path=xl/comments1.xml><?xml version="1.0" encoding="utf-8"?>
<comments xmlns="http://schemas.openxmlformats.org/spreadsheetml/2006/main">
  <authors>
    <author>Administrator</author>
    <author>New User</author>
  </authors>
  <commentLis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称号分类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称号分类名字
</t>
        </r>
      </text>
    </comment>
    <comment ref="O1" authorId="1">
      <text>
        <r>
          <rPr>
            <b/>
            <sz val="9"/>
            <color indexed="81"/>
            <rFont val="宋体"/>
            <family val="3"/>
            <charset val="134"/>
          </rPr>
          <t>New User:</t>
        </r>
        <r>
          <rPr>
            <sz val="9"/>
            <color indexed="81"/>
            <rFont val="宋体"/>
            <family val="3"/>
            <charset val="134"/>
          </rPr>
          <t xml:space="preserve">
限时称号时间
0为无限
其他数为秒数
</t>
        </r>
      </text>
    </comment>
  </commentList>
</comments>
</file>

<file path=xl/sharedStrings.xml><?xml version="1.0" encoding="utf-8"?>
<sst xmlns="http://schemas.openxmlformats.org/spreadsheetml/2006/main" count="833" uniqueCount="350">
  <si>
    <t>ID</t>
  </si>
  <si>
    <t>TitleName</t>
  </si>
  <si>
    <t>Description</t>
  </si>
  <si>
    <t>TitleIcon</t>
  </si>
  <si>
    <t>activeGs</t>
  </si>
  <si>
    <t>permanentGs</t>
  </si>
  <si>
    <t>称号等级</t>
  </si>
  <si>
    <t>属性类型</t>
  </si>
  <si>
    <t>被动</t>
  </si>
  <si>
    <t>主动</t>
  </si>
  <si>
    <t>Icon_chongzhi</t>
  </si>
  <si>
    <t>|</t>
  </si>
  <si>
    <t>:</t>
  </si>
  <si>
    <t>称号属性原则</t>
  </si>
  <si>
    <t>1、</t>
  </si>
  <si>
    <t>被动属性加很少，主动属性加被动属性的10倍</t>
  </si>
  <si>
    <t>2、</t>
  </si>
  <si>
    <t>加常规的攻防血属性</t>
  </si>
  <si>
    <t>充值VIP1获得</t>
  </si>
  <si>
    <t>黑暗君王</t>
  </si>
  <si>
    <t>财富大亨</t>
    <phoneticPr fontId="7" type="noConversion"/>
  </si>
  <si>
    <t>无敌</t>
    <phoneticPr fontId="7" type="noConversion"/>
  </si>
  <si>
    <t>远古战神</t>
    <phoneticPr fontId="7" type="noConversion"/>
  </si>
  <si>
    <t>性价比</t>
    <phoneticPr fontId="7" type="noConversion"/>
  </si>
  <si>
    <t>总战力</t>
    <phoneticPr fontId="7" type="noConversion"/>
  </si>
  <si>
    <t>总花费</t>
    <phoneticPr fontId="7" type="noConversion"/>
  </si>
  <si>
    <t>性价比1</t>
    <phoneticPr fontId="7" type="noConversion"/>
  </si>
  <si>
    <t>性价比2</t>
    <phoneticPr fontId="7" type="noConversion"/>
  </si>
  <si>
    <t>途径</t>
    <phoneticPr fontId="7" type="noConversion"/>
  </si>
  <si>
    <t>设定说明</t>
    <phoneticPr fontId="7" type="noConversion"/>
  </si>
  <si>
    <t>A4E66FFF</t>
  </si>
  <si>
    <t>76CBF3FF</t>
  </si>
  <si>
    <t>C776F3FF</t>
  </si>
  <si>
    <t>ff7800FF</t>
    <phoneticPr fontId="8" type="noConversion"/>
  </si>
  <si>
    <t>成长挑战产出</t>
    <phoneticPr fontId="7" type="noConversion"/>
  </si>
  <si>
    <t>/title2</t>
  </si>
  <si>
    <t>/title4</t>
  </si>
  <si>
    <t>/title1</t>
  </si>
  <si>
    <t>/title3</t>
  </si>
  <si>
    <t>/title5</t>
    <phoneticPr fontId="7" type="noConversion"/>
  </si>
  <si>
    <t>/title7</t>
  </si>
  <si>
    <t>/title8</t>
  </si>
  <si>
    <t>/title9</t>
  </si>
  <si>
    <t>/title6</t>
    <phoneticPr fontId="7" type="noConversion"/>
  </si>
  <si>
    <t>/titlea1</t>
    <phoneticPr fontId="7" type="noConversion"/>
  </si>
  <si>
    <t>[ff7800FF]威震八方[-]</t>
  </si>
  <si>
    <t>[ff7800FF]黎明之光[-]</t>
  </si>
  <si>
    <t>[C776F3FF]身经百战[-]</t>
  </si>
  <si>
    <t>[C776F3FF]战争狂人[-]</t>
  </si>
  <si>
    <t>[C776F3FF]逐风者[-]</t>
  </si>
  <si>
    <t>[C776F3FF]炎魔之王[-]</t>
  </si>
  <si>
    <t>[C776F3FF]灵魂收割者[-]</t>
  </si>
  <si>
    <t>[ff7800FF]远古王者[-]</t>
  </si>
  <si>
    <t>[C776F3FF]影之哀伤[-]</t>
  </si>
  <si>
    <t>[ff7800FF]巨龙之暮[-]</t>
  </si>
  <si>
    <t>[ff7800FF]死亡之翼[-]</t>
  </si>
  <si>
    <t>[ff7800FF]VIP大元帅[-]</t>
  </si>
  <si>
    <t>[ff7800FF]不朽者[-]</t>
  </si>
  <si>
    <t>[ff7800FF]灭神者[-]</t>
  </si>
  <si>
    <t>[C776F3FF]圣光使者[-]</t>
  </si>
  <si>
    <t>[C776F3FF]魔网守护者[-]</t>
  </si>
  <si>
    <t>[A4E66FFF]破法者[-]</t>
  </si>
  <si>
    <t>[A4E66FFF]诅咒破灭者[-]</t>
  </si>
  <si>
    <t>[A4E66FFF]武器大师[-]</t>
  </si>
  <si>
    <t>[A4E66FFF]圣卫骑士[-]</t>
  </si>
  <si>
    <t>[A4E66FFF]奥秘术师[-]</t>
  </si>
  <si>
    <t>[A4E66FFF]英雄出世[-]</t>
  </si>
  <si>
    <t>[76CBF3FF]战争大师[-]</t>
  </si>
  <si>
    <t>[76CBF3FF]拂晓骑士[-]</t>
  </si>
  <si>
    <t>[76CBF3FF]元素大师[-]</t>
  </si>
  <si>
    <t>[C776F3FF]战争之王[-]</t>
  </si>
  <si>
    <t>[C776F3FF]裁决者[-]</t>
  </si>
  <si>
    <t>[C776F3FF]审判者[-]</t>
  </si>
  <si>
    <t>[76CBF3FF]送葬者[-]</t>
  </si>
  <si>
    <t>[C776F3FF]征服者[-]</t>
  </si>
  <si>
    <t>[76CBF3FF]大十字军[-]</t>
  </si>
  <si>
    <t>[76CBF3FF]圣光的勇士[-]</t>
  </si>
  <si>
    <t>[76CBF3FF]暗影变节者[-]</t>
  </si>
  <si>
    <t>[76CBF3FF]灰烬审判者[-]</t>
  </si>
  <si>
    <t>[C776F3FF]弑君者[-]</t>
  </si>
  <si>
    <t>[76CBF3FF]赤色破碎者[-]</t>
  </si>
  <si>
    <t>[76CBF3FF]残忍角斗士[-]</t>
  </si>
  <si>
    <t>[ff7800FF]天界保卫者[-]</t>
  </si>
  <si>
    <t>[ff7800FF]死亡终结者[-]</t>
  </si>
  <si>
    <t>[A4E66FFF]成功人士[-]</t>
  </si>
  <si>
    <t>[A4E66FFF]大红大紫[-]</t>
  </si>
  <si>
    <t>[A4E66FFF]赏金猎人[-]</t>
  </si>
  <si>
    <t>[A4E66FFF]盗墓者[-]</t>
  </si>
  <si>
    <t>[A4E66FFF]军功累累[-]</t>
  </si>
  <si>
    <t>[A4E66FFF]人品无敌[-]</t>
  </si>
  <si>
    <t>PropertyValue</t>
    <phoneticPr fontId="7" type="noConversion"/>
  </si>
  <si>
    <t>permanentPropValue</t>
    <phoneticPr fontId="7" type="noConversion"/>
  </si>
  <si>
    <t>type</t>
    <phoneticPr fontId="7" type="noConversion"/>
  </si>
  <si>
    <t>typename</t>
    <phoneticPr fontId="7" type="noConversion"/>
  </si>
  <si>
    <t>充值VIP4获得</t>
    <phoneticPr fontId="7" type="noConversion"/>
  </si>
  <si>
    <t>充值VIP6获得</t>
    <phoneticPr fontId="7" type="noConversion"/>
  </si>
  <si>
    <t>充值VIP8获得</t>
    <phoneticPr fontId="7" type="noConversion"/>
  </si>
  <si>
    <t>充值VIP10获得</t>
    <phoneticPr fontId="7" type="noConversion"/>
  </si>
  <si>
    <t>充值VIP12获得</t>
    <phoneticPr fontId="7" type="noConversion"/>
  </si>
  <si>
    <t>VIP</t>
    <phoneticPr fontId="7" type="noConversion"/>
  </si>
  <si>
    <t>成就</t>
    <phoneticPr fontId="7" type="noConversion"/>
  </si>
  <si>
    <t>3</t>
  </si>
  <si>
    <t>活动</t>
    <phoneticPr fontId="7" type="noConversion"/>
  </si>
  <si>
    <t>家财万贯</t>
  </si>
  <si>
    <t>一掷千金</t>
  </si>
  <si>
    <t>珠光宝气</t>
  </si>
  <si>
    <t>宝石达人</t>
  </si>
  <si>
    <t>宝石爱好者</t>
  </si>
  <si>
    <t>/titlea2</t>
    <phoneticPr fontId="7" type="noConversion"/>
  </si>
  <si>
    <t>[76CBF3FF]家财万贯[-]</t>
  </si>
  <si>
    <t>[A4E66FFF]一掷千金[-]</t>
  </si>
  <si>
    <t>[A4E66FFF]宝石达人[-]</t>
  </si>
  <si>
    <t>[FFFFFFFF]宝石爱好者[-]</t>
  </si>
  <si>
    <t>最强王者</t>
    <phoneticPr fontId="7" type="noConversion"/>
  </si>
  <si>
    <t>破法者</t>
  </si>
  <si>
    <t>诅咒破灭者</t>
  </si>
  <si>
    <t>武器大师</t>
  </si>
  <si>
    <t>圣卫骑士</t>
  </si>
  <si>
    <t>奥秘术师</t>
  </si>
  <si>
    <t>英雄出世</t>
  </si>
  <si>
    <t>战争大师</t>
  </si>
  <si>
    <t>拂晓骑士</t>
  </si>
  <si>
    <t>元素大师</t>
  </si>
  <si>
    <t>战争之王</t>
  </si>
  <si>
    <t>裁决者</t>
  </si>
  <si>
    <t>审判者</t>
  </si>
  <si>
    <t>送葬者</t>
  </si>
  <si>
    <t>征服者</t>
  </si>
  <si>
    <t>大十字军</t>
  </si>
  <si>
    <t>圣光的勇士</t>
  </si>
  <si>
    <t>暗影变节者</t>
  </si>
  <si>
    <t>灰烬审判者</t>
  </si>
  <si>
    <t>弑君者</t>
  </si>
  <si>
    <t>赤色破碎者</t>
  </si>
  <si>
    <t>残忍角斗士</t>
  </si>
  <si>
    <t>天界保卫者</t>
  </si>
  <si>
    <t>死亡终结者</t>
  </si>
  <si>
    <t>圣光使者</t>
  </si>
  <si>
    <t>魔网守护者</t>
  </si>
  <si>
    <t>不朽者</t>
  </si>
  <si>
    <t>灭神者</t>
  </si>
  <si>
    <t>VIP大元帅</t>
  </si>
  <si>
    <t>逐风者</t>
  </si>
  <si>
    <t>炎魔之王</t>
  </si>
  <si>
    <t>灵魂收割者</t>
  </si>
  <si>
    <t>远古王者</t>
  </si>
  <si>
    <t>影之哀伤</t>
  </si>
  <si>
    <t>巨龙之暮</t>
  </si>
  <si>
    <t>死亡之翼</t>
  </si>
  <si>
    <t>威震八方</t>
  </si>
  <si>
    <t>黎明之光</t>
  </si>
  <si>
    <t>身经百战</t>
  </si>
  <si>
    <t>战争狂人</t>
  </si>
  <si>
    <t>VIP白金统领</t>
    <phoneticPr fontId="7" type="noConversion"/>
  </si>
  <si>
    <t>VIP钻石统帅</t>
    <phoneticPr fontId="7" type="noConversion"/>
  </si>
  <si>
    <t>VIP星耀王者</t>
    <phoneticPr fontId="7" type="noConversion"/>
  </si>
  <si>
    <t>VIP青铜骑士</t>
    <phoneticPr fontId="7" type="noConversion"/>
  </si>
  <si>
    <t>VIP众神之王</t>
    <phoneticPr fontId="7" type="noConversion"/>
  </si>
  <si>
    <t>VIP永恒王者</t>
    <phoneticPr fontId="7" type="noConversion"/>
  </si>
  <si>
    <t>怪物杀手</t>
  </si>
  <si>
    <t>疯狂杀戮</t>
  </si>
  <si>
    <t>出师</t>
  </si>
  <si>
    <t>战斗机器</t>
  </si>
  <si>
    <t>无人能敌</t>
  </si>
  <si>
    <t>万众敬仰</t>
  </si>
  <si>
    <t>传说中的存在</t>
  </si>
  <si>
    <t>初来乍到</t>
  </si>
  <si>
    <t>满级玩家</t>
  </si>
  <si>
    <t>理财达人</t>
  </si>
  <si>
    <t>中产阶级</t>
  </si>
  <si>
    <t>成功人士</t>
  </si>
  <si>
    <t>垄断者</t>
  </si>
  <si>
    <t>土豪</t>
  </si>
  <si>
    <t>RMB战士</t>
  </si>
  <si>
    <t>亲和力</t>
  </si>
  <si>
    <t>大红大紫</t>
  </si>
  <si>
    <t>万人斩</t>
  </si>
  <si>
    <t>疯子</t>
  </si>
  <si>
    <t>ATM</t>
  </si>
  <si>
    <t>集结号</t>
  </si>
  <si>
    <t>冒险者</t>
  </si>
  <si>
    <t>赏金猎人</t>
  </si>
  <si>
    <t>招牌赏金</t>
  </si>
  <si>
    <t>白手起家</t>
  </si>
  <si>
    <t>第一桶金</t>
  </si>
  <si>
    <t>富甲一方</t>
  </si>
  <si>
    <t>饲养员</t>
  </si>
  <si>
    <t>收集癖患者</t>
  </si>
  <si>
    <t>收藏家</t>
  </si>
  <si>
    <t>理财高手</t>
  </si>
  <si>
    <t>根本停不下来</t>
  </si>
  <si>
    <t>购物狂</t>
  </si>
  <si>
    <t>星光灿烂</t>
  </si>
  <si>
    <t>满天星光</t>
  </si>
  <si>
    <t>千锤百炼</t>
  </si>
  <si>
    <t>全副武装</t>
  </si>
  <si>
    <t>十八般武艺</t>
  </si>
  <si>
    <t>盗墓者</t>
  </si>
  <si>
    <t>考古学家</t>
  </si>
  <si>
    <t>军功累累</t>
  </si>
  <si>
    <t>成藏功与名</t>
  </si>
  <si>
    <t>勇士</t>
  </si>
  <si>
    <t>财迷</t>
  </si>
  <si>
    <t>人品无敌</t>
  </si>
  <si>
    <t>占位1</t>
    <phoneticPr fontId="7" type="noConversion"/>
  </si>
  <si>
    <t>占位2</t>
    <phoneticPr fontId="7" type="noConversion"/>
  </si>
  <si>
    <t>占位3</t>
  </si>
  <si>
    <t>占位4</t>
  </si>
  <si>
    <t>占位5</t>
  </si>
  <si>
    <t>无法无天</t>
    <phoneticPr fontId="7" type="noConversion"/>
  </si>
  <si>
    <t>show</t>
    <phoneticPr fontId="7" type="noConversion"/>
  </si>
  <si>
    <t>价格（rmb）</t>
    <phoneticPr fontId="7" type="noConversion"/>
  </si>
  <si>
    <t>MG发放170072获得</t>
    <phoneticPr fontId="7" type="noConversion"/>
  </si>
  <si>
    <t>MG发放170073获得</t>
    <phoneticPr fontId="7" type="noConversion"/>
  </si>
  <si>
    <t>height</t>
    <phoneticPr fontId="7" type="noConversion"/>
  </si>
  <si>
    <t>0.45</t>
  </si>
  <si>
    <t>0.45</t>
    <phoneticPr fontId="7" type="noConversion"/>
  </si>
  <si>
    <t>0.9</t>
    <phoneticPr fontId="7" type="noConversion"/>
  </si>
  <si>
    <t>0.8</t>
  </si>
  <si>
    <t>0.8</t>
    <phoneticPr fontId="7" type="noConversion"/>
  </si>
  <si>
    <t>0.85</t>
    <phoneticPr fontId="7" type="noConversion"/>
  </si>
  <si>
    <t>84</t>
    <phoneticPr fontId="7" type="noConversion"/>
  </si>
  <si>
    <t>称号:神选者</t>
    <phoneticPr fontId="8" type="noConversion"/>
  </si>
  <si>
    <t>称号:天使降临</t>
    <phoneticPr fontId="8" type="noConversion"/>
  </si>
  <si>
    <t>称号:防御天使</t>
    <phoneticPr fontId="8" type="noConversion"/>
  </si>
  <si>
    <t>称号:定律天使</t>
    <phoneticPr fontId="8" type="noConversion"/>
  </si>
  <si>
    <t>称号:堕落天使</t>
    <phoneticPr fontId="8" type="noConversion"/>
  </si>
  <si>
    <t>称号:战斗天使</t>
    <phoneticPr fontId="8" type="noConversion"/>
  </si>
  <si>
    <t>称号:奇迹天使</t>
    <phoneticPr fontId="8" type="noConversion"/>
  </si>
  <si>
    <t>称号:美丽天使</t>
    <phoneticPr fontId="8" type="noConversion"/>
  </si>
  <si>
    <t>称号:叛逆天使</t>
    <phoneticPr fontId="8" type="noConversion"/>
  </si>
  <si>
    <t>称号:审判天使</t>
    <phoneticPr fontId="8" type="noConversion"/>
  </si>
  <si>
    <t>称号:守护天使</t>
    <phoneticPr fontId="8" type="noConversion"/>
  </si>
  <si>
    <t>ffffffFF</t>
    <phoneticPr fontId="8" type="noConversion"/>
  </si>
  <si>
    <t>[76CBF3FF]土豪[-]</t>
  </si>
  <si>
    <t>[A4E66FFF]宝石之力[-]</t>
  </si>
  <si>
    <t>[76CBF3FF]一掷千金[-]</t>
  </si>
  <si>
    <t>[76CBF3FF]战争狂人[-]</t>
  </si>
  <si>
    <t>称号:神之左手</t>
    <phoneticPr fontId="8" type="noConversion"/>
  </si>
  <si>
    <t>称号:神之右手</t>
    <phoneticPr fontId="8" type="noConversion"/>
  </si>
  <si>
    <t>称号:神之王冠</t>
    <phoneticPr fontId="8" type="noConversion"/>
  </si>
  <si>
    <t>101:100929|102:57430|104:1630342|115:167459|110:15704|109:13704|106:16664|108:14664|120:50320|112:15364|113:18243|114:8344|107:8774|116:12017|103:9067</t>
  </si>
  <si>
    <t>101:16833|102:7215|104:183793|115:25839|106:2727|108:2358|109:2355|110:2727|112:2260|113:2878|120:6204|114:1507|103:94|116:94|107:1414</t>
  </si>
  <si>
    <t>ffffffFF</t>
    <phoneticPr fontId="8" type="noConversion"/>
  </si>
  <si>
    <t>[A4E66FFF]怪物杀手[-]</t>
  </si>
  <si>
    <t>[A4E66FFF]疯狂杀戮[-]</t>
  </si>
  <si>
    <t>[A4E66FFF]出师[-]</t>
  </si>
  <si>
    <t>[76CBF3FF]战斗机器[-]</t>
  </si>
  <si>
    <t>[76CBF3FF]无人能敌[-]</t>
  </si>
  <si>
    <t>[C776F3FF]万众敬仰[-]</t>
  </si>
  <si>
    <t>[C776F3FF]传说中的存在[-]</t>
  </si>
  <si>
    <t>[A4E66FFF]初来乍到[-]</t>
  </si>
  <si>
    <t>[C776F3FF]满级玩家[-]</t>
  </si>
  <si>
    <t>[A4E66FFF]理财达人[-]</t>
  </si>
  <si>
    <t>[A4E66FFF]中产阶级[-]</t>
  </si>
  <si>
    <t>[76CBF3FF]垄断者[-]</t>
  </si>
  <si>
    <t>[C776F3FF]RMB战士[-]</t>
  </si>
  <si>
    <t>[A4E66FFF]亲和力[-]</t>
  </si>
  <si>
    <t>[A4E66FFF]万人斩[-]</t>
  </si>
  <si>
    <t>[C776F3FF]疯子[-]</t>
  </si>
  <si>
    <t>[A4E66FFF]ATM[-]</t>
  </si>
  <si>
    <t>[C776F3FF]集结号[-]</t>
  </si>
  <si>
    <t>[76CBF3FF]冒险者[-]</t>
  </si>
  <si>
    <t>[C776F3FF]招牌赏金[-]</t>
  </si>
  <si>
    <t>[A4E66FFF]白手起家[-]</t>
  </si>
  <si>
    <t>[76CBF3FF]金币满仓[-]</t>
  </si>
  <si>
    <t>[76CBF3FF]富甲一方[-]</t>
  </si>
  <si>
    <t>[76CBF3FF]饲养员[-]</t>
  </si>
  <si>
    <t>[A4E66FFF]收集癖患者[-]</t>
  </si>
  <si>
    <t>[76CBF3FF]收藏家[-]</t>
  </si>
  <si>
    <t>[A4E66FFF]理财高手[-]</t>
  </si>
  <si>
    <t>[A4E66FFF]根本停不下来[-]</t>
  </si>
  <si>
    <t>[A4E66FFF]购物狂[-]</t>
  </si>
  <si>
    <t>[A4E66FFF]星光灿烂[-]</t>
  </si>
  <si>
    <t>[C776F3FF]满天星光[-]</t>
  </si>
  <si>
    <t>[A4E66FFF]千锤百炼[-]</t>
  </si>
  <si>
    <t>[C776F3FF]全副武装[-]</t>
  </si>
  <si>
    <t>[76CBF3FF]战斗精通[-]</t>
  </si>
  <si>
    <t>[76CBF3FF]考古学家[-]</t>
  </si>
  <si>
    <t>[76CBF3FF]成藏功与名[-]</t>
  </si>
  <si>
    <t>[A4E66FFF]勇士[-]</t>
  </si>
  <si>
    <t>[A4E66FFF]财迷[-]</t>
  </si>
  <si>
    <t>[C776F3FF]家财万贯[-]</t>
  </si>
  <si>
    <t>[76CBF3FF]身经百战[-]</t>
  </si>
  <si>
    <t>/titlea8</t>
    <phoneticPr fontId="7" type="noConversion"/>
  </si>
  <si>
    <t>/title2</t>
    <phoneticPr fontId="7" type="noConversion"/>
  </si>
  <si>
    <t>/title4</t>
    <phoneticPr fontId="7" type="noConversion"/>
  </si>
  <si>
    <t>/title1</t>
    <phoneticPr fontId="7" type="noConversion"/>
  </si>
  <si>
    <t>/title3</t>
    <phoneticPr fontId="7" type="noConversion"/>
  </si>
  <si>
    <t>/titlea1</t>
    <phoneticPr fontId="7" type="noConversion"/>
  </si>
  <si>
    <t>timeLimit</t>
    <phoneticPr fontId="7" type="noConversion"/>
  </si>
  <si>
    <t>测试限时称号</t>
    <phoneticPr fontId="7" type="noConversion"/>
  </si>
  <si>
    <t>用于测试的限时称号</t>
    <phoneticPr fontId="7" type="noConversion"/>
  </si>
  <si>
    <t>4</t>
    <phoneticPr fontId="7" type="noConversion"/>
  </si>
  <si>
    <t>限时</t>
    <phoneticPr fontId="7" type="noConversion"/>
  </si>
  <si>
    <t>[ff7800FF]最强王者[-]</t>
  </si>
  <si>
    <t>[C776F3FF]超凡大师[-]</t>
  </si>
  <si>
    <t>[ff7800FF]天梯第一[-]</t>
    <phoneticPr fontId="7" type="noConversion"/>
  </si>
  <si>
    <t>[ff7800FF]天梯强者[-]</t>
    <phoneticPr fontId="7" type="noConversion"/>
  </si>
  <si>
    <t>天梯赛季结算时，达到最强王者段位获得，有效期一个月</t>
    <phoneticPr fontId="7" type="noConversion"/>
  </si>
  <si>
    <t>天梯赛季结算时，达到超凡大师段位获得，有效期一个月</t>
    <phoneticPr fontId="7" type="noConversion"/>
  </si>
  <si>
    <t>天梯赛季结算时，本服排名第一获得，有效期一个月</t>
    <phoneticPr fontId="7" type="noConversion"/>
  </si>
  <si>
    <t>天梯赛季结算时，本服排名第二、第三获得，有效期一个月</t>
    <phoneticPr fontId="7" type="noConversion"/>
  </si>
  <si>
    <t>4</t>
    <phoneticPr fontId="7" type="noConversion"/>
  </si>
  <si>
    <t>3</t>
    <phoneticPr fontId="7" type="noConversion"/>
  </si>
  <si>
    <t>活动</t>
    <phoneticPr fontId="7" type="noConversion"/>
  </si>
  <si>
    <t>0.45</t>
    <phoneticPr fontId="7" type="noConversion"/>
  </si>
  <si>
    <t>开服冲级活动6-20名获得</t>
    <phoneticPr fontId="7" type="noConversion"/>
  </si>
  <si>
    <t>开服冲级活动第1名获得</t>
    <phoneticPr fontId="7" type="noConversion"/>
  </si>
  <si>
    <t>开服冲级活动2-5名获得</t>
    <phoneticPr fontId="7" type="noConversion"/>
  </si>
  <si>
    <t>开服充值活动第1名获得</t>
    <phoneticPr fontId="7" type="noConversion"/>
  </si>
  <si>
    <t>开服充值活动2-5名获得</t>
    <phoneticPr fontId="7" type="noConversion"/>
  </si>
  <si>
    <t>开服充值活动6-20名获得</t>
    <phoneticPr fontId="7" type="noConversion"/>
  </si>
  <si>
    <t>6</t>
    <phoneticPr fontId="7" type="noConversion"/>
  </si>
  <si>
    <t>5</t>
    <phoneticPr fontId="7" type="noConversion"/>
  </si>
  <si>
    <t>4</t>
    <phoneticPr fontId="7" type="noConversion"/>
  </si>
  <si>
    <t>珠光宝气</t>
    <phoneticPr fontId="7" type="noConversion"/>
  </si>
  <si>
    <t>[76CBF3FF]珠光宝气[-]</t>
    <phoneticPr fontId="7" type="noConversion"/>
  </si>
  <si>
    <t>[C776F3FF]威震八方[-]</t>
    <phoneticPr fontId="7" type="noConversion"/>
  </si>
  <si>
    <t>[C776F3FF]名扬四海[-]</t>
    <phoneticPr fontId="7" type="noConversion"/>
  </si>
  <si>
    <t>[76CBF3FF]冲级达人[-]</t>
    <phoneticPr fontId="7" type="noConversion"/>
  </si>
  <si>
    <t>开服宝石活动2-5名获得</t>
    <phoneticPr fontId="7" type="noConversion"/>
  </si>
  <si>
    <t>开服宝石活动6-20名获得</t>
    <phoneticPr fontId="7" type="noConversion"/>
  </si>
  <si>
    <t>开服宝石活动第1名获得</t>
    <phoneticPr fontId="7" type="noConversion"/>
  </si>
  <si>
    <t>[C776F3FF]珠光宝气[-]</t>
    <phoneticPr fontId="7" type="noConversion"/>
  </si>
  <si>
    <t>[C776F3FF]宝石达人[-]</t>
    <phoneticPr fontId="7" type="noConversion"/>
  </si>
  <si>
    <t>[76CBF3FF]宝石爱好者[-]</t>
    <phoneticPr fontId="7" type="noConversion"/>
  </si>
  <si>
    <t>开服战力活动第1名获得</t>
    <phoneticPr fontId="7" type="noConversion"/>
  </si>
  <si>
    <t>levUpItem</t>
    <phoneticPr fontId="7" type="noConversion"/>
  </si>
  <si>
    <t>maxLev</t>
    <phoneticPr fontId="7" type="noConversion"/>
  </si>
  <si>
    <t>title4</t>
  </si>
  <si>
    <t>title5</t>
    <phoneticPr fontId="7" type="noConversion"/>
  </si>
  <si>
    <t>title6</t>
  </si>
  <si>
    <t>title7</t>
  </si>
  <si>
    <t>title8</t>
  </si>
  <si>
    <t>title9</t>
  </si>
  <si>
    <t>title10</t>
  </si>
  <si>
    <t>title11</t>
  </si>
  <si>
    <t>title12</t>
  </si>
  <si>
    <t>title13</t>
  </si>
  <si>
    <t>title14</t>
  </si>
  <si>
    <t>title15</t>
  </si>
  <si>
    <t>title16</t>
  </si>
  <si>
    <t>最强王者</t>
  </si>
  <si>
    <t>远古战神</t>
  </si>
  <si>
    <t>财富大亨</t>
  </si>
  <si>
    <t>无敌</t>
  </si>
  <si>
    <t>占位1</t>
  </si>
  <si>
    <t>占位2</t>
  </si>
  <si>
    <t>无法无天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</si>
</sst>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</font>
    <font>
      <b/>
      <sz val="9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6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Fill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5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49" fontId="11" fillId="0" borderId="0" xfId="0" applyNumberFormat="1" applyFont="1" applyAlignment="1">
      <alignment horizontal="center" vertical="center"/>
    </xf>
    <xf numFmtId="0" fontId="11" fillId="0" borderId="0" xfId="0" applyNumberFormat="1" applyFont="1">
      <alignment vertical="center"/>
    </xf>
    <xf numFmtId="0" fontId="12" fillId="0" borderId="1" xfId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49" fontId="11" fillId="0" borderId="1" xfId="0" applyNumberFormat="1" applyFont="1" applyBorder="1" applyAlignment="1">
      <alignment vertical="center"/>
    </xf>
    <xf numFmtId="49" fontId="15" fillId="0" borderId="1" xfId="0" applyNumberFormat="1" applyFont="1" applyBorder="1" applyAlignment="1">
      <alignment vertical="center"/>
    </xf>
    <xf numFmtId="0" fontId="11" fillId="0" borderId="1" xfId="0" applyNumberFormat="1" applyFont="1" applyBorder="1" applyAlignment="1">
      <alignment vertical="center"/>
    </xf>
    <xf numFmtId="49" fontId="15" fillId="0" borderId="0" xfId="0" applyNumberFormat="1" applyFont="1" applyAlignment="1">
      <alignment vertical="center"/>
    </xf>
    <xf numFmtId="0" fontId="11" fillId="0" borderId="1" xfId="0" applyNumberFormat="1" applyFont="1" applyBorder="1" applyAlignment="1">
      <alignment horizontal="left" vertical="center"/>
    </xf>
    <xf numFmtId="49" fontId="16" fillId="0" borderId="0" xfId="0" applyNumberFormat="1" applyFont="1">
      <alignment vertical="center"/>
    </xf>
    <xf numFmtId="49" fontId="17" fillId="0" borderId="0" xfId="0" applyNumberFormat="1" applyFont="1">
      <alignment vertical="center"/>
    </xf>
    <xf numFmtId="49" fontId="11" fillId="2" borderId="1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49" fontId="11" fillId="2" borderId="0" xfId="0" applyNumberFormat="1" applyFont="1" applyFill="1" applyAlignment="1">
      <alignment vertical="center"/>
    </xf>
    <xf numFmtId="49" fontId="11" fillId="2" borderId="0" xfId="0" applyNumberFormat="1" applyFont="1" applyFill="1">
      <alignment vertical="center"/>
    </xf>
    <xf numFmtId="0" fontId="11" fillId="2" borderId="0" xfId="0" applyNumberFormat="1" applyFont="1" applyFill="1">
      <alignment vertical="center"/>
    </xf>
    <xf numFmtId="49" fontId="11" fillId="2" borderId="0" xfId="0" applyNumberFormat="1" applyFont="1" applyFill="1" applyBorder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49" fontId="11" fillId="2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49" fontId="14" fillId="0" borderId="1" xfId="0" applyNumberFormat="1" applyFont="1" applyBorder="1" applyAlignment="1">
      <alignment horizontal="left" vertical="center"/>
    </xf>
    <xf numFmtId="49" fontId="7" fillId="2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/>
    </xf>
    <xf numFmtId="49" fontId="1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vertical="center"/>
    </xf>
    <xf numFmtId="49" fontId="19" fillId="0" borderId="0" xfId="0" applyNumberFormat="1" applyFont="1" applyAlignment="1"/>
    <xf numFmtId="49" fontId="2" fillId="0" borderId="1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9" fontId="11" fillId="0" borderId="3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47625</xdr:rowOff>
        </xdr:from>
        <xdr:to>
          <xdr:col>10</xdr:col>
          <xdr:colOff>133350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154;&#29289;&#23646;&#24615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chievement&#25104;&#2360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89;&#21697;ItemConfi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PropertyConfig"/>
      <sheetName val="Sheet2"/>
      <sheetName val="Sheet3"/>
      <sheetName val="Sheet1"/>
    </sheetNames>
    <sheetDataSet>
      <sheetData sheetId="0">
        <row r="1">
          <cell r="A1" t="str">
            <v>ID</v>
          </cell>
          <cell r="B1" t="str">
            <v>Stats</v>
          </cell>
        </row>
        <row r="2">
          <cell r="A2">
            <v>1</v>
          </cell>
          <cell r="B2" t="str">
            <v>力量</v>
          </cell>
        </row>
        <row r="3">
          <cell r="A3">
            <v>2</v>
          </cell>
          <cell r="B3" t="str">
            <v>敏捷</v>
          </cell>
        </row>
        <row r="4">
          <cell r="A4">
            <v>3</v>
          </cell>
          <cell r="B4" t="str">
            <v>魔石触发几率</v>
          </cell>
        </row>
        <row r="5">
          <cell r="A5">
            <v>4</v>
          </cell>
          <cell r="B5" t="str">
            <v>熔炉之力</v>
          </cell>
        </row>
        <row r="6">
          <cell r="A6">
            <v>5</v>
          </cell>
          <cell r="B6" t="str">
            <v>意志</v>
          </cell>
        </row>
        <row r="7">
          <cell r="A7">
            <v>101</v>
          </cell>
          <cell r="B7" t="str">
            <v>攻击力</v>
          </cell>
        </row>
        <row r="8">
          <cell r="A8">
            <v>102</v>
          </cell>
          <cell r="B8" t="str">
            <v>防御力</v>
          </cell>
        </row>
        <row r="9">
          <cell r="A9">
            <v>103</v>
          </cell>
          <cell r="B9" t="str">
            <v>穿透等级</v>
          </cell>
        </row>
        <row r="10">
          <cell r="A10">
            <v>104</v>
          </cell>
          <cell r="B10" t="str">
            <v>生命值</v>
          </cell>
        </row>
        <row r="11">
          <cell r="A11">
            <v>105</v>
          </cell>
          <cell r="B11" t="str">
            <v>法力</v>
          </cell>
        </row>
        <row r="12">
          <cell r="A12">
            <v>106</v>
          </cell>
          <cell r="B12" t="str">
            <v>暴击等级</v>
          </cell>
        </row>
        <row r="13">
          <cell r="A13">
            <v>107</v>
          </cell>
          <cell r="B13" t="str">
            <v>暴击加成</v>
          </cell>
        </row>
        <row r="14">
          <cell r="A14">
            <v>108</v>
          </cell>
          <cell r="B14" t="str">
            <v>暴击抵抗</v>
          </cell>
        </row>
        <row r="15">
          <cell r="A15">
            <v>109</v>
          </cell>
          <cell r="B15" t="str">
            <v>命中等级</v>
          </cell>
        </row>
        <row r="16">
          <cell r="A16">
            <v>110</v>
          </cell>
          <cell r="B16" t="str">
            <v>闪避等级</v>
          </cell>
        </row>
        <row r="17">
          <cell r="A17">
            <v>111</v>
          </cell>
          <cell r="B17" t="str">
            <v>CD</v>
          </cell>
        </row>
        <row r="18">
          <cell r="A18">
            <v>112</v>
          </cell>
          <cell r="B18" t="str">
            <v>伤害加深</v>
          </cell>
        </row>
        <row r="19">
          <cell r="A19">
            <v>113</v>
          </cell>
          <cell r="B19" t="str">
            <v>伤害减免</v>
          </cell>
        </row>
        <row r="20">
          <cell r="A20">
            <v>114</v>
          </cell>
          <cell r="B20" t="str">
            <v>格挡等级</v>
          </cell>
        </row>
        <row r="21">
          <cell r="A21">
            <v>115</v>
          </cell>
          <cell r="B21" t="str">
            <v>护甲值</v>
          </cell>
        </row>
        <row r="22">
          <cell r="A22">
            <v>116</v>
          </cell>
          <cell r="B22" t="str">
            <v>真实伤害</v>
          </cell>
        </row>
        <row r="23">
          <cell r="A23">
            <v>117</v>
          </cell>
          <cell r="B23" t="str">
            <v>击倒等级</v>
          </cell>
        </row>
        <row r="24">
          <cell r="A24">
            <v>118</v>
          </cell>
          <cell r="B24" t="str">
            <v>抵抗等级</v>
          </cell>
        </row>
        <row r="25">
          <cell r="A25">
            <v>119</v>
          </cell>
          <cell r="B25" t="str">
            <v>移动速度</v>
          </cell>
        </row>
        <row r="26">
          <cell r="A26">
            <v>120</v>
          </cell>
          <cell r="B26" t="str">
            <v>治疗加成</v>
          </cell>
        </row>
        <row r="27">
          <cell r="A27">
            <v>201</v>
          </cell>
          <cell r="B27" t="str">
            <v>等级</v>
          </cell>
        </row>
        <row r="28">
          <cell r="A28">
            <v>202</v>
          </cell>
          <cell r="B28" t="str">
            <v>生命</v>
          </cell>
        </row>
        <row r="29">
          <cell r="A29">
            <v>203</v>
          </cell>
          <cell r="B29" t="str">
            <v>法力</v>
          </cell>
        </row>
        <row r="30">
          <cell r="A30">
            <v>204</v>
          </cell>
          <cell r="B30" t="str">
            <v>经验</v>
          </cell>
        </row>
        <row r="31">
          <cell r="A31">
            <v>205</v>
          </cell>
          <cell r="B31" t="str">
            <v>金钱</v>
          </cell>
        </row>
        <row r="32">
          <cell r="A32">
            <v>206</v>
          </cell>
          <cell r="B32" t="str">
            <v>付费货币（白金币）</v>
          </cell>
        </row>
        <row r="33">
          <cell r="A33">
            <v>207</v>
          </cell>
          <cell r="B33" t="str">
            <v>当日获取经验</v>
          </cell>
        </row>
        <row r="34">
          <cell r="A34">
            <v>208</v>
          </cell>
          <cell r="B34" t="str">
            <v>当日获取金钱</v>
          </cell>
        </row>
        <row r="35">
          <cell r="A35">
            <v>209</v>
          </cell>
          <cell r="B35" t="str">
            <v>绑定货币</v>
          </cell>
        </row>
        <row r="36">
          <cell r="A36">
            <v>214</v>
          </cell>
          <cell r="B36" t="str">
            <v>巅峰等级</v>
          </cell>
        </row>
        <row r="37">
          <cell r="A37">
            <v>215</v>
          </cell>
          <cell r="B37" t="str">
            <v>VIP等级</v>
          </cell>
        </row>
        <row r="38">
          <cell r="A38">
            <v>301</v>
          </cell>
          <cell r="B38" t="str">
            <v>等级上限</v>
          </cell>
        </row>
        <row r="39">
          <cell r="A39">
            <v>304</v>
          </cell>
          <cell r="B39" t="str">
            <v>经验上限</v>
          </cell>
        </row>
        <row r="40">
          <cell r="A40">
            <v>305</v>
          </cell>
          <cell r="B40" t="str">
            <v>金钱上限</v>
          </cell>
        </row>
        <row r="41">
          <cell r="A41">
            <v>306</v>
          </cell>
          <cell r="B41" t="str">
            <v>付费货币上限（白金币）</v>
          </cell>
        </row>
        <row r="42">
          <cell r="A42">
            <v>307</v>
          </cell>
          <cell r="B42" t="str">
            <v>当日获取经验上限</v>
          </cell>
        </row>
        <row r="43">
          <cell r="A43">
            <v>308</v>
          </cell>
          <cell r="B43" t="str">
            <v>当日获取金钱上限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nfig"/>
      <sheetName val="achievement"/>
      <sheetName val="sconfig1"/>
      <sheetName val="achieveType"/>
      <sheetName val="sconfig3"/>
      <sheetName val="achieveLevel"/>
      <sheetName val="all"/>
      <sheetName val="计数器"/>
      <sheetName val="备用成就"/>
    </sheetNames>
    <sheetDataSet>
      <sheetData sheetId="0"/>
      <sheetData sheetId="1">
        <row r="1">
          <cell r="B1" t="str">
            <v>name</v>
          </cell>
          <cell r="H1" t="str">
            <v>rewardItem</v>
          </cell>
        </row>
        <row r="2">
          <cell r="B2" t="str">
            <v>见习勇者</v>
          </cell>
          <cell r="H2">
            <v>1</v>
          </cell>
        </row>
        <row r="3">
          <cell r="B3" t="str">
            <v>勇者</v>
          </cell>
          <cell r="H3">
            <v>1</v>
          </cell>
        </row>
        <row r="4">
          <cell r="B4" t="str">
            <v>资深勇者</v>
          </cell>
          <cell r="H4">
            <v>170010</v>
          </cell>
        </row>
        <row r="5">
          <cell r="B5" t="str">
            <v>怪物的恶梦</v>
          </cell>
          <cell r="H5">
            <v>5</v>
          </cell>
        </row>
        <row r="6">
          <cell r="B6" t="str">
            <v>怪物大灭绝</v>
          </cell>
          <cell r="H6">
            <v>170011</v>
          </cell>
        </row>
        <row r="7">
          <cell r="B7" t="str">
            <v>战力达到100000</v>
          </cell>
          <cell r="H7">
            <v>170012</v>
          </cell>
        </row>
        <row r="8">
          <cell r="B8" t="str">
            <v>战力达到500000</v>
          </cell>
          <cell r="H8">
            <v>170013</v>
          </cell>
        </row>
        <row r="9">
          <cell r="B9" t="str">
            <v>战力达到1000000</v>
          </cell>
          <cell r="H9">
            <v>170014</v>
          </cell>
        </row>
        <row r="10">
          <cell r="B10" t="str">
            <v>战力达到2000000</v>
          </cell>
          <cell r="H10">
            <v>170015</v>
          </cell>
        </row>
        <row r="11">
          <cell r="B11" t="str">
            <v>战力达到5000000</v>
          </cell>
          <cell r="H11">
            <v>170016</v>
          </cell>
        </row>
        <row r="12">
          <cell r="B12" t="str">
            <v>45级</v>
          </cell>
          <cell r="H12">
            <v>170017</v>
          </cell>
        </row>
        <row r="13">
          <cell r="B13" t="str">
            <v>60级</v>
          </cell>
          <cell r="H13">
            <v>1</v>
          </cell>
        </row>
        <row r="14">
          <cell r="B14" t="str">
            <v>100级</v>
          </cell>
          <cell r="H14">
            <v>5</v>
          </cell>
        </row>
        <row r="15">
          <cell r="B15" t="str">
            <v>135级</v>
          </cell>
          <cell r="H15">
            <v>5</v>
          </cell>
        </row>
        <row r="16">
          <cell r="B16" t="str">
            <v>170级</v>
          </cell>
          <cell r="H16">
            <v>5</v>
          </cell>
        </row>
        <row r="17">
          <cell r="B17" t="str">
            <v>200级</v>
          </cell>
          <cell r="H17">
            <v>5</v>
          </cell>
        </row>
        <row r="18">
          <cell r="B18" t="str">
            <v>235级</v>
          </cell>
          <cell r="H18">
            <v>5</v>
          </cell>
        </row>
        <row r="19">
          <cell r="B19" t="str">
            <v>275级</v>
          </cell>
          <cell r="H19">
            <v>5</v>
          </cell>
        </row>
        <row r="20">
          <cell r="B20" t="str">
            <v>300级</v>
          </cell>
          <cell r="H20">
            <v>5</v>
          </cell>
        </row>
        <row r="21">
          <cell r="B21" t="str">
            <v>360级</v>
          </cell>
          <cell r="H21">
            <v>5</v>
          </cell>
        </row>
        <row r="22">
          <cell r="B22" t="str">
            <v>400级</v>
          </cell>
          <cell r="H22">
            <v>170018</v>
          </cell>
        </row>
        <row r="23">
          <cell r="B23" t="str">
            <v>勤俭持家</v>
          </cell>
          <cell r="H23">
            <v>170019</v>
          </cell>
        </row>
        <row r="24">
          <cell r="B24" t="str">
            <v>小地精</v>
          </cell>
          <cell r="H24">
            <v>170020</v>
          </cell>
        </row>
        <row r="25">
          <cell r="B25" t="str">
            <v>大地精</v>
          </cell>
          <cell r="H25">
            <v>170021</v>
          </cell>
        </row>
        <row r="26">
          <cell r="B26" t="str">
            <v>拍卖行垄断者</v>
          </cell>
          <cell r="H26">
            <v>170022</v>
          </cell>
        </row>
        <row r="27">
          <cell r="B27" t="str">
            <v>钱！更多的钱！</v>
          </cell>
          <cell r="H27">
            <v>170023</v>
          </cell>
        </row>
        <row r="28">
          <cell r="B28" t="str">
            <v>RMB战士？</v>
          </cell>
          <cell r="H28">
            <v>170024</v>
          </cell>
        </row>
        <row r="29">
          <cell r="B29" t="str">
            <v>有人喜欢我</v>
          </cell>
          <cell r="H29">
            <v>170025</v>
          </cell>
        </row>
        <row r="30">
          <cell r="B30" t="str">
            <v>闪亮的微笑</v>
          </cell>
          <cell r="H30">
            <v>5</v>
          </cell>
        </row>
        <row r="31">
          <cell r="B31" t="str">
            <v>魅力四射</v>
          </cell>
          <cell r="H31">
            <v>5</v>
          </cell>
        </row>
        <row r="32">
          <cell r="B32" t="str">
            <v>明星风范</v>
          </cell>
          <cell r="H32">
            <v>170026</v>
          </cell>
        </row>
        <row r="33">
          <cell r="B33" t="str">
            <v>点赞10次</v>
          </cell>
          <cell r="H33">
            <v>1</v>
          </cell>
        </row>
        <row r="34">
          <cell r="B34" t="str">
            <v>点赞100次</v>
          </cell>
          <cell r="H34">
            <v>1</v>
          </cell>
        </row>
        <row r="35">
          <cell r="B35" t="str">
            <v>点赞1000次</v>
          </cell>
          <cell r="H35">
            <v>5</v>
          </cell>
        </row>
        <row r="36">
          <cell r="B36" t="str">
            <v>点赞10000次</v>
          </cell>
          <cell r="H36">
            <v>5</v>
          </cell>
        </row>
        <row r="37">
          <cell r="B37" t="str">
            <v>10次获取功勋</v>
          </cell>
          <cell r="H37">
            <v>1</v>
          </cell>
        </row>
        <row r="38">
          <cell r="B38" t="str">
            <v>100次获取功勋</v>
          </cell>
          <cell r="H38">
            <v>1</v>
          </cell>
        </row>
        <row r="39">
          <cell r="B39" t="str">
            <v>1000次获取功勋</v>
          </cell>
          <cell r="H39">
            <v>5</v>
          </cell>
        </row>
        <row r="40">
          <cell r="B40" t="str">
            <v>10000次获取功勋</v>
          </cell>
          <cell r="H40">
            <v>170027</v>
          </cell>
        </row>
        <row r="41">
          <cell r="B41" t="str">
            <v>100000次获取功勋</v>
          </cell>
          <cell r="H41">
            <v>170028</v>
          </cell>
        </row>
        <row r="42">
          <cell r="B42" t="str">
            <v>变成功勋了</v>
          </cell>
          <cell r="H42">
            <v>1</v>
          </cell>
        </row>
        <row r="43">
          <cell r="B43" t="str">
            <v>移动功勋生成器</v>
          </cell>
          <cell r="H43">
            <v>1</v>
          </cell>
        </row>
        <row r="44">
          <cell r="B44" t="str">
            <v>活的不耐烦</v>
          </cell>
          <cell r="H44">
            <v>170029</v>
          </cell>
        </row>
        <row r="45">
          <cell r="B45" t="str">
            <v>强力打手</v>
          </cell>
          <cell r="H45">
            <v>1</v>
          </cell>
        </row>
        <row r="46">
          <cell r="B46" t="str">
            <v>更强力的打手</v>
          </cell>
          <cell r="H46">
            <v>1</v>
          </cell>
        </row>
        <row r="47">
          <cell r="B47" t="str">
            <v>打手成群</v>
          </cell>
          <cell r="H47">
            <v>5</v>
          </cell>
        </row>
        <row r="48">
          <cell r="B48" t="str">
            <v>驯“兽”师</v>
          </cell>
          <cell r="H48">
            <v>170030</v>
          </cell>
        </row>
        <row r="49">
          <cell r="B49" t="str">
            <v>将1个英灵升至满级</v>
          </cell>
          <cell r="H49">
            <v>5</v>
          </cell>
        </row>
        <row r="50">
          <cell r="B50" t="str">
            <v>将5个英灵升至满级</v>
          </cell>
          <cell r="H50">
            <v>5</v>
          </cell>
        </row>
        <row r="51">
          <cell r="B51" t="str">
            <v>将10个英灵升至满级</v>
          </cell>
          <cell r="H51">
            <v>5</v>
          </cell>
        </row>
        <row r="52">
          <cell r="B52" t="str">
            <v>桃园三结义</v>
          </cell>
          <cell r="H52">
            <v>1</v>
          </cell>
        </row>
        <row r="53">
          <cell r="B53" t="str">
            <v>六神合体</v>
          </cell>
          <cell r="H53">
            <v>5</v>
          </cell>
        </row>
        <row r="54">
          <cell r="B54" t="str">
            <v>葫芦兄弟</v>
          </cell>
          <cell r="H54">
            <v>5</v>
          </cell>
        </row>
        <row r="55">
          <cell r="B55" t="str">
            <v>信仰总等级10</v>
          </cell>
          <cell r="H55">
            <v>1</v>
          </cell>
        </row>
        <row r="56">
          <cell r="B56" t="str">
            <v>信仰总等级50</v>
          </cell>
          <cell r="H56">
            <v>5</v>
          </cell>
        </row>
        <row r="57">
          <cell r="B57" t="str">
            <v>信仰总等级100</v>
          </cell>
          <cell r="H57">
            <v>5</v>
          </cell>
        </row>
        <row r="58">
          <cell r="B58" t="str">
            <v>信仰总等级500</v>
          </cell>
          <cell r="H58">
            <v>5</v>
          </cell>
        </row>
        <row r="59">
          <cell r="B59" t="str">
            <v>信仰总等级1000</v>
          </cell>
          <cell r="H59">
            <v>5</v>
          </cell>
        </row>
        <row r="60">
          <cell r="B60" t="str">
            <v>完成10次悬赏</v>
          </cell>
          <cell r="H60">
            <v>5</v>
          </cell>
        </row>
        <row r="61">
          <cell r="B61" t="str">
            <v>完成50次悬赏</v>
          </cell>
          <cell r="H61">
            <v>5</v>
          </cell>
        </row>
        <row r="62">
          <cell r="B62" t="str">
            <v>完成100次悬赏</v>
          </cell>
          <cell r="H62">
            <v>170032</v>
          </cell>
        </row>
        <row r="63">
          <cell r="B63" t="str">
            <v>完成500次悬赏</v>
          </cell>
          <cell r="H63">
            <v>5</v>
          </cell>
        </row>
        <row r="64">
          <cell r="B64" t="str">
            <v>完成1000次悬赏</v>
          </cell>
          <cell r="H64">
            <v>5</v>
          </cell>
        </row>
        <row r="65">
          <cell r="B65" t="str">
            <v>完成5000次悬赏</v>
          </cell>
          <cell r="H65">
            <v>170033</v>
          </cell>
        </row>
        <row r="66">
          <cell r="B66" t="str">
            <v>养家糊口</v>
          </cell>
          <cell r="H66">
            <v>5</v>
          </cell>
        </row>
        <row r="67">
          <cell r="B67" t="str">
            <v>积少成多I</v>
          </cell>
          <cell r="H67">
            <v>5</v>
          </cell>
        </row>
        <row r="68">
          <cell r="B68" t="str">
            <v>积少成多II</v>
          </cell>
          <cell r="H68">
            <v>170034</v>
          </cell>
        </row>
        <row r="69">
          <cell r="B69" t="str">
            <v>积少成多III</v>
          </cell>
          <cell r="H69">
            <v>5</v>
          </cell>
        </row>
        <row r="70">
          <cell r="B70" t="str">
            <v>积少成多IV</v>
          </cell>
          <cell r="H70">
            <v>170035</v>
          </cell>
        </row>
        <row r="71">
          <cell r="B71" t="str">
            <v>积少成多V</v>
          </cell>
          <cell r="H71">
            <v>5</v>
          </cell>
        </row>
        <row r="72">
          <cell r="B72" t="str">
            <v>满脑子都是钱</v>
          </cell>
          <cell r="H72">
            <v>170036</v>
          </cell>
        </row>
        <row r="73">
          <cell r="B73" t="str">
            <v>我可以养他们吗？</v>
          </cell>
          <cell r="H73">
            <v>5</v>
          </cell>
        </row>
        <row r="74">
          <cell r="B74" t="str">
            <v>宠物成群</v>
          </cell>
          <cell r="H74">
            <v>5</v>
          </cell>
        </row>
        <row r="75">
          <cell r="B75" t="str">
            <v>小动物乐园</v>
          </cell>
          <cell r="H75">
            <v>170037</v>
          </cell>
        </row>
        <row r="76">
          <cell r="B76" t="str">
            <v>我的背包不够用</v>
          </cell>
          <cell r="H76">
            <v>170038</v>
          </cell>
        </row>
        <row r="77">
          <cell r="B77" t="str">
            <v>很大的背包</v>
          </cell>
          <cell r="H77">
            <v>5</v>
          </cell>
        </row>
        <row r="78">
          <cell r="B78" t="str">
            <v>更大的背包</v>
          </cell>
          <cell r="H78">
            <v>5</v>
          </cell>
        </row>
        <row r="79">
          <cell r="B79" t="str">
            <v>巨大的背包</v>
          </cell>
          <cell r="H79">
            <v>5</v>
          </cell>
        </row>
        <row r="80">
          <cell r="B80" t="str">
            <v>我的背包是巨无霸</v>
          </cell>
          <cell r="H80">
            <v>170039</v>
          </cell>
        </row>
        <row r="81">
          <cell r="B81" t="str">
            <v>消费达人I</v>
          </cell>
          <cell r="H81">
            <v>170040</v>
          </cell>
        </row>
        <row r="82">
          <cell r="B82" t="str">
            <v>消费达人II</v>
          </cell>
          <cell r="H82">
            <v>5</v>
          </cell>
        </row>
        <row r="83">
          <cell r="B83" t="str">
            <v>消费达人III</v>
          </cell>
          <cell r="H83">
            <v>170041</v>
          </cell>
        </row>
        <row r="84">
          <cell r="B84" t="str">
            <v>消费达人IV</v>
          </cell>
          <cell r="H84">
            <v>5</v>
          </cell>
        </row>
        <row r="85">
          <cell r="B85" t="str">
            <v>消费达人V</v>
          </cell>
          <cell r="H85">
            <v>5</v>
          </cell>
        </row>
        <row r="86">
          <cell r="B86" t="str">
            <v>理智购物</v>
          </cell>
          <cell r="H86">
            <v>170042</v>
          </cell>
        </row>
        <row r="87">
          <cell r="B87" t="str">
            <v>星光闪闪I</v>
          </cell>
          <cell r="H87">
            <v>170043</v>
          </cell>
        </row>
        <row r="88">
          <cell r="B88" t="str">
            <v>星光闪闪II</v>
          </cell>
          <cell r="H88">
            <v>5</v>
          </cell>
        </row>
        <row r="89">
          <cell r="B89" t="str">
            <v>星光闪闪III</v>
          </cell>
          <cell r="H89">
            <v>5</v>
          </cell>
        </row>
        <row r="90">
          <cell r="B90" t="str">
            <v>星光闪闪IV</v>
          </cell>
          <cell r="H90">
            <v>5</v>
          </cell>
        </row>
        <row r="91">
          <cell r="B91" t="str">
            <v>星光闪闪V</v>
          </cell>
          <cell r="H91">
            <v>170044</v>
          </cell>
        </row>
        <row r="92">
          <cell r="B92" t="str">
            <v>强化之路I</v>
          </cell>
          <cell r="H92">
            <v>5</v>
          </cell>
        </row>
        <row r="93">
          <cell r="B93" t="str">
            <v>强化之路II</v>
          </cell>
          <cell r="H93">
            <v>1</v>
          </cell>
        </row>
        <row r="94">
          <cell r="B94" t="str">
            <v>强化之路III</v>
          </cell>
          <cell r="H94">
            <v>5</v>
          </cell>
        </row>
        <row r="95">
          <cell r="B95" t="str">
            <v>强化之路IV</v>
          </cell>
          <cell r="H95">
            <v>170045</v>
          </cell>
        </row>
        <row r="96">
          <cell r="B96" t="str">
            <v>强化之路V</v>
          </cell>
          <cell r="H96">
            <v>5</v>
          </cell>
        </row>
        <row r="97">
          <cell r="B97" t="str">
            <v>强化之路VI</v>
          </cell>
          <cell r="H97">
            <v>5</v>
          </cell>
        </row>
        <row r="98">
          <cell r="B98" t="str">
            <v>强化之路VII</v>
          </cell>
          <cell r="H98">
            <v>5</v>
          </cell>
        </row>
        <row r="99">
          <cell r="B99" t="str">
            <v>强化之路VIII</v>
          </cell>
          <cell r="H99">
            <v>5</v>
          </cell>
        </row>
        <row r="100">
          <cell r="B100" t="str">
            <v>强化之路VIIII</v>
          </cell>
          <cell r="H100">
            <v>170046</v>
          </cell>
        </row>
        <row r="101">
          <cell r="B101" t="str">
            <v>技多不压身</v>
          </cell>
          <cell r="H101">
            <v>170047</v>
          </cell>
        </row>
        <row r="102">
          <cell r="B102" t="str">
            <v>专精：生命20级</v>
          </cell>
          <cell r="H102">
            <v>5</v>
          </cell>
        </row>
        <row r="103">
          <cell r="B103" t="str">
            <v>专精：生命30级</v>
          </cell>
          <cell r="H103">
            <v>5</v>
          </cell>
        </row>
        <row r="104">
          <cell r="B104" t="str">
            <v>专精：生命50级</v>
          </cell>
          <cell r="H104">
            <v>5</v>
          </cell>
        </row>
        <row r="105">
          <cell r="B105" t="str">
            <v>专精：生命70级</v>
          </cell>
          <cell r="H105">
            <v>5</v>
          </cell>
        </row>
        <row r="106">
          <cell r="B106" t="str">
            <v>专精：生命90级</v>
          </cell>
          <cell r="H106">
            <v>5</v>
          </cell>
        </row>
        <row r="107">
          <cell r="B107" t="str">
            <v>专精：圣灵20级</v>
          </cell>
          <cell r="H107">
            <v>5</v>
          </cell>
        </row>
        <row r="108">
          <cell r="B108" t="str">
            <v>专精：圣灵30级</v>
          </cell>
          <cell r="H108">
            <v>5</v>
          </cell>
        </row>
        <row r="109">
          <cell r="B109" t="str">
            <v>专精：圣灵50级</v>
          </cell>
          <cell r="H109">
            <v>5</v>
          </cell>
        </row>
        <row r="110">
          <cell r="B110" t="str">
            <v>专精：圣灵70级</v>
          </cell>
          <cell r="H110">
            <v>5</v>
          </cell>
        </row>
        <row r="111">
          <cell r="B111" t="str">
            <v>专精：圣灵90级</v>
          </cell>
          <cell r="H111">
            <v>5</v>
          </cell>
        </row>
        <row r="112">
          <cell r="B112" t="str">
            <v>专精：正义20级</v>
          </cell>
          <cell r="H112">
            <v>5</v>
          </cell>
        </row>
        <row r="113">
          <cell r="B113" t="str">
            <v>专精：正义30级</v>
          </cell>
          <cell r="H113">
            <v>5</v>
          </cell>
        </row>
        <row r="114">
          <cell r="B114" t="str">
            <v>专精：正义50级</v>
          </cell>
          <cell r="H114">
            <v>5</v>
          </cell>
        </row>
        <row r="115">
          <cell r="B115" t="str">
            <v>专精：正义70级</v>
          </cell>
          <cell r="H115">
            <v>5</v>
          </cell>
        </row>
        <row r="116">
          <cell r="B116" t="str">
            <v>专精：正义90级</v>
          </cell>
          <cell r="H116">
            <v>5</v>
          </cell>
        </row>
        <row r="117">
          <cell r="B117" t="str">
            <v>专精：审判20级</v>
          </cell>
          <cell r="H117">
            <v>5</v>
          </cell>
        </row>
        <row r="118">
          <cell r="B118" t="str">
            <v>专精：审判30级</v>
          </cell>
          <cell r="H118">
            <v>5</v>
          </cell>
        </row>
        <row r="119">
          <cell r="B119" t="str">
            <v>专精：审判50级</v>
          </cell>
          <cell r="H119">
            <v>5</v>
          </cell>
        </row>
        <row r="120">
          <cell r="B120" t="str">
            <v>专精：审判70级</v>
          </cell>
          <cell r="H120">
            <v>5</v>
          </cell>
        </row>
        <row r="121">
          <cell r="B121" t="str">
            <v>专精：审判90级</v>
          </cell>
          <cell r="H121">
            <v>5</v>
          </cell>
        </row>
        <row r="122">
          <cell r="B122" t="str">
            <v>狂野精良</v>
          </cell>
          <cell r="H122">
            <v>5</v>
          </cell>
        </row>
        <row r="123">
          <cell r="B123" t="str">
            <v>狂野史诗</v>
          </cell>
          <cell r="H123">
            <v>5</v>
          </cell>
        </row>
        <row r="124">
          <cell r="B124" t="str">
            <v>狂野传说</v>
          </cell>
          <cell r="H124">
            <v>5</v>
          </cell>
        </row>
        <row r="125">
          <cell r="B125" t="str">
            <v>目标：史诗！</v>
          </cell>
          <cell r="H125">
            <v>5</v>
          </cell>
        </row>
        <row r="126">
          <cell r="B126" t="str">
            <v>目标：传说！</v>
          </cell>
          <cell r="H126">
            <v>5</v>
          </cell>
        </row>
        <row r="127">
          <cell r="B127" t="str">
            <v>挖掘者</v>
          </cell>
          <cell r="H127">
            <v>1</v>
          </cell>
        </row>
        <row r="128">
          <cell r="B128" t="str">
            <v>掘地专家</v>
          </cell>
          <cell r="H128">
            <v>1</v>
          </cell>
        </row>
        <row r="129">
          <cell r="B129" t="str">
            <v>挖宝高手</v>
          </cell>
          <cell r="H129">
            <v>5</v>
          </cell>
        </row>
        <row r="130">
          <cell r="B130" t="str">
            <v>寻宝大师</v>
          </cell>
          <cell r="H130">
            <v>170048</v>
          </cell>
        </row>
        <row r="131">
          <cell r="B131" t="str">
            <v>我就是雷达</v>
          </cell>
          <cell r="H131">
            <v>5</v>
          </cell>
        </row>
        <row r="132">
          <cell r="B132" t="str">
            <v>古墓丽影</v>
          </cell>
          <cell r="H132">
            <v>170049</v>
          </cell>
        </row>
        <row r="133">
          <cell r="B133" t="str">
            <v>100次阵营任务</v>
          </cell>
          <cell r="H133">
            <v>170050</v>
          </cell>
        </row>
        <row r="134">
          <cell r="B134" t="str">
            <v>500次阵营任务</v>
          </cell>
          <cell r="H134">
            <v>5</v>
          </cell>
        </row>
        <row r="135">
          <cell r="B135" t="str">
            <v>1000次阵营任务</v>
          </cell>
          <cell r="H135">
            <v>5</v>
          </cell>
        </row>
        <row r="136">
          <cell r="B136" t="str">
            <v>2000次阵营任务</v>
          </cell>
          <cell r="H136">
            <v>5</v>
          </cell>
        </row>
        <row r="137">
          <cell r="B137" t="str">
            <v>5000次阵营任务</v>
          </cell>
          <cell r="H137">
            <v>5</v>
          </cell>
        </row>
        <row r="138">
          <cell r="B138" t="str">
            <v>10000次阵营任务</v>
          </cell>
          <cell r="H138">
            <v>170051</v>
          </cell>
        </row>
        <row r="139">
          <cell r="B139" t="str">
            <v>日常开销</v>
          </cell>
          <cell r="H139">
            <v>1</v>
          </cell>
        </row>
        <row r="140">
          <cell r="B140" t="str">
            <v>自给自足</v>
          </cell>
          <cell r="H140">
            <v>1</v>
          </cell>
        </row>
        <row r="141">
          <cell r="B141" t="str">
            <v>入不敷出I</v>
          </cell>
          <cell r="H141">
            <v>5</v>
          </cell>
        </row>
        <row r="142">
          <cell r="B142" t="str">
            <v>入不敷出II</v>
          </cell>
          <cell r="H142">
            <v>5</v>
          </cell>
        </row>
        <row r="143">
          <cell r="B143" t="str">
            <v>入不敷出III</v>
          </cell>
          <cell r="H143">
            <v>5</v>
          </cell>
        </row>
        <row r="144">
          <cell r="B144" t="str">
            <v>有车又有房</v>
          </cell>
          <cell r="H144">
            <v>5</v>
          </cell>
        </row>
        <row r="145">
          <cell r="B145" t="str">
            <v>钱已经不是钱了</v>
          </cell>
          <cell r="H145">
            <v>5</v>
          </cell>
        </row>
        <row r="146">
          <cell r="B146" t="str">
            <v>指数突破500点！</v>
          </cell>
          <cell r="H146">
            <v>1</v>
          </cell>
        </row>
        <row r="147">
          <cell r="B147" t="str">
            <v>成就达人！</v>
          </cell>
          <cell r="H147">
            <v>5</v>
          </cell>
        </row>
        <row r="148">
          <cell r="B148" t="str">
            <v>这才是真正的成就！</v>
          </cell>
          <cell r="H148">
            <v>5</v>
          </cell>
        </row>
        <row r="149">
          <cell r="B149" t="str">
            <v>这就是勇士</v>
          </cell>
          <cell r="H149">
            <v>170052</v>
          </cell>
        </row>
        <row r="150">
          <cell r="B150" t="str">
            <v>财迷的公敌</v>
          </cell>
          <cell r="H150">
            <v>170053</v>
          </cell>
        </row>
        <row r="151">
          <cell r="B151" t="str">
            <v>昨天扶了老奶奶</v>
          </cell>
          <cell r="H151">
            <v>1</v>
          </cell>
        </row>
        <row r="152">
          <cell r="B152" t="str">
            <v>人品就是这么好</v>
          </cell>
          <cell r="H152">
            <v>5</v>
          </cell>
        </row>
        <row r="153">
          <cell r="B153" t="str">
            <v>天啊！人品大爆发</v>
          </cell>
          <cell r="H153">
            <v>170054</v>
          </cell>
        </row>
        <row r="154">
          <cell r="B154" t="str">
            <v>它不止是装饰品</v>
          </cell>
          <cell r="H154">
            <v>5</v>
          </cell>
        </row>
        <row r="155">
          <cell r="B155" t="str">
            <v>光彩照人</v>
          </cell>
          <cell r="H155">
            <v>170055</v>
          </cell>
        </row>
        <row r="156">
          <cell r="B156" t="str">
            <v>开胃菜！</v>
          </cell>
          <cell r="H156">
            <v>5</v>
          </cell>
        </row>
        <row r="157">
          <cell r="B157" t="str">
            <v>胃口大开</v>
          </cell>
          <cell r="H157">
            <v>5</v>
          </cell>
        </row>
        <row r="158">
          <cell r="B158" t="str">
            <v>饱食大餐</v>
          </cell>
          <cell r="H158">
            <v>5</v>
          </cell>
        </row>
        <row r="159">
          <cell r="B159" t="str">
            <v>我什么都能吃</v>
          </cell>
          <cell r="H159">
            <v>5</v>
          </cell>
        </row>
        <row r="160">
          <cell r="B160" t="str">
            <v>大方</v>
          </cell>
          <cell r="H160">
            <v>5</v>
          </cell>
        </row>
        <row r="161">
          <cell r="B161" t="str">
            <v>我装备很多</v>
          </cell>
          <cell r="H161">
            <v>5</v>
          </cell>
        </row>
        <row r="162">
          <cell r="B162" t="str">
            <v>借贵宝地一用</v>
          </cell>
          <cell r="H162">
            <v>5</v>
          </cell>
        </row>
        <row r="163">
          <cell r="B163" t="str">
            <v>大家好才是真的好</v>
          </cell>
          <cell r="H163">
            <v>5</v>
          </cell>
        </row>
        <row r="164">
          <cell r="B164" t="str">
            <v>我不迟到</v>
          </cell>
          <cell r="H164">
            <v>5</v>
          </cell>
        </row>
        <row r="165">
          <cell r="B165" t="str">
            <v>日常打卡</v>
          </cell>
          <cell r="H165">
            <v>5</v>
          </cell>
        </row>
        <row r="166">
          <cell r="B166" t="str">
            <v>上班族</v>
          </cell>
          <cell r="H166">
            <v>5</v>
          </cell>
        </row>
        <row r="167">
          <cell r="B167" t="str">
            <v>两点一线</v>
          </cell>
          <cell r="H167">
            <v>5</v>
          </cell>
        </row>
        <row r="168">
          <cell r="B168" t="str">
            <v>供养公会天使1次</v>
          </cell>
          <cell r="H168">
            <v>5</v>
          </cell>
        </row>
        <row r="169">
          <cell r="B169" t="str">
            <v>供养公会天使10次</v>
          </cell>
          <cell r="H169">
            <v>5</v>
          </cell>
        </row>
        <row r="170">
          <cell r="B170" t="str">
            <v>供养公会天使50次</v>
          </cell>
          <cell r="H170">
            <v>5</v>
          </cell>
        </row>
        <row r="171">
          <cell r="B171" t="str">
            <v>供养公会天使100次</v>
          </cell>
          <cell r="H171">
            <v>5</v>
          </cell>
        </row>
        <row r="172">
          <cell r="B172" t="str">
            <v>1个技能解锁三阶</v>
          </cell>
          <cell r="H172">
            <v>5</v>
          </cell>
        </row>
        <row r="173">
          <cell r="B173" t="str">
            <v>2个技能解锁三阶</v>
          </cell>
          <cell r="H173">
            <v>5</v>
          </cell>
        </row>
        <row r="174">
          <cell r="B174" t="str">
            <v>3个技能解锁三阶</v>
          </cell>
          <cell r="H174">
            <v>5</v>
          </cell>
        </row>
        <row r="175">
          <cell r="B175" t="str">
            <v>参加1次天使试炼</v>
          </cell>
          <cell r="H175">
            <v>5</v>
          </cell>
        </row>
        <row r="176">
          <cell r="B176" t="str">
            <v>击败公会天使1次</v>
          </cell>
          <cell r="H176">
            <v>5</v>
          </cell>
        </row>
        <row r="177">
          <cell r="B177" t="str">
            <v>击败公会天使10次</v>
          </cell>
          <cell r="H177">
            <v>5</v>
          </cell>
        </row>
        <row r="178">
          <cell r="B178" t="str">
            <v>击败公会天使20次</v>
          </cell>
          <cell r="H178">
            <v>5</v>
          </cell>
        </row>
        <row r="179">
          <cell r="B179" t="str">
            <v>击败公会天使50次</v>
          </cell>
          <cell r="H179">
            <v>5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Config"/>
      <sheetName val="suitConfig"/>
      <sheetName val="useLimitGroup"/>
      <sheetName val="sourceConfig"/>
      <sheetName val="resolveConfig"/>
      <sheetName val="legendEquipMake"/>
      <sheetName val="字段说明"/>
      <sheetName val="各属性GS"/>
      <sheetName val="宝箱"/>
      <sheetName val="Sheet1"/>
      <sheetName val="Sheet2"/>
    </sheetNames>
    <sheetDataSet>
      <sheetData sheetId="0">
        <row r="1">
          <cell r="A1" t="str">
            <v>ID</v>
          </cell>
          <cell r="T1" t="str">
            <v>action</v>
          </cell>
          <cell r="U1" t="str">
            <v>action_arg</v>
          </cell>
        </row>
        <row r="2">
          <cell r="A2">
            <v>1</v>
          </cell>
          <cell r="T2">
            <v>0</v>
          </cell>
          <cell r="U2">
            <v>0</v>
          </cell>
        </row>
        <row r="3">
          <cell r="A3">
            <v>2</v>
          </cell>
          <cell r="T3">
            <v>0</v>
          </cell>
          <cell r="U3">
            <v>0</v>
          </cell>
        </row>
        <row r="4">
          <cell r="A4">
            <v>3</v>
          </cell>
          <cell r="T4">
            <v>0</v>
          </cell>
          <cell r="U4">
            <v>0</v>
          </cell>
        </row>
        <row r="5">
          <cell r="A5">
            <v>4</v>
          </cell>
          <cell r="T5">
            <v>0</v>
          </cell>
          <cell r="U5">
            <v>0</v>
          </cell>
        </row>
        <row r="6">
          <cell r="A6">
            <v>5</v>
          </cell>
          <cell r="T6">
            <v>0</v>
          </cell>
          <cell r="U6">
            <v>0</v>
          </cell>
        </row>
        <row r="7">
          <cell r="A7">
            <v>6</v>
          </cell>
          <cell r="T7">
            <v>0</v>
          </cell>
          <cell r="U7">
            <v>0</v>
          </cell>
        </row>
        <row r="8">
          <cell r="A8">
            <v>7</v>
          </cell>
          <cell r="T8">
            <v>0</v>
          </cell>
          <cell r="U8">
            <v>0</v>
          </cell>
        </row>
        <row r="9">
          <cell r="A9">
            <v>8</v>
          </cell>
          <cell r="T9">
            <v>0</v>
          </cell>
          <cell r="U9">
            <v>0</v>
          </cell>
        </row>
        <row r="10">
          <cell r="A10">
            <v>9</v>
          </cell>
          <cell r="T10">
            <v>0</v>
          </cell>
          <cell r="U10">
            <v>0</v>
          </cell>
        </row>
        <row r="11">
          <cell r="A11">
            <v>10</v>
          </cell>
          <cell r="T11">
            <v>0</v>
          </cell>
          <cell r="U11">
            <v>0</v>
          </cell>
        </row>
        <row r="12">
          <cell r="A12">
            <v>11</v>
          </cell>
          <cell r="T12">
            <v>0</v>
          </cell>
          <cell r="U12">
            <v>0</v>
          </cell>
        </row>
        <row r="13">
          <cell r="A13">
            <v>12</v>
          </cell>
          <cell r="T13">
            <v>0</v>
          </cell>
          <cell r="U13">
            <v>0</v>
          </cell>
        </row>
        <row r="14">
          <cell r="A14">
            <v>13</v>
          </cell>
          <cell r="T14">
            <v>0</v>
          </cell>
          <cell r="U14">
            <v>0</v>
          </cell>
        </row>
        <row r="15">
          <cell r="A15">
            <v>14</v>
          </cell>
          <cell r="T15">
            <v>0</v>
          </cell>
          <cell r="U15">
            <v>0</v>
          </cell>
        </row>
        <row r="16">
          <cell r="A16">
            <v>15</v>
          </cell>
          <cell r="T16">
            <v>0</v>
          </cell>
          <cell r="U16">
            <v>0</v>
          </cell>
        </row>
        <row r="17">
          <cell r="A17">
            <v>16</v>
          </cell>
          <cell r="T17">
            <v>0</v>
          </cell>
          <cell r="U17">
            <v>0</v>
          </cell>
        </row>
        <row r="18">
          <cell r="A18">
            <v>17</v>
          </cell>
          <cell r="T18">
            <v>0</v>
          </cell>
          <cell r="U18">
            <v>0</v>
          </cell>
        </row>
        <row r="19">
          <cell r="A19">
            <v>18</v>
          </cell>
          <cell r="T19">
            <v>0</v>
          </cell>
          <cell r="U19">
            <v>0</v>
          </cell>
        </row>
        <row r="20">
          <cell r="A20">
            <v>19</v>
          </cell>
          <cell r="T20">
            <v>0</v>
          </cell>
          <cell r="U20">
            <v>0</v>
          </cell>
        </row>
        <row r="21">
          <cell r="A21">
            <v>20</v>
          </cell>
          <cell r="T21">
            <v>0</v>
          </cell>
          <cell r="U21">
            <v>0</v>
          </cell>
        </row>
        <row r="22">
          <cell r="A22">
            <v>21</v>
          </cell>
          <cell r="T22">
            <v>0</v>
          </cell>
          <cell r="U22">
            <v>0</v>
          </cell>
        </row>
        <row r="23">
          <cell r="A23">
            <v>22</v>
          </cell>
          <cell r="T23">
            <v>0</v>
          </cell>
          <cell r="U23">
            <v>0</v>
          </cell>
        </row>
        <row r="24">
          <cell r="A24">
            <v>23</v>
          </cell>
          <cell r="T24">
            <v>0</v>
          </cell>
          <cell r="U24">
            <v>0</v>
          </cell>
        </row>
        <row r="25">
          <cell r="A25">
            <v>24</v>
          </cell>
          <cell r="T25">
            <v>0</v>
          </cell>
          <cell r="U25">
            <v>0</v>
          </cell>
        </row>
        <row r="26">
          <cell r="A26">
            <v>25</v>
          </cell>
          <cell r="T26">
            <v>0</v>
          </cell>
          <cell r="U26">
            <v>0</v>
          </cell>
        </row>
        <row r="27">
          <cell r="A27">
            <v>26</v>
          </cell>
          <cell r="T27">
            <v>0</v>
          </cell>
          <cell r="U27">
            <v>0</v>
          </cell>
        </row>
        <row r="28">
          <cell r="A28">
            <v>27</v>
          </cell>
          <cell r="T28">
            <v>0</v>
          </cell>
          <cell r="U28">
            <v>0</v>
          </cell>
        </row>
        <row r="29">
          <cell r="A29">
            <v>28</v>
          </cell>
          <cell r="T29">
            <v>0</v>
          </cell>
          <cell r="U29">
            <v>0</v>
          </cell>
        </row>
        <row r="30">
          <cell r="A30">
            <v>29</v>
          </cell>
          <cell r="T30">
            <v>0</v>
          </cell>
          <cell r="U30">
            <v>0</v>
          </cell>
        </row>
        <row r="31">
          <cell r="A31">
            <v>30</v>
          </cell>
          <cell r="T31">
            <v>0</v>
          </cell>
          <cell r="U31">
            <v>0</v>
          </cell>
        </row>
        <row r="32">
          <cell r="A32">
            <v>31</v>
          </cell>
          <cell r="T32">
            <v>0</v>
          </cell>
          <cell r="U32">
            <v>0</v>
          </cell>
        </row>
        <row r="33">
          <cell r="A33">
            <v>32</v>
          </cell>
          <cell r="T33">
            <v>0</v>
          </cell>
          <cell r="U33">
            <v>0</v>
          </cell>
        </row>
        <row r="34">
          <cell r="A34">
            <v>101</v>
          </cell>
          <cell r="T34">
            <v>0</v>
          </cell>
          <cell r="U34">
            <v>0</v>
          </cell>
        </row>
        <row r="35">
          <cell r="A35">
            <v>102</v>
          </cell>
          <cell r="T35">
            <v>0</v>
          </cell>
          <cell r="U35">
            <v>0</v>
          </cell>
        </row>
        <row r="36">
          <cell r="A36">
            <v>103</v>
          </cell>
          <cell r="T36">
            <v>0</v>
          </cell>
          <cell r="U36">
            <v>0</v>
          </cell>
        </row>
        <row r="37">
          <cell r="A37">
            <v>104</v>
          </cell>
          <cell r="T37">
            <v>0</v>
          </cell>
          <cell r="U37">
            <v>0</v>
          </cell>
        </row>
        <row r="38">
          <cell r="A38">
            <v>105</v>
          </cell>
          <cell r="T38">
            <v>0</v>
          </cell>
          <cell r="U38">
            <v>0</v>
          </cell>
        </row>
        <row r="39">
          <cell r="A39">
            <v>106</v>
          </cell>
          <cell r="T39">
            <v>0</v>
          </cell>
          <cell r="U39">
            <v>0</v>
          </cell>
        </row>
        <row r="40">
          <cell r="A40">
            <v>107</v>
          </cell>
          <cell r="T40">
            <v>0</v>
          </cell>
          <cell r="U40">
            <v>0</v>
          </cell>
        </row>
        <row r="41">
          <cell r="A41">
            <v>108</v>
          </cell>
          <cell r="T41">
            <v>0</v>
          </cell>
          <cell r="U41">
            <v>0</v>
          </cell>
        </row>
        <row r="42">
          <cell r="A42">
            <v>109</v>
          </cell>
          <cell r="T42">
            <v>0</v>
          </cell>
          <cell r="U42">
            <v>0</v>
          </cell>
        </row>
        <row r="43">
          <cell r="A43">
            <v>110</v>
          </cell>
          <cell r="T43">
            <v>0</v>
          </cell>
          <cell r="U43">
            <v>0</v>
          </cell>
        </row>
        <row r="44">
          <cell r="A44">
            <v>111</v>
          </cell>
          <cell r="T44">
            <v>0</v>
          </cell>
          <cell r="U44">
            <v>0</v>
          </cell>
        </row>
        <row r="45">
          <cell r="A45">
            <v>112</v>
          </cell>
          <cell r="T45">
            <v>0</v>
          </cell>
          <cell r="U45">
            <v>0</v>
          </cell>
        </row>
        <row r="46">
          <cell r="A46">
            <v>113</v>
          </cell>
          <cell r="T46">
            <v>0</v>
          </cell>
          <cell r="U46">
            <v>0</v>
          </cell>
        </row>
        <row r="47">
          <cell r="A47">
            <v>114</v>
          </cell>
          <cell r="T47">
            <v>0</v>
          </cell>
          <cell r="U47">
            <v>0</v>
          </cell>
        </row>
        <row r="48">
          <cell r="A48">
            <v>115</v>
          </cell>
          <cell r="T48">
            <v>0</v>
          </cell>
          <cell r="U48">
            <v>0</v>
          </cell>
        </row>
        <row r="49">
          <cell r="A49">
            <v>116</v>
          </cell>
          <cell r="T49">
            <v>0</v>
          </cell>
          <cell r="U49">
            <v>0</v>
          </cell>
        </row>
        <row r="50">
          <cell r="A50">
            <v>117</v>
          </cell>
          <cell r="T50">
            <v>0</v>
          </cell>
          <cell r="U50">
            <v>0</v>
          </cell>
        </row>
        <row r="51">
          <cell r="A51">
            <v>118</v>
          </cell>
          <cell r="T51">
            <v>0</v>
          </cell>
          <cell r="U51">
            <v>0</v>
          </cell>
        </row>
        <row r="52">
          <cell r="A52">
            <v>119</v>
          </cell>
          <cell r="T52">
            <v>0</v>
          </cell>
          <cell r="U52">
            <v>0</v>
          </cell>
        </row>
        <row r="53">
          <cell r="A53">
            <v>120</v>
          </cell>
          <cell r="T53">
            <v>0</v>
          </cell>
          <cell r="U53">
            <v>0</v>
          </cell>
        </row>
        <row r="54">
          <cell r="A54">
            <v>121</v>
          </cell>
          <cell r="T54">
            <v>0</v>
          </cell>
          <cell r="U54">
            <v>0</v>
          </cell>
        </row>
        <row r="55">
          <cell r="A55">
            <v>122</v>
          </cell>
          <cell r="T55">
            <v>0</v>
          </cell>
          <cell r="U55">
            <v>0</v>
          </cell>
        </row>
        <row r="56">
          <cell r="A56">
            <v>123</v>
          </cell>
          <cell r="T56">
            <v>0</v>
          </cell>
          <cell r="U56">
            <v>0</v>
          </cell>
        </row>
        <row r="57">
          <cell r="A57">
            <v>124</v>
          </cell>
          <cell r="T57">
            <v>0</v>
          </cell>
          <cell r="U57">
            <v>0</v>
          </cell>
        </row>
        <row r="58">
          <cell r="A58">
            <v>125</v>
          </cell>
          <cell r="T58">
            <v>0</v>
          </cell>
          <cell r="U58">
            <v>0</v>
          </cell>
        </row>
        <row r="59">
          <cell r="A59">
            <v>126</v>
          </cell>
          <cell r="T59">
            <v>0</v>
          </cell>
          <cell r="U59">
            <v>0</v>
          </cell>
        </row>
        <row r="60">
          <cell r="A60">
            <v>127</v>
          </cell>
          <cell r="T60">
            <v>0</v>
          </cell>
          <cell r="U60">
            <v>0</v>
          </cell>
        </row>
        <row r="61">
          <cell r="A61">
            <v>128</v>
          </cell>
          <cell r="T61">
            <v>0</v>
          </cell>
          <cell r="U61">
            <v>0</v>
          </cell>
        </row>
        <row r="62">
          <cell r="A62">
            <v>129</v>
          </cell>
          <cell r="T62">
            <v>0</v>
          </cell>
          <cell r="U62">
            <v>0</v>
          </cell>
        </row>
        <row r="63">
          <cell r="A63">
            <v>130</v>
          </cell>
          <cell r="T63">
            <v>0</v>
          </cell>
          <cell r="U63">
            <v>0</v>
          </cell>
        </row>
        <row r="64">
          <cell r="A64">
            <v>131</v>
          </cell>
          <cell r="T64">
            <v>0</v>
          </cell>
          <cell r="U64">
            <v>0</v>
          </cell>
        </row>
        <row r="65">
          <cell r="A65">
            <v>132</v>
          </cell>
          <cell r="T65">
            <v>0</v>
          </cell>
          <cell r="U65">
            <v>0</v>
          </cell>
        </row>
        <row r="66">
          <cell r="A66">
            <v>133</v>
          </cell>
          <cell r="T66">
            <v>0</v>
          </cell>
          <cell r="U66">
            <v>0</v>
          </cell>
        </row>
        <row r="67">
          <cell r="A67">
            <v>134</v>
          </cell>
          <cell r="T67">
            <v>0</v>
          </cell>
          <cell r="U67">
            <v>0</v>
          </cell>
        </row>
        <row r="68">
          <cell r="A68">
            <v>135</v>
          </cell>
          <cell r="T68">
            <v>0</v>
          </cell>
          <cell r="U68">
            <v>0</v>
          </cell>
        </row>
        <row r="69">
          <cell r="A69">
            <v>136</v>
          </cell>
          <cell r="T69">
            <v>0</v>
          </cell>
          <cell r="U69">
            <v>0</v>
          </cell>
        </row>
        <row r="70">
          <cell r="A70">
            <v>137</v>
          </cell>
          <cell r="T70">
            <v>0</v>
          </cell>
          <cell r="U70">
            <v>0</v>
          </cell>
        </row>
        <row r="71">
          <cell r="A71">
            <v>138</v>
          </cell>
          <cell r="T71">
            <v>0</v>
          </cell>
          <cell r="U71">
            <v>0</v>
          </cell>
        </row>
        <row r="72">
          <cell r="A72">
            <v>139</v>
          </cell>
          <cell r="T72">
            <v>0</v>
          </cell>
          <cell r="U72">
            <v>0</v>
          </cell>
        </row>
        <row r="73">
          <cell r="A73">
            <v>140</v>
          </cell>
          <cell r="T73">
            <v>0</v>
          </cell>
          <cell r="U73">
            <v>0</v>
          </cell>
        </row>
        <row r="74">
          <cell r="A74">
            <v>141</v>
          </cell>
          <cell r="T74">
            <v>0</v>
          </cell>
          <cell r="U74">
            <v>0</v>
          </cell>
        </row>
        <row r="75">
          <cell r="A75">
            <v>142</v>
          </cell>
          <cell r="T75">
            <v>0</v>
          </cell>
          <cell r="U75">
            <v>0</v>
          </cell>
        </row>
        <row r="76">
          <cell r="A76">
            <v>143</v>
          </cell>
          <cell r="T76">
            <v>0</v>
          </cell>
          <cell r="U76">
            <v>0</v>
          </cell>
        </row>
        <row r="77">
          <cell r="A77">
            <v>144</v>
          </cell>
          <cell r="T77">
            <v>0</v>
          </cell>
          <cell r="U77">
            <v>0</v>
          </cell>
        </row>
        <row r="78">
          <cell r="A78">
            <v>145</v>
          </cell>
          <cell r="T78">
            <v>0</v>
          </cell>
          <cell r="U78">
            <v>0</v>
          </cell>
        </row>
        <row r="79">
          <cell r="A79">
            <v>146</v>
          </cell>
          <cell r="T79">
            <v>0</v>
          </cell>
          <cell r="U79">
            <v>0</v>
          </cell>
        </row>
        <row r="80">
          <cell r="A80">
            <v>147</v>
          </cell>
          <cell r="T80">
            <v>0</v>
          </cell>
          <cell r="U80">
            <v>0</v>
          </cell>
        </row>
        <row r="81">
          <cell r="A81">
            <v>148</v>
          </cell>
          <cell r="T81">
            <v>0</v>
          </cell>
          <cell r="U81">
            <v>0</v>
          </cell>
        </row>
        <row r="82">
          <cell r="A82">
            <v>149</v>
          </cell>
          <cell r="T82">
            <v>0</v>
          </cell>
          <cell r="U82">
            <v>0</v>
          </cell>
        </row>
        <row r="83">
          <cell r="A83">
            <v>150</v>
          </cell>
          <cell r="T83">
            <v>0</v>
          </cell>
          <cell r="U83">
            <v>0</v>
          </cell>
        </row>
        <row r="84">
          <cell r="A84">
            <v>201</v>
          </cell>
          <cell r="T84">
            <v>0</v>
          </cell>
          <cell r="U84">
            <v>0</v>
          </cell>
        </row>
        <row r="85">
          <cell r="A85">
            <v>202</v>
          </cell>
          <cell r="T85">
            <v>0</v>
          </cell>
          <cell r="U85">
            <v>0</v>
          </cell>
        </row>
        <row r="86">
          <cell r="A86">
            <v>203</v>
          </cell>
          <cell r="T86">
            <v>0</v>
          </cell>
          <cell r="U86">
            <v>0</v>
          </cell>
        </row>
        <row r="87">
          <cell r="A87">
            <v>204</v>
          </cell>
          <cell r="T87">
            <v>0</v>
          </cell>
          <cell r="U87">
            <v>0</v>
          </cell>
        </row>
        <row r="88">
          <cell r="A88">
            <v>205</v>
          </cell>
          <cell r="T88">
            <v>0</v>
          </cell>
          <cell r="U88">
            <v>0</v>
          </cell>
        </row>
        <row r="89">
          <cell r="A89">
            <v>206</v>
          </cell>
          <cell r="T89">
            <v>0</v>
          </cell>
          <cell r="U89">
            <v>0</v>
          </cell>
        </row>
        <row r="90">
          <cell r="A90">
            <v>207</v>
          </cell>
          <cell r="T90">
            <v>0</v>
          </cell>
          <cell r="U90">
            <v>0</v>
          </cell>
        </row>
        <row r="91">
          <cell r="A91">
            <v>208</v>
          </cell>
          <cell r="T91">
            <v>0</v>
          </cell>
          <cell r="U91">
            <v>0</v>
          </cell>
        </row>
        <row r="92">
          <cell r="A92">
            <v>209</v>
          </cell>
          <cell r="T92">
            <v>0</v>
          </cell>
          <cell r="U92">
            <v>0</v>
          </cell>
        </row>
        <row r="93">
          <cell r="A93">
            <v>210</v>
          </cell>
          <cell r="T93">
            <v>0</v>
          </cell>
          <cell r="U93">
            <v>0</v>
          </cell>
        </row>
        <row r="94">
          <cell r="A94">
            <v>211</v>
          </cell>
          <cell r="T94">
            <v>0</v>
          </cell>
          <cell r="U94">
            <v>0</v>
          </cell>
        </row>
        <row r="95">
          <cell r="A95">
            <v>212</v>
          </cell>
          <cell r="T95">
            <v>0</v>
          </cell>
          <cell r="U95">
            <v>0</v>
          </cell>
        </row>
        <row r="96">
          <cell r="A96">
            <v>213</v>
          </cell>
          <cell r="T96">
            <v>0</v>
          </cell>
          <cell r="U96">
            <v>0</v>
          </cell>
        </row>
        <row r="97">
          <cell r="A97">
            <v>214</v>
          </cell>
          <cell r="T97">
            <v>0</v>
          </cell>
          <cell r="U97">
            <v>0</v>
          </cell>
        </row>
        <row r="98">
          <cell r="A98">
            <v>215</v>
          </cell>
          <cell r="T98">
            <v>0</v>
          </cell>
          <cell r="U98">
            <v>0</v>
          </cell>
        </row>
        <row r="99">
          <cell r="A99">
            <v>216</v>
          </cell>
          <cell r="T99">
            <v>0</v>
          </cell>
          <cell r="U99">
            <v>0</v>
          </cell>
        </row>
        <row r="100">
          <cell r="A100">
            <v>217</v>
          </cell>
          <cell r="T100">
            <v>0</v>
          </cell>
          <cell r="U100">
            <v>0</v>
          </cell>
        </row>
        <row r="101">
          <cell r="A101">
            <v>218</v>
          </cell>
          <cell r="T101">
            <v>0</v>
          </cell>
          <cell r="U101">
            <v>0</v>
          </cell>
        </row>
        <row r="102">
          <cell r="A102">
            <v>219</v>
          </cell>
          <cell r="T102">
            <v>0</v>
          </cell>
          <cell r="U102">
            <v>0</v>
          </cell>
        </row>
        <row r="103">
          <cell r="A103">
            <v>220</v>
          </cell>
          <cell r="T103">
            <v>0</v>
          </cell>
          <cell r="U103">
            <v>0</v>
          </cell>
        </row>
        <row r="104">
          <cell r="A104">
            <v>221</v>
          </cell>
          <cell r="T104">
            <v>0</v>
          </cell>
          <cell r="U104">
            <v>0</v>
          </cell>
        </row>
        <row r="105">
          <cell r="A105">
            <v>222</v>
          </cell>
          <cell r="T105">
            <v>0</v>
          </cell>
          <cell r="U105">
            <v>0</v>
          </cell>
        </row>
        <row r="106">
          <cell r="A106">
            <v>223</v>
          </cell>
          <cell r="T106">
            <v>0</v>
          </cell>
          <cell r="U106">
            <v>0</v>
          </cell>
        </row>
        <row r="107">
          <cell r="A107">
            <v>224</v>
          </cell>
          <cell r="T107">
            <v>0</v>
          </cell>
          <cell r="U107">
            <v>0</v>
          </cell>
        </row>
        <row r="108">
          <cell r="A108">
            <v>225</v>
          </cell>
          <cell r="T108">
            <v>0</v>
          </cell>
          <cell r="U108">
            <v>0</v>
          </cell>
        </row>
        <row r="109">
          <cell r="A109">
            <v>226</v>
          </cell>
          <cell r="T109">
            <v>0</v>
          </cell>
          <cell r="U109">
            <v>0</v>
          </cell>
        </row>
        <row r="110">
          <cell r="A110">
            <v>227</v>
          </cell>
          <cell r="T110">
            <v>0</v>
          </cell>
          <cell r="U110">
            <v>0</v>
          </cell>
        </row>
        <row r="111">
          <cell r="A111">
            <v>228</v>
          </cell>
          <cell r="T111">
            <v>0</v>
          </cell>
          <cell r="U111">
            <v>0</v>
          </cell>
        </row>
        <row r="112">
          <cell r="A112">
            <v>229</v>
          </cell>
          <cell r="T112">
            <v>0</v>
          </cell>
          <cell r="U112">
            <v>0</v>
          </cell>
        </row>
        <row r="113">
          <cell r="A113">
            <v>230</v>
          </cell>
          <cell r="T113">
            <v>0</v>
          </cell>
          <cell r="U113">
            <v>0</v>
          </cell>
        </row>
        <row r="114">
          <cell r="A114">
            <v>231</v>
          </cell>
          <cell r="T114">
            <v>0</v>
          </cell>
          <cell r="U114">
            <v>0</v>
          </cell>
        </row>
        <row r="115">
          <cell r="A115">
            <v>232</v>
          </cell>
          <cell r="T115">
            <v>0</v>
          </cell>
          <cell r="U115">
            <v>0</v>
          </cell>
        </row>
        <row r="116">
          <cell r="A116">
            <v>233</v>
          </cell>
          <cell r="T116">
            <v>0</v>
          </cell>
          <cell r="U116">
            <v>0</v>
          </cell>
        </row>
        <row r="117">
          <cell r="A117">
            <v>234</v>
          </cell>
          <cell r="T117">
            <v>0</v>
          </cell>
          <cell r="U117">
            <v>0</v>
          </cell>
        </row>
        <row r="118">
          <cell r="A118">
            <v>235</v>
          </cell>
          <cell r="T118">
            <v>0</v>
          </cell>
          <cell r="U118">
            <v>0</v>
          </cell>
        </row>
        <row r="119">
          <cell r="A119">
            <v>236</v>
          </cell>
          <cell r="T119">
            <v>0</v>
          </cell>
          <cell r="U119">
            <v>0</v>
          </cell>
        </row>
        <row r="120">
          <cell r="A120">
            <v>237</v>
          </cell>
          <cell r="T120">
            <v>0</v>
          </cell>
          <cell r="U120">
            <v>0</v>
          </cell>
        </row>
        <row r="121">
          <cell r="A121">
            <v>238</v>
          </cell>
          <cell r="T121">
            <v>0</v>
          </cell>
          <cell r="U121">
            <v>0</v>
          </cell>
        </row>
        <row r="122">
          <cell r="A122">
            <v>239</v>
          </cell>
          <cell r="T122">
            <v>0</v>
          </cell>
          <cell r="U122">
            <v>0</v>
          </cell>
        </row>
        <row r="123">
          <cell r="A123">
            <v>240</v>
          </cell>
          <cell r="T123">
            <v>0</v>
          </cell>
          <cell r="U123">
            <v>0</v>
          </cell>
        </row>
        <row r="124">
          <cell r="A124">
            <v>401</v>
          </cell>
          <cell r="T124">
            <v>0</v>
          </cell>
          <cell r="U124">
            <v>0</v>
          </cell>
        </row>
        <row r="125">
          <cell r="A125">
            <v>402</v>
          </cell>
          <cell r="T125">
            <v>0</v>
          </cell>
          <cell r="U125">
            <v>0</v>
          </cell>
        </row>
        <row r="126">
          <cell r="A126">
            <v>403</v>
          </cell>
          <cell r="T126">
            <v>0</v>
          </cell>
          <cell r="U126">
            <v>0</v>
          </cell>
        </row>
        <row r="127">
          <cell r="A127">
            <v>404</v>
          </cell>
          <cell r="T127">
            <v>0</v>
          </cell>
          <cell r="U127">
            <v>0</v>
          </cell>
        </row>
        <row r="128">
          <cell r="A128">
            <v>405</v>
          </cell>
          <cell r="T128">
            <v>0</v>
          </cell>
          <cell r="U128">
            <v>0</v>
          </cell>
        </row>
        <row r="129">
          <cell r="A129">
            <v>406</v>
          </cell>
          <cell r="T129">
            <v>0</v>
          </cell>
          <cell r="U129">
            <v>0</v>
          </cell>
        </row>
        <row r="130">
          <cell r="A130">
            <v>407</v>
          </cell>
          <cell r="T130">
            <v>0</v>
          </cell>
          <cell r="U130">
            <v>0</v>
          </cell>
        </row>
        <row r="131">
          <cell r="A131">
            <v>408</v>
          </cell>
          <cell r="T131">
            <v>0</v>
          </cell>
          <cell r="U131">
            <v>0</v>
          </cell>
        </row>
        <row r="132">
          <cell r="A132">
            <v>409</v>
          </cell>
          <cell r="T132">
            <v>0</v>
          </cell>
          <cell r="U132">
            <v>0</v>
          </cell>
        </row>
        <row r="133">
          <cell r="A133">
            <v>411</v>
          </cell>
          <cell r="T133">
            <v>0</v>
          </cell>
          <cell r="U133">
            <v>0</v>
          </cell>
        </row>
        <row r="134">
          <cell r="A134">
            <v>412</v>
          </cell>
          <cell r="T134">
            <v>0</v>
          </cell>
          <cell r="U134">
            <v>0</v>
          </cell>
        </row>
        <row r="135">
          <cell r="A135">
            <v>413</v>
          </cell>
          <cell r="T135">
            <v>0</v>
          </cell>
          <cell r="U135">
            <v>0</v>
          </cell>
        </row>
        <row r="136">
          <cell r="A136">
            <v>414</v>
          </cell>
          <cell r="T136">
            <v>0</v>
          </cell>
          <cell r="U136">
            <v>0</v>
          </cell>
        </row>
        <row r="137">
          <cell r="A137">
            <v>415</v>
          </cell>
          <cell r="T137">
            <v>0</v>
          </cell>
          <cell r="U137">
            <v>0</v>
          </cell>
        </row>
        <row r="138">
          <cell r="A138">
            <v>416</v>
          </cell>
          <cell r="T138">
            <v>0</v>
          </cell>
          <cell r="U138">
            <v>0</v>
          </cell>
        </row>
        <row r="139">
          <cell r="A139">
            <v>417</v>
          </cell>
          <cell r="T139">
            <v>0</v>
          </cell>
          <cell r="U139">
            <v>0</v>
          </cell>
        </row>
        <row r="140">
          <cell r="A140">
            <v>418</v>
          </cell>
          <cell r="T140">
            <v>0</v>
          </cell>
          <cell r="U140">
            <v>0</v>
          </cell>
        </row>
        <row r="141">
          <cell r="A141">
            <v>419</v>
          </cell>
          <cell r="T141">
            <v>0</v>
          </cell>
          <cell r="U141">
            <v>0</v>
          </cell>
        </row>
        <row r="142">
          <cell r="A142">
            <v>421</v>
          </cell>
          <cell r="T142" t="str">
            <v>add_ring</v>
          </cell>
          <cell r="U142">
            <v>1</v>
          </cell>
        </row>
        <row r="143">
          <cell r="A143">
            <v>422</v>
          </cell>
          <cell r="T143" t="str">
            <v>add_magic_ring</v>
          </cell>
          <cell r="U143">
            <v>2</v>
          </cell>
        </row>
        <row r="144">
          <cell r="A144">
            <v>423</v>
          </cell>
          <cell r="T144" t="str">
            <v>add_magic_ring</v>
          </cell>
          <cell r="U144">
            <v>3</v>
          </cell>
        </row>
        <row r="145">
          <cell r="A145">
            <v>424</v>
          </cell>
          <cell r="T145" t="str">
            <v>add_magic_ring</v>
          </cell>
          <cell r="U145">
            <v>4</v>
          </cell>
        </row>
        <row r="146">
          <cell r="A146">
            <v>425</v>
          </cell>
          <cell r="T146" t="str">
            <v>add_magic_ring</v>
          </cell>
          <cell r="U146">
            <v>5</v>
          </cell>
        </row>
        <row r="147">
          <cell r="A147">
            <v>426</v>
          </cell>
          <cell r="T147" t="str">
            <v>add_magic_ring</v>
          </cell>
          <cell r="U147">
            <v>6</v>
          </cell>
        </row>
        <row r="148">
          <cell r="A148">
            <v>427</v>
          </cell>
          <cell r="T148" t="str">
            <v>add_magic_ring</v>
          </cell>
          <cell r="U148">
            <v>7</v>
          </cell>
        </row>
        <row r="149">
          <cell r="A149">
            <v>428</v>
          </cell>
          <cell r="T149" t="str">
            <v>add_magic_ring</v>
          </cell>
          <cell r="U149">
            <v>8</v>
          </cell>
        </row>
        <row r="150">
          <cell r="A150">
            <v>429</v>
          </cell>
          <cell r="T150" t="str">
            <v>add_magic_ring</v>
          </cell>
          <cell r="U150">
            <v>9</v>
          </cell>
        </row>
        <row r="151">
          <cell r="A151">
            <v>1000</v>
          </cell>
          <cell r="T151" t="str">
            <v>add_reward</v>
          </cell>
          <cell r="U151" t="str">
            <v>1000</v>
          </cell>
        </row>
        <row r="152">
          <cell r="A152">
            <v>1001</v>
          </cell>
          <cell r="T152" t="str">
            <v>add_reward</v>
          </cell>
          <cell r="U152" t="str">
            <v>1001</v>
          </cell>
        </row>
        <row r="153">
          <cell r="A153">
            <v>1002</v>
          </cell>
          <cell r="T153" t="str">
            <v>add_reward</v>
          </cell>
          <cell r="U153" t="str">
            <v>1002</v>
          </cell>
        </row>
        <row r="154">
          <cell r="A154">
            <v>1003</v>
          </cell>
          <cell r="T154" t="str">
            <v>add_reward</v>
          </cell>
          <cell r="U154" t="str">
            <v>1000</v>
          </cell>
        </row>
        <row r="155">
          <cell r="A155">
            <v>1004</v>
          </cell>
          <cell r="T155" t="str">
            <v>add_reward</v>
          </cell>
          <cell r="U155" t="str">
            <v>1001</v>
          </cell>
        </row>
        <row r="156">
          <cell r="A156">
            <v>1005</v>
          </cell>
          <cell r="T156" t="str">
            <v>add_reward</v>
          </cell>
          <cell r="U156" t="str">
            <v>1002</v>
          </cell>
        </row>
        <row r="157">
          <cell r="A157">
            <v>1006</v>
          </cell>
          <cell r="T157" t="str">
            <v>0</v>
          </cell>
          <cell r="U157" t="str">
            <v>0</v>
          </cell>
        </row>
        <row r="158">
          <cell r="A158">
            <v>1007</v>
          </cell>
          <cell r="T158" t="str">
            <v>0</v>
          </cell>
          <cell r="U158" t="str">
            <v>0</v>
          </cell>
        </row>
        <row r="159">
          <cell r="A159">
            <v>971</v>
          </cell>
          <cell r="T159">
            <v>0</v>
          </cell>
          <cell r="U159">
            <v>0</v>
          </cell>
        </row>
        <row r="160">
          <cell r="A160">
            <v>1831</v>
          </cell>
          <cell r="T160" t="str">
            <v>add_bag</v>
          </cell>
          <cell r="U160">
            <v>0</v>
          </cell>
        </row>
        <row r="161">
          <cell r="A161">
            <v>1934</v>
          </cell>
          <cell r="T161">
            <v>0</v>
          </cell>
          <cell r="U161">
            <v>0</v>
          </cell>
        </row>
        <row r="162">
          <cell r="A162">
            <v>2004</v>
          </cell>
          <cell r="T162" t="str">
            <v>add_task</v>
          </cell>
          <cell r="U162">
            <v>21</v>
          </cell>
        </row>
        <row r="163">
          <cell r="A163">
            <v>2005</v>
          </cell>
          <cell r="T163" t="str">
            <v>add_task</v>
          </cell>
          <cell r="U163">
            <v>22</v>
          </cell>
        </row>
        <row r="164">
          <cell r="A164">
            <v>2006</v>
          </cell>
          <cell r="T164" t="str">
            <v>add_task</v>
          </cell>
          <cell r="U164">
            <v>23</v>
          </cell>
        </row>
        <row r="165">
          <cell r="A165">
            <v>2007</v>
          </cell>
          <cell r="T165" t="str">
            <v>add_reward</v>
          </cell>
          <cell r="U165">
            <v>200020005</v>
          </cell>
        </row>
        <row r="166">
          <cell r="A166">
            <v>2008</v>
          </cell>
          <cell r="T166" t="str">
            <v>add_reward</v>
          </cell>
          <cell r="U166">
            <v>200020006</v>
          </cell>
        </row>
        <row r="167">
          <cell r="A167">
            <v>2009</v>
          </cell>
          <cell r="T167" t="str">
            <v>add_reward</v>
          </cell>
          <cell r="U167">
            <v>200020007</v>
          </cell>
        </row>
        <row r="168">
          <cell r="A168">
            <v>2010</v>
          </cell>
          <cell r="T168" t="str">
            <v>add_reward</v>
          </cell>
          <cell r="U168">
            <v>200020008</v>
          </cell>
        </row>
        <row r="169">
          <cell r="A169">
            <v>2011</v>
          </cell>
          <cell r="T169" t="str">
            <v>add_reward</v>
          </cell>
          <cell r="U169">
            <v>200020009</v>
          </cell>
        </row>
        <row r="170">
          <cell r="A170">
            <v>2012</v>
          </cell>
          <cell r="T170" t="str">
            <v>add_reward</v>
          </cell>
          <cell r="U170">
            <v>200020010</v>
          </cell>
        </row>
        <row r="171">
          <cell r="A171">
            <v>2013</v>
          </cell>
          <cell r="T171" t="str">
            <v>add_reward</v>
          </cell>
          <cell r="U171">
            <v>200020011</v>
          </cell>
        </row>
        <row r="172">
          <cell r="A172">
            <v>2014</v>
          </cell>
          <cell r="T172" t="str">
            <v>add_reward</v>
          </cell>
          <cell r="U172">
            <v>200020012</v>
          </cell>
        </row>
        <row r="173">
          <cell r="A173">
            <v>2015</v>
          </cell>
          <cell r="T173" t="str">
            <v>add_reward</v>
          </cell>
          <cell r="U173">
            <v>200020013</v>
          </cell>
        </row>
        <row r="174">
          <cell r="A174">
            <v>2016</v>
          </cell>
          <cell r="T174" t="str">
            <v>add_reward</v>
          </cell>
          <cell r="U174">
            <v>200020013</v>
          </cell>
        </row>
        <row r="175">
          <cell r="A175">
            <v>3001</v>
          </cell>
          <cell r="T175">
            <v>0</v>
          </cell>
          <cell r="U175">
            <v>0</v>
          </cell>
        </row>
        <row r="176">
          <cell r="A176">
            <v>3002</v>
          </cell>
          <cell r="T176">
            <v>0</v>
          </cell>
          <cell r="U176">
            <v>0</v>
          </cell>
        </row>
        <row r="177">
          <cell r="A177">
            <v>3003</v>
          </cell>
          <cell r="T177">
            <v>0</v>
          </cell>
          <cell r="U177">
            <v>0</v>
          </cell>
        </row>
        <row r="178">
          <cell r="A178">
            <v>3004</v>
          </cell>
          <cell r="T178">
            <v>0</v>
          </cell>
          <cell r="U178">
            <v>0</v>
          </cell>
        </row>
        <row r="179">
          <cell r="A179">
            <v>3005</v>
          </cell>
          <cell r="T179">
            <v>0</v>
          </cell>
          <cell r="U179">
            <v>0</v>
          </cell>
        </row>
        <row r="180">
          <cell r="A180">
            <v>3006</v>
          </cell>
          <cell r="T180">
            <v>0</v>
          </cell>
          <cell r="U180">
            <v>0</v>
          </cell>
        </row>
        <row r="181">
          <cell r="A181">
            <v>3007</v>
          </cell>
          <cell r="T181">
            <v>0</v>
          </cell>
          <cell r="U181">
            <v>0</v>
          </cell>
        </row>
        <row r="182">
          <cell r="A182">
            <v>3008</v>
          </cell>
          <cell r="T182">
            <v>0</v>
          </cell>
          <cell r="U182">
            <v>0</v>
          </cell>
        </row>
        <row r="183">
          <cell r="A183">
            <v>3009</v>
          </cell>
          <cell r="T183">
            <v>0</v>
          </cell>
          <cell r="U183">
            <v>0</v>
          </cell>
        </row>
        <row r="184">
          <cell r="A184">
            <v>3010</v>
          </cell>
          <cell r="T184">
            <v>0</v>
          </cell>
          <cell r="U184">
            <v>0</v>
          </cell>
        </row>
        <row r="185">
          <cell r="A185">
            <v>3011</v>
          </cell>
          <cell r="T185" t="str">
            <v>add_mount</v>
          </cell>
          <cell r="U185">
            <v>1</v>
          </cell>
        </row>
        <row r="186">
          <cell r="A186">
            <v>3012</v>
          </cell>
          <cell r="T186" t="str">
            <v>add_mount</v>
          </cell>
          <cell r="U186">
            <v>2</v>
          </cell>
        </row>
        <row r="187">
          <cell r="A187">
            <v>3013</v>
          </cell>
          <cell r="T187" t="str">
            <v>add_mount</v>
          </cell>
          <cell r="U187">
            <v>3</v>
          </cell>
        </row>
        <row r="188">
          <cell r="A188">
            <v>3014</v>
          </cell>
          <cell r="T188" t="str">
            <v>add_mount</v>
          </cell>
          <cell r="U188">
            <v>4</v>
          </cell>
        </row>
        <row r="189">
          <cell r="A189">
            <v>3015</v>
          </cell>
          <cell r="T189" t="str">
            <v>add_mount</v>
          </cell>
          <cell r="U189">
            <v>5</v>
          </cell>
        </row>
        <row r="190">
          <cell r="A190">
            <v>3016</v>
          </cell>
          <cell r="T190" t="str">
            <v>add_mount</v>
          </cell>
          <cell r="U190">
            <v>6</v>
          </cell>
        </row>
        <row r="191">
          <cell r="A191">
            <v>3017</v>
          </cell>
          <cell r="T191" t="str">
            <v>add_mount</v>
          </cell>
          <cell r="U191">
            <v>7</v>
          </cell>
        </row>
        <row r="192">
          <cell r="A192">
            <v>3018</v>
          </cell>
          <cell r="T192" t="str">
            <v>add_mount</v>
          </cell>
          <cell r="U192">
            <v>8</v>
          </cell>
        </row>
        <row r="193">
          <cell r="A193">
            <v>3019</v>
          </cell>
          <cell r="T193" t="str">
            <v>add_mount</v>
          </cell>
          <cell r="U193">
            <v>9</v>
          </cell>
        </row>
        <row r="194">
          <cell r="A194">
            <v>3020</v>
          </cell>
          <cell r="T194" t="str">
            <v>add_mount</v>
          </cell>
          <cell r="U194">
            <v>10</v>
          </cell>
        </row>
        <row r="195">
          <cell r="A195">
            <v>3021</v>
          </cell>
          <cell r="T195">
            <v>0</v>
          </cell>
          <cell r="U195">
            <v>0</v>
          </cell>
        </row>
        <row r="196">
          <cell r="A196">
            <v>3022</v>
          </cell>
          <cell r="T196">
            <v>0</v>
          </cell>
          <cell r="U196">
            <v>0</v>
          </cell>
        </row>
        <row r="197">
          <cell r="A197">
            <v>3023</v>
          </cell>
          <cell r="T197">
            <v>0</v>
          </cell>
          <cell r="U197">
            <v>0</v>
          </cell>
        </row>
        <row r="198">
          <cell r="A198">
            <v>3024</v>
          </cell>
          <cell r="T198">
            <v>0</v>
          </cell>
          <cell r="U198">
            <v>0</v>
          </cell>
        </row>
        <row r="199">
          <cell r="A199">
            <v>3025</v>
          </cell>
          <cell r="T199">
            <v>0</v>
          </cell>
          <cell r="U199">
            <v>0</v>
          </cell>
        </row>
        <row r="200">
          <cell r="A200">
            <v>3026</v>
          </cell>
          <cell r="T200">
            <v>0</v>
          </cell>
          <cell r="U200">
            <v>0</v>
          </cell>
        </row>
        <row r="201">
          <cell r="A201">
            <v>3027</v>
          </cell>
          <cell r="T201">
            <v>0</v>
          </cell>
          <cell r="U201">
            <v>0</v>
          </cell>
        </row>
        <row r="202">
          <cell r="A202">
            <v>3028</v>
          </cell>
          <cell r="T202">
            <v>0</v>
          </cell>
          <cell r="U202">
            <v>0</v>
          </cell>
        </row>
        <row r="203">
          <cell r="A203">
            <v>3029</v>
          </cell>
          <cell r="T203">
            <v>0</v>
          </cell>
          <cell r="U203">
            <v>0</v>
          </cell>
        </row>
        <row r="204">
          <cell r="A204">
            <v>3030</v>
          </cell>
          <cell r="T204">
            <v>0</v>
          </cell>
          <cell r="U204">
            <v>0</v>
          </cell>
        </row>
        <row r="205">
          <cell r="A205">
            <v>3102</v>
          </cell>
          <cell r="T205">
            <v>0</v>
          </cell>
          <cell r="U205">
            <v>0</v>
          </cell>
        </row>
        <row r="206">
          <cell r="A206">
            <v>4001</v>
          </cell>
          <cell r="T206" t="str">
            <v>add_wing</v>
          </cell>
          <cell r="U206">
            <v>1</v>
          </cell>
        </row>
        <row r="207">
          <cell r="A207">
            <v>4002</v>
          </cell>
          <cell r="T207" t="str">
            <v>add_wing</v>
          </cell>
          <cell r="U207">
            <v>2</v>
          </cell>
        </row>
        <row r="208">
          <cell r="A208">
            <v>4003</v>
          </cell>
          <cell r="T208" t="str">
            <v>add_wing</v>
          </cell>
          <cell r="U208">
            <v>3</v>
          </cell>
        </row>
        <row r="209">
          <cell r="A209">
            <v>4004</v>
          </cell>
          <cell r="T209" t="str">
            <v>add_wing</v>
          </cell>
          <cell r="U209">
            <v>4</v>
          </cell>
        </row>
        <row r="210">
          <cell r="A210">
            <v>4005</v>
          </cell>
          <cell r="T210" t="str">
            <v>add_wing</v>
          </cell>
          <cell r="U210">
            <v>5</v>
          </cell>
        </row>
        <row r="211">
          <cell r="A211">
            <v>4006</v>
          </cell>
          <cell r="T211" t="str">
            <v>add_wing</v>
          </cell>
          <cell r="U211">
            <v>6</v>
          </cell>
        </row>
        <row r="212">
          <cell r="A212">
            <v>4007</v>
          </cell>
          <cell r="T212" t="str">
            <v>add_wing</v>
          </cell>
          <cell r="U212">
            <v>7</v>
          </cell>
        </row>
        <row r="213">
          <cell r="A213">
            <v>4101</v>
          </cell>
          <cell r="T213">
            <v>0</v>
          </cell>
          <cell r="U213">
            <v>0</v>
          </cell>
        </row>
        <row r="214">
          <cell r="A214">
            <v>4102</v>
          </cell>
          <cell r="T214">
            <v>0</v>
          </cell>
          <cell r="U214">
            <v>0</v>
          </cell>
        </row>
        <row r="215">
          <cell r="A215">
            <v>4103</v>
          </cell>
          <cell r="T215">
            <v>0</v>
          </cell>
          <cell r="U215">
            <v>0</v>
          </cell>
        </row>
        <row r="216">
          <cell r="A216">
            <v>4104</v>
          </cell>
          <cell r="T216">
            <v>0</v>
          </cell>
          <cell r="U216">
            <v>0</v>
          </cell>
        </row>
        <row r="217">
          <cell r="A217">
            <v>4105</v>
          </cell>
          <cell r="T217">
            <v>0</v>
          </cell>
          <cell r="U217">
            <v>0</v>
          </cell>
        </row>
        <row r="218">
          <cell r="A218">
            <v>4106</v>
          </cell>
          <cell r="T218">
            <v>0</v>
          </cell>
          <cell r="U218">
            <v>0</v>
          </cell>
        </row>
        <row r="219">
          <cell r="A219">
            <v>4107</v>
          </cell>
          <cell r="T219">
            <v>0</v>
          </cell>
          <cell r="U219">
            <v>0</v>
          </cell>
        </row>
        <row r="220">
          <cell r="A220">
            <v>4108</v>
          </cell>
          <cell r="T220">
            <v>0</v>
          </cell>
          <cell r="U220">
            <v>0</v>
          </cell>
        </row>
        <row r="221">
          <cell r="A221">
            <v>4109</v>
          </cell>
          <cell r="T221">
            <v>0</v>
          </cell>
          <cell r="U221">
            <v>0</v>
          </cell>
        </row>
        <row r="222">
          <cell r="A222">
            <v>4201</v>
          </cell>
          <cell r="T222">
            <v>0</v>
          </cell>
          <cell r="U222">
            <v>0</v>
          </cell>
        </row>
        <row r="223">
          <cell r="A223">
            <v>4202</v>
          </cell>
          <cell r="T223">
            <v>0</v>
          </cell>
          <cell r="U223">
            <v>0</v>
          </cell>
        </row>
        <row r="224">
          <cell r="A224">
            <v>4203</v>
          </cell>
          <cell r="T224">
            <v>0</v>
          </cell>
          <cell r="U224">
            <v>0</v>
          </cell>
        </row>
        <row r="225">
          <cell r="A225">
            <v>4204</v>
          </cell>
          <cell r="T225">
            <v>0</v>
          </cell>
          <cell r="U225">
            <v>0</v>
          </cell>
        </row>
        <row r="226">
          <cell r="A226">
            <v>4205</v>
          </cell>
          <cell r="T226">
            <v>0</v>
          </cell>
          <cell r="U226">
            <v>0</v>
          </cell>
        </row>
        <row r="227">
          <cell r="A227">
            <v>4206</v>
          </cell>
          <cell r="T227">
            <v>0</v>
          </cell>
          <cell r="U227">
            <v>0</v>
          </cell>
        </row>
        <row r="228">
          <cell r="A228">
            <v>4207</v>
          </cell>
          <cell r="T228">
            <v>0</v>
          </cell>
          <cell r="U228">
            <v>0</v>
          </cell>
        </row>
        <row r="229">
          <cell r="A229">
            <v>4208</v>
          </cell>
          <cell r="T229">
            <v>0</v>
          </cell>
          <cell r="U229">
            <v>0</v>
          </cell>
        </row>
        <row r="230">
          <cell r="A230">
            <v>4209</v>
          </cell>
          <cell r="T230">
            <v>0</v>
          </cell>
          <cell r="U230">
            <v>0</v>
          </cell>
        </row>
        <row r="231">
          <cell r="A231">
            <v>4210</v>
          </cell>
          <cell r="T231">
            <v>0</v>
          </cell>
          <cell r="U231">
            <v>0</v>
          </cell>
        </row>
        <row r="232">
          <cell r="A232">
            <v>4211</v>
          </cell>
          <cell r="T232">
            <v>0</v>
          </cell>
          <cell r="U232">
            <v>0</v>
          </cell>
        </row>
        <row r="233">
          <cell r="A233">
            <v>4251</v>
          </cell>
          <cell r="T233">
            <v>0</v>
          </cell>
          <cell r="U233">
            <v>0</v>
          </cell>
        </row>
        <row r="234">
          <cell r="A234">
            <v>4252</v>
          </cell>
          <cell r="T234">
            <v>0</v>
          </cell>
          <cell r="U234">
            <v>0</v>
          </cell>
        </row>
        <row r="235">
          <cell r="A235">
            <v>4253</v>
          </cell>
          <cell r="T235">
            <v>0</v>
          </cell>
          <cell r="U235">
            <v>0</v>
          </cell>
        </row>
        <row r="236">
          <cell r="A236">
            <v>4254</v>
          </cell>
          <cell r="T236">
            <v>0</v>
          </cell>
          <cell r="U236">
            <v>0</v>
          </cell>
        </row>
        <row r="237">
          <cell r="A237">
            <v>4255</v>
          </cell>
          <cell r="T237">
            <v>0</v>
          </cell>
          <cell r="U237">
            <v>0</v>
          </cell>
        </row>
        <row r="238">
          <cell r="A238">
            <v>4256</v>
          </cell>
          <cell r="T238">
            <v>0</v>
          </cell>
          <cell r="U238">
            <v>0</v>
          </cell>
        </row>
        <row r="239">
          <cell r="A239">
            <v>4257</v>
          </cell>
          <cell r="T239">
            <v>0</v>
          </cell>
          <cell r="U239">
            <v>0</v>
          </cell>
        </row>
        <row r="240">
          <cell r="A240">
            <v>4301</v>
          </cell>
          <cell r="T240" t="str">
            <v>add_wingexp</v>
          </cell>
          <cell r="U240">
            <v>10</v>
          </cell>
        </row>
        <row r="241">
          <cell r="A241">
            <v>4302</v>
          </cell>
          <cell r="T241" t="str">
            <v>add_wingexp</v>
          </cell>
          <cell r="U241">
            <v>100</v>
          </cell>
        </row>
        <row r="242">
          <cell r="A242">
            <v>4303</v>
          </cell>
          <cell r="T242" t="str">
            <v>add_wingexp</v>
          </cell>
          <cell r="U242">
            <v>1000</v>
          </cell>
        </row>
        <row r="243">
          <cell r="A243">
            <v>4311</v>
          </cell>
          <cell r="T243">
            <v>0</v>
          </cell>
          <cell r="U243">
            <v>0</v>
          </cell>
        </row>
        <row r="244">
          <cell r="A244">
            <v>4312</v>
          </cell>
          <cell r="T244">
            <v>0</v>
          </cell>
          <cell r="U244">
            <v>0</v>
          </cell>
        </row>
        <row r="245">
          <cell r="A245">
            <v>4401</v>
          </cell>
          <cell r="T245" t="str">
            <v>add_dress</v>
          </cell>
          <cell r="U245">
            <v>1</v>
          </cell>
        </row>
        <row r="246">
          <cell r="A246">
            <v>4402</v>
          </cell>
          <cell r="T246" t="str">
            <v>add_dress</v>
          </cell>
          <cell r="U246">
            <v>2</v>
          </cell>
        </row>
        <row r="247">
          <cell r="A247">
            <v>4403</v>
          </cell>
          <cell r="T247" t="str">
            <v>add_dress</v>
          </cell>
          <cell r="U247">
            <v>3</v>
          </cell>
        </row>
        <row r="248">
          <cell r="A248">
            <v>4404</v>
          </cell>
          <cell r="T248" t="str">
            <v>add_dress</v>
          </cell>
          <cell r="U248">
            <v>4</v>
          </cell>
        </row>
        <row r="249">
          <cell r="A249">
            <v>4405</v>
          </cell>
          <cell r="T249" t="str">
            <v>add_dress</v>
          </cell>
          <cell r="U249">
            <v>5</v>
          </cell>
        </row>
        <row r="250">
          <cell r="A250">
            <v>4406</v>
          </cell>
          <cell r="T250" t="str">
            <v>add_dress</v>
          </cell>
          <cell r="U250">
            <v>6</v>
          </cell>
        </row>
        <row r="251">
          <cell r="A251">
            <v>4407</v>
          </cell>
          <cell r="T251" t="str">
            <v>add_dress</v>
          </cell>
          <cell r="U251">
            <v>7</v>
          </cell>
        </row>
        <row r="252">
          <cell r="A252">
            <v>4408</v>
          </cell>
          <cell r="T252" t="str">
            <v>add_dress</v>
          </cell>
          <cell r="U252">
            <v>8</v>
          </cell>
        </row>
        <row r="253">
          <cell r="A253">
            <v>4409</v>
          </cell>
          <cell r="T253" t="str">
            <v>add_dress</v>
          </cell>
          <cell r="U253">
            <v>9</v>
          </cell>
        </row>
        <row r="254">
          <cell r="A254">
            <v>4410</v>
          </cell>
          <cell r="T254" t="str">
            <v>add_dress</v>
          </cell>
          <cell r="U254">
            <v>10</v>
          </cell>
        </row>
        <row r="255">
          <cell r="A255">
            <v>4411</v>
          </cell>
          <cell r="T255" t="str">
            <v>add_dress</v>
          </cell>
          <cell r="U255">
            <v>11</v>
          </cell>
        </row>
        <row r="256">
          <cell r="A256">
            <v>4412</v>
          </cell>
          <cell r="T256" t="str">
            <v>add_dress</v>
          </cell>
          <cell r="U256">
            <v>12</v>
          </cell>
        </row>
        <row r="257">
          <cell r="A257">
            <v>4413</v>
          </cell>
          <cell r="T257" t="str">
            <v>add_dress</v>
          </cell>
          <cell r="U257">
            <v>13</v>
          </cell>
        </row>
        <row r="258">
          <cell r="A258">
            <v>4414</v>
          </cell>
          <cell r="T258" t="str">
            <v>add_dress</v>
          </cell>
          <cell r="U258">
            <v>14</v>
          </cell>
        </row>
        <row r="259">
          <cell r="A259">
            <v>4415</v>
          </cell>
          <cell r="T259" t="str">
            <v>add_dress</v>
          </cell>
          <cell r="U259">
            <v>15</v>
          </cell>
        </row>
        <row r="260">
          <cell r="A260">
            <v>4416</v>
          </cell>
          <cell r="T260" t="str">
            <v>add_dress</v>
          </cell>
          <cell r="U260">
            <v>16</v>
          </cell>
        </row>
        <row r="261">
          <cell r="A261">
            <v>4417</v>
          </cell>
          <cell r="T261" t="str">
            <v>add_dress</v>
          </cell>
          <cell r="U261">
            <v>17</v>
          </cell>
        </row>
        <row r="262">
          <cell r="A262">
            <v>4418</v>
          </cell>
          <cell r="T262" t="str">
            <v>add_dress</v>
          </cell>
          <cell r="U262">
            <v>18</v>
          </cell>
        </row>
        <row r="263">
          <cell r="A263">
            <v>4419</v>
          </cell>
          <cell r="T263" t="str">
            <v>add_dress</v>
          </cell>
          <cell r="U263">
            <v>19</v>
          </cell>
        </row>
        <row r="264">
          <cell r="A264">
            <v>4420</v>
          </cell>
          <cell r="T264" t="str">
            <v>add_dress</v>
          </cell>
          <cell r="U264">
            <v>20</v>
          </cell>
        </row>
        <row r="265">
          <cell r="A265">
            <v>4421</v>
          </cell>
          <cell r="T265" t="str">
            <v>add_dress</v>
          </cell>
          <cell r="U265">
            <v>21</v>
          </cell>
        </row>
        <row r="266">
          <cell r="A266">
            <v>4422</v>
          </cell>
          <cell r="T266" t="str">
            <v>add_dress</v>
          </cell>
          <cell r="U266">
            <v>22</v>
          </cell>
        </row>
        <row r="267">
          <cell r="A267">
            <v>4423</v>
          </cell>
          <cell r="T267" t="str">
            <v>add_dress</v>
          </cell>
          <cell r="U267">
            <v>23</v>
          </cell>
        </row>
        <row r="268">
          <cell r="A268">
            <v>4424</v>
          </cell>
          <cell r="T268" t="str">
            <v>add_dress</v>
          </cell>
          <cell r="U268">
            <v>24</v>
          </cell>
        </row>
        <row r="269">
          <cell r="A269">
            <v>4425</v>
          </cell>
          <cell r="T269" t="str">
            <v>add_dress</v>
          </cell>
          <cell r="U269">
            <v>25</v>
          </cell>
        </row>
        <row r="270">
          <cell r="A270">
            <v>4426</v>
          </cell>
          <cell r="T270" t="str">
            <v>add_dress</v>
          </cell>
          <cell r="U270">
            <v>26</v>
          </cell>
        </row>
        <row r="271">
          <cell r="A271">
            <v>4427</v>
          </cell>
          <cell r="T271" t="str">
            <v>add_dress</v>
          </cell>
          <cell r="U271">
            <v>27</v>
          </cell>
        </row>
        <row r="272">
          <cell r="A272">
            <v>4428</v>
          </cell>
          <cell r="T272" t="str">
            <v>add_dress</v>
          </cell>
          <cell r="U272">
            <v>28</v>
          </cell>
        </row>
        <row r="273">
          <cell r="A273">
            <v>44010</v>
          </cell>
          <cell r="T273">
            <v>0</v>
          </cell>
          <cell r="U273">
            <v>0</v>
          </cell>
        </row>
        <row r="274">
          <cell r="A274">
            <v>44020</v>
          </cell>
          <cell r="T274">
            <v>0</v>
          </cell>
          <cell r="U274">
            <v>0</v>
          </cell>
        </row>
        <row r="275">
          <cell r="A275">
            <v>44030</v>
          </cell>
          <cell r="T275">
            <v>0</v>
          </cell>
          <cell r="U275">
            <v>0</v>
          </cell>
        </row>
        <row r="276">
          <cell r="A276">
            <v>44040</v>
          </cell>
          <cell r="T276">
            <v>0</v>
          </cell>
          <cell r="U276">
            <v>0</v>
          </cell>
        </row>
        <row r="277">
          <cell r="A277">
            <v>44050</v>
          </cell>
          <cell r="T277">
            <v>0</v>
          </cell>
          <cell r="U277">
            <v>0</v>
          </cell>
        </row>
        <row r="278">
          <cell r="A278">
            <v>44060</v>
          </cell>
          <cell r="T278">
            <v>0</v>
          </cell>
          <cell r="U278">
            <v>0</v>
          </cell>
        </row>
        <row r="279">
          <cell r="A279">
            <v>44070</v>
          </cell>
          <cell r="T279">
            <v>0</v>
          </cell>
          <cell r="U279">
            <v>0</v>
          </cell>
        </row>
        <row r="280">
          <cell r="A280">
            <v>44080</v>
          </cell>
          <cell r="T280">
            <v>0</v>
          </cell>
          <cell r="U280">
            <v>0</v>
          </cell>
        </row>
        <row r="281">
          <cell r="A281">
            <v>44090</v>
          </cell>
          <cell r="T281">
            <v>0</v>
          </cell>
          <cell r="U281">
            <v>0</v>
          </cell>
        </row>
        <row r="282">
          <cell r="A282">
            <v>44100</v>
          </cell>
          <cell r="T282">
            <v>0</v>
          </cell>
          <cell r="U282">
            <v>0</v>
          </cell>
        </row>
        <row r="283">
          <cell r="A283">
            <v>44110</v>
          </cell>
          <cell r="T283">
            <v>0</v>
          </cell>
          <cell r="U283">
            <v>0</v>
          </cell>
        </row>
        <row r="284">
          <cell r="A284">
            <v>44120</v>
          </cell>
          <cell r="T284">
            <v>0</v>
          </cell>
          <cell r="U284">
            <v>0</v>
          </cell>
        </row>
        <row r="285">
          <cell r="A285">
            <v>44130</v>
          </cell>
          <cell r="T285">
            <v>0</v>
          </cell>
          <cell r="U285">
            <v>0</v>
          </cell>
        </row>
        <row r="286">
          <cell r="A286">
            <v>44140</v>
          </cell>
          <cell r="T286">
            <v>0</v>
          </cell>
          <cell r="U286">
            <v>0</v>
          </cell>
        </row>
        <row r="287">
          <cell r="A287">
            <v>44150</v>
          </cell>
          <cell r="T287">
            <v>0</v>
          </cell>
          <cell r="U287">
            <v>0</v>
          </cell>
        </row>
        <row r="288">
          <cell r="A288">
            <v>44160</v>
          </cell>
          <cell r="T288">
            <v>0</v>
          </cell>
          <cell r="U288">
            <v>0</v>
          </cell>
        </row>
        <row r="289">
          <cell r="A289">
            <v>44170</v>
          </cell>
          <cell r="T289">
            <v>0</v>
          </cell>
          <cell r="U289">
            <v>0</v>
          </cell>
        </row>
        <row r="290">
          <cell r="A290">
            <v>44180</v>
          </cell>
          <cell r="T290">
            <v>0</v>
          </cell>
          <cell r="U290">
            <v>0</v>
          </cell>
        </row>
        <row r="291">
          <cell r="A291">
            <v>44190</v>
          </cell>
          <cell r="T291">
            <v>0</v>
          </cell>
          <cell r="U291">
            <v>0</v>
          </cell>
        </row>
        <row r="292">
          <cell r="A292">
            <v>44200</v>
          </cell>
          <cell r="T292">
            <v>0</v>
          </cell>
          <cell r="U292">
            <v>0</v>
          </cell>
        </row>
        <row r="293">
          <cell r="A293">
            <v>44210</v>
          </cell>
          <cell r="T293">
            <v>0</v>
          </cell>
          <cell r="U293">
            <v>0</v>
          </cell>
        </row>
        <row r="294">
          <cell r="A294">
            <v>44220</v>
          </cell>
          <cell r="T294">
            <v>0</v>
          </cell>
          <cell r="U294">
            <v>0</v>
          </cell>
        </row>
        <row r="295">
          <cell r="A295">
            <v>44230</v>
          </cell>
          <cell r="T295">
            <v>0</v>
          </cell>
          <cell r="U295">
            <v>0</v>
          </cell>
        </row>
        <row r="296">
          <cell r="A296">
            <v>44240</v>
          </cell>
          <cell r="T296">
            <v>0</v>
          </cell>
          <cell r="U296">
            <v>0</v>
          </cell>
        </row>
        <row r="297">
          <cell r="A297">
            <v>44250</v>
          </cell>
          <cell r="T297">
            <v>0</v>
          </cell>
          <cell r="U297">
            <v>0</v>
          </cell>
        </row>
        <row r="298">
          <cell r="A298">
            <v>44260</v>
          </cell>
          <cell r="T298">
            <v>0</v>
          </cell>
          <cell r="U298">
            <v>0</v>
          </cell>
        </row>
        <row r="299">
          <cell r="A299">
            <v>44270</v>
          </cell>
          <cell r="T299">
            <v>0</v>
          </cell>
          <cell r="U299">
            <v>0</v>
          </cell>
        </row>
        <row r="300">
          <cell r="A300">
            <v>44280</v>
          </cell>
          <cell r="T300">
            <v>0</v>
          </cell>
          <cell r="U300">
            <v>0</v>
          </cell>
        </row>
        <row r="301">
          <cell r="A301">
            <v>25000</v>
          </cell>
          <cell r="T301">
            <v>0</v>
          </cell>
          <cell r="U301">
            <v>0</v>
          </cell>
        </row>
        <row r="302">
          <cell r="A302">
            <v>25001</v>
          </cell>
          <cell r="T302">
            <v>0</v>
          </cell>
          <cell r="U302">
            <v>0</v>
          </cell>
        </row>
        <row r="303">
          <cell r="A303">
            <v>25002</v>
          </cell>
          <cell r="T303">
            <v>0</v>
          </cell>
          <cell r="U303">
            <v>0</v>
          </cell>
        </row>
        <row r="304">
          <cell r="A304">
            <v>25003</v>
          </cell>
          <cell r="T304">
            <v>0</v>
          </cell>
          <cell r="U304">
            <v>0</v>
          </cell>
        </row>
        <row r="305">
          <cell r="A305">
            <v>25004</v>
          </cell>
          <cell r="T305">
            <v>0</v>
          </cell>
          <cell r="U305">
            <v>0</v>
          </cell>
        </row>
        <row r="306">
          <cell r="A306">
            <v>25005</v>
          </cell>
          <cell r="T306">
            <v>0</v>
          </cell>
          <cell r="U306">
            <v>0</v>
          </cell>
        </row>
        <row r="307">
          <cell r="A307">
            <v>25006</v>
          </cell>
          <cell r="T307">
            <v>0</v>
          </cell>
          <cell r="U307">
            <v>0</v>
          </cell>
        </row>
        <row r="308">
          <cell r="A308">
            <v>25007</v>
          </cell>
          <cell r="T308">
            <v>0</v>
          </cell>
          <cell r="U308">
            <v>0</v>
          </cell>
        </row>
        <row r="309">
          <cell r="A309">
            <v>25008</v>
          </cell>
          <cell r="T309">
            <v>0</v>
          </cell>
          <cell r="U309">
            <v>0</v>
          </cell>
        </row>
        <row r="310">
          <cell r="A310">
            <v>25009</v>
          </cell>
          <cell r="T310">
            <v>0</v>
          </cell>
          <cell r="U310">
            <v>0</v>
          </cell>
        </row>
        <row r="311">
          <cell r="A311">
            <v>25010</v>
          </cell>
          <cell r="T311">
            <v>0</v>
          </cell>
          <cell r="U311">
            <v>0</v>
          </cell>
        </row>
        <row r="312">
          <cell r="A312">
            <v>25011</v>
          </cell>
          <cell r="T312">
            <v>0</v>
          </cell>
          <cell r="U312">
            <v>0</v>
          </cell>
        </row>
        <row r="313">
          <cell r="A313">
            <v>25012</v>
          </cell>
          <cell r="T313">
            <v>0</v>
          </cell>
          <cell r="U313">
            <v>0</v>
          </cell>
        </row>
        <row r="314">
          <cell r="A314">
            <v>25013</v>
          </cell>
          <cell r="T314">
            <v>0</v>
          </cell>
          <cell r="U314">
            <v>0</v>
          </cell>
        </row>
        <row r="315">
          <cell r="A315">
            <v>25014</v>
          </cell>
          <cell r="T315">
            <v>0</v>
          </cell>
          <cell r="U315">
            <v>0</v>
          </cell>
        </row>
        <row r="316">
          <cell r="A316">
            <v>25015</v>
          </cell>
          <cell r="T316">
            <v>0</v>
          </cell>
          <cell r="U316">
            <v>0</v>
          </cell>
        </row>
        <row r="317">
          <cell r="A317">
            <v>25016</v>
          </cell>
          <cell r="T317">
            <v>0</v>
          </cell>
          <cell r="U317">
            <v>0</v>
          </cell>
        </row>
        <row r="318">
          <cell r="A318">
            <v>25017</v>
          </cell>
          <cell r="T318">
            <v>0</v>
          </cell>
          <cell r="U318">
            <v>0</v>
          </cell>
        </row>
        <row r="319">
          <cell r="A319">
            <v>25018</v>
          </cell>
          <cell r="T319">
            <v>0</v>
          </cell>
          <cell r="U319">
            <v>0</v>
          </cell>
        </row>
        <row r="320">
          <cell r="A320">
            <v>25019</v>
          </cell>
          <cell r="T320">
            <v>0</v>
          </cell>
          <cell r="U320">
            <v>0</v>
          </cell>
        </row>
        <row r="321">
          <cell r="A321">
            <v>25020</v>
          </cell>
          <cell r="T321">
            <v>0</v>
          </cell>
          <cell r="U321">
            <v>0</v>
          </cell>
        </row>
        <row r="322">
          <cell r="A322">
            <v>25021</v>
          </cell>
          <cell r="T322">
            <v>0</v>
          </cell>
          <cell r="U322">
            <v>0</v>
          </cell>
        </row>
        <row r="323">
          <cell r="A323">
            <v>25022</v>
          </cell>
          <cell r="T323">
            <v>0</v>
          </cell>
          <cell r="U323">
            <v>0</v>
          </cell>
        </row>
        <row r="324">
          <cell r="A324">
            <v>25023</v>
          </cell>
          <cell r="T324">
            <v>0</v>
          </cell>
          <cell r="U324">
            <v>0</v>
          </cell>
        </row>
        <row r="325">
          <cell r="A325">
            <v>25024</v>
          </cell>
          <cell r="T325">
            <v>0</v>
          </cell>
          <cell r="U325">
            <v>0</v>
          </cell>
        </row>
        <row r="326">
          <cell r="A326">
            <v>25025</v>
          </cell>
          <cell r="T326">
            <v>0</v>
          </cell>
          <cell r="U326">
            <v>0</v>
          </cell>
        </row>
        <row r="327">
          <cell r="A327">
            <v>25026</v>
          </cell>
          <cell r="T327">
            <v>0</v>
          </cell>
          <cell r="U327">
            <v>0</v>
          </cell>
        </row>
        <row r="328">
          <cell r="A328">
            <v>25027</v>
          </cell>
          <cell r="T328">
            <v>0</v>
          </cell>
          <cell r="U328">
            <v>0</v>
          </cell>
        </row>
        <row r="329">
          <cell r="A329">
            <v>25028</v>
          </cell>
          <cell r="T329">
            <v>0</v>
          </cell>
          <cell r="U329">
            <v>0</v>
          </cell>
        </row>
        <row r="330">
          <cell r="A330">
            <v>25029</v>
          </cell>
          <cell r="T330">
            <v>0</v>
          </cell>
          <cell r="U330">
            <v>0</v>
          </cell>
        </row>
        <row r="331">
          <cell r="A331">
            <v>25030</v>
          </cell>
          <cell r="T331">
            <v>0</v>
          </cell>
          <cell r="U331">
            <v>0</v>
          </cell>
        </row>
        <row r="332">
          <cell r="A332">
            <v>25031</v>
          </cell>
          <cell r="T332">
            <v>0</v>
          </cell>
          <cell r="U332">
            <v>0</v>
          </cell>
        </row>
        <row r="333">
          <cell r="A333">
            <v>25032</v>
          </cell>
          <cell r="T333">
            <v>0</v>
          </cell>
          <cell r="U333">
            <v>0</v>
          </cell>
        </row>
        <row r="334">
          <cell r="A334">
            <v>25033</v>
          </cell>
          <cell r="T334">
            <v>0</v>
          </cell>
          <cell r="U334">
            <v>0</v>
          </cell>
        </row>
        <row r="335">
          <cell r="A335">
            <v>25034</v>
          </cell>
          <cell r="T335">
            <v>0</v>
          </cell>
          <cell r="U335">
            <v>0</v>
          </cell>
        </row>
        <row r="336">
          <cell r="A336">
            <v>25035</v>
          </cell>
          <cell r="T336">
            <v>0</v>
          </cell>
          <cell r="U336">
            <v>0</v>
          </cell>
        </row>
        <row r="337">
          <cell r="A337">
            <v>25036</v>
          </cell>
          <cell r="T337">
            <v>0</v>
          </cell>
          <cell r="U337">
            <v>0</v>
          </cell>
        </row>
        <row r="338">
          <cell r="A338">
            <v>25037</v>
          </cell>
          <cell r="T338">
            <v>0</v>
          </cell>
          <cell r="U338">
            <v>0</v>
          </cell>
        </row>
        <row r="339">
          <cell r="A339">
            <v>25038</v>
          </cell>
          <cell r="T339">
            <v>0</v>
          </cell>
          <cell r="U339">
            <v>0</v>
          </cell>
        </row>
        <row r="340">
          <cell r="A340">
            <v>25039</v>
          </cell>
          <cell r="T340">
            <v>0</v>
          </cell>
          <cell r="U340">
            <v>0</v>
          </cell>
        </row>
        <row r="341">
          <cell r="A341">
            <v>25040</v>
          </cell>
          <cell r="T341">
            <v>0</v>
          </cell>
          <cell r="U341">
            <v>0</v>
          </cell>
        </row>
        <row r="342">
          <cell r="A342">
            <v>25041</v>
          </cell>
          <cell r="T342">
            <v>0</v>
          </cell>
          <cell r="U342">
            <v>0</v>
          </cell>
        </row>
        <row r="343">
          <cell r="A343">
            <v>25042</v>
          </cell>
          <cell r="T343">
            <v>0</v>
          </cell>
          <cell r="U343">
            <v>0</v>
          </cell>
        </row>
        <row r="344">
          <cell r="A344">
            <v>25043</v>
          </cell>
          <cell r="T344">
            <v>0</v>
          </cell>
          <cell r="U344">
            <v>0</v>
          </cell>
        </row>
        <row r="345">
          <cell r="A345">
            <v>25044</v>
          </cell>
          <cell r="T345">
            <v>0</v>
          </cell>
          <cell r="U345">
            <v>0</v>
          </cell>
        </row>
        <row r="346">
          <cell r="A346">
            <v>25045</v>
          </cell>
          <cell r="T346">
            <v>0</v>
          </cell>
          <cell r="U346">
            <v>0</v>
          </cell>
        </row>
        <row r="347">
          <cell r="A347">
            <v>25046</v>
          </cell>
          <cell r="T347">
            <v>0</v>
          </cell>
          <cell r="U347">
            <v>0</v>
          </cell>
        </row>
        <row r="348">
          <cell r="A348">
            <v>25047</v>
          </cell>
          <cell r="T348">
            <v>0</v>
          </cell>
          <cell r="U348">
            <v>0</v>
          </cell>
        </row>
        <row r="349">
          <cell r="A349">
            <v>25048</v>
          </cell>
          <cell r="T349">
            <v>0</v>
          </cell>
          <cell r="U349">
            <v>0</v>
          </cell>
        </row>
        <row r="350">
          <cell r="A350">
            <v>25049</v>
          </cell>
          <cell r="T350">
            <v>0</v>
          </cell>
          <cell r="U350">
            <v>0</v>
          </cell>
        </row>
        <row r="351">
          <cell r="A351">
            <v>25050</v>
          </cell>
          <cell r="T351">
            <v>0</v>
          </cell>
          <cell r="U351">
            <v>0</v>
          </cell>
        </row>
        <row r="352">
          <cell r="A352">
            <v>25051</v>
          </cell>
          <cell r="T352">
            <v>0</v>
          </cell>
          <cell r="U352">
            <v>0</v>
          </cell>
        </row>
        <row r="353">
          <cell r="A353">
            <v>25052</v>
          </cell>
          <cell r="T353">
            <v>0</v>
          </cell>
          <cell r="U353">
            <v>0</v>
          </cell>
        </row>
        <row r="354">
          <cell r="A354">
            <v>25053</v>
          </cell>
          <cell r="T354">
            <v>0</v>
          </cell>
          <cell r="U354">
            <v>0</v>
          </cell>
        </row>
        <row r="355">
          <cell r="A355">
            <v>25054</v>
          </cell>
          <cell r="T355">
            <v>0</v>
          </cell>
          <cell r="U355">
            <v>0</v>
          </cell>
        </row>
        <row r="356">
          <cell r="A356">
            <v>25055</v>
          </cell>
          <cell r="T356">
            <v>0</v>
          </cell>
          <cell r="U356">
            <v>0</v>
          </cell>
        </row>
        <row r="357">
          <cell r="A357">
            <v>25056</v>
          </cell>
          <cell r="T357">
            <v>0</v>
          </cell>
          <cell r="U357">
            <v>0</v>
          </cell>
        </row>
        <row r="358">
          <cell r="A358">
            <v>25057</v>
          </cell>
          <cell r="T358">
            <v>0</v>
          </cell>
          <cell r="U358">
            <v>0</v>
          </cell>
        </row>
        <row r="359">
          <cell r="A359">
            <v>25058</v>
          </cell>
          <cell r="T359">
            <v>0</v>
          </cell>
          <cell r="U359">
            <v>0</v>
          </cell>
        </row>
        <row r="360">
          <cell r="A360">
            <v>25059</v>
          </cell>
          <cell r="T360">
            <v>0</v>
          </cell>
          <cell r="U360">
            <v>0</v>
          </cell>
        </row>
        <row r="361">
          <cell r="A361">
            <v>25060</v>
          </cell>
          <cell r="T361">
            <v>0</v>
          </cell>
          <cell r="U361">
            <v>0</v>
          </cell>
        </row>
        <row r="362">
          <cell r="A362">
            <v>25061</v>
          </cell>
          <cell r="T362">
            <v>0</v>
          </cell>
          <cell r="U362">
            <v>0</v>
          </cell>
        </row>
        <row r="363">
          <cell r="A363">
            <v>25062</v>
          </cell>
          <cell r="T363">
            <v>0</v>
          </cell>
          <cell r="U363">
            <v>0</v>
          </cell>
        </row>
        <row r="364">
          <cell r="A364">
            <v>25063</v>
          </cell>
          <cell r="T364">
            <v>0</v>
          </cell>
          <cell r="U364">
            <v>0</v>
          </cell>
        </row>
        <row r="365">
          <cell r="A365">
            <v>25064</v>
          </cell>
          <cell r="T365">
            <v>0</v>
          </cell>
          <cell r="U365">
            <v>0</v>
          </cell>
        </row>
        <row r="366">
          <cell r="A366">
            <v>5988</v>
          </cell>
          <cell r="T366" t="str">
            <v>add_reward</v>
          </cell>
          <cell r="U366">
            <v>100000345</v>
          </cell>
        </row>
        <row r="367">
          <cell r="A367">
            <v>5989</v>
          </cell>
          <cell r="T367" t="str">
            <v>add_reward</v>
          </cell>
          <cell r="U367">
            <v>100000346</v>
          </cell>
        </row>
        <row r="368">
          <cell r="A368">
            <v>5990</v>
          </cell>
          <cell r="T368" t="str">
            <v>add_reward</v>
          </cell>
          <cell r="U368">
            <v>100000347</v>
          </cell>
        </row>
        <row r="369">
          <cell r="A369">
            <v>5991</v>
          </cell>
          <cell r="T369" t="str">
            <v>add_reward</v>
          </cell>
          <cell r="U369">
            <v>100000348</v>
          </cell>
        </row>
        <row r="370">
          <cell r="A370">
            <v>5992</v>
          </cell>
          <cell r="T370" t="str">
            <v>add_reward</v>
          </cell>
          <cell r="U370">
            <v>100000349</v>
          </cell>
        </row>
        <row r="371">
          <cell r="A371">
            <v>5993</v>
          </cell>
          <cell r="T371" t="str">
            <v>add_reward</v>
          </cell>
          <cell r="U371">
            <v>100000350</v>
          </cell>
        </row>
        <row r="372">
          <cell r="A372">
            <v>5994</v>
          </cell>
          <cell r="T372" t="str">
            <v>add_reward</v>
          </cell>
          <cell r="U372">
            <v>100000351</v>
          </cell>
        </row>
        <row r="373">
          <cell r="A373">
            <v>5995</v>
          </cell>
          <cell r="T373" t="str">
            <v>add_reward</v>
          </cell>
          <cell r="U373">
            <v>100000352</v>
          </cell>
        </row>
        <row r="374">
          <cell r="A374">
            <v>5996</v>
          </cell>
          <cell r="T374" t="str">
            <v>add_reward</v>
          </cell>
          <cell r="U374">
            <v>100000353</v>
          </cell>
        </row>
        <row r="375">
          <cell r="A375">
            <v>5997</v>
          </cell>
          <cell r="T375" t="str">
            <v>add_reward</v>
          </cell>
          <cell r="U375">
            <v>100000354</v>
          </cell>
        </row>
        <row r="376">
          <cell r="A376">
            <v>9001</v>
          </cell>
          <cell r="T376">
            <v>0</v>
          </cell>
          <cell r="U376">
            <v>0</v>
          </cell>
        </row>
        <row r="377">
          <cell r="A377">
            <v>9002</v>
          </cell>
          <cell r="T377">
            <v>0</v>
          </cell>
          <cell r="U377">
            <v>0</v>
          </cell>
        </row>
        <row r="378">
          <cell r="A378">
            <v>9003</v>
          </cell>
          <cell r="T378">
            <v>0</v>
          </cell>
          <cell r="U378">
            <v>0</v>
          </cell>
        </row>
        <row r="379">
          <cell r="A379">
            <v>9004</v>
          </cell>
          <cell r="T379">
            <v>0</v>
          </cell>
          <cell r="U379">
            <v>0</v>
          </cell>
        </row>
        <row r="380">
          <cell r="A380">
            <v>9005</v>
          </cell>
          <cell r="T380">
            <v>0</v>
          </cell>
          <cell r="U380">
            <v>0</v>
          </cell>
        </row>
        <row r="381">
          <cell r="A381">
            <v>9006</v>
          </cell>
          <cell r="T381">
            <v>0</v>
          </cell>
          <cell r="U381">
            <v>0</v>
          </cell>
        </row>
        <row r="382">
          <cell r="A382">
            <v>9007</v>
          </cell>
          <cell r="T382">
            <v>0</v>
          </cell>
          <cell r="U382">
            <v>0</v>
          </cell>
        </row>
        <row r="383">
          <cell r="A383">
            <v>9008</v>
          </cell>
          <cell r="T383">
            <v>0</v>
          </cell>
          <cell r="U383">
            <v>0</v>
          </cell>
        </row>
        <row r="384">
          <cell r="A384">
            <v>9009</v>
          </cell>
          <cell r="T384">
            <v>0</v>
          </cell>
          <cell r="U384">
            <v>0</v>
          </cell>
        </row>
        <row r="385">
          <cell r="A385">
            <v>9010</v>
          </cell>
          <cell r="T385">
            <v>0</v>
          </cell>
          <cell r="U385">
            <v>0</v>
          </cell>
        </row>
        <row r="386">
          <cell r="A386">
            <v>9011</v>
          </cell>
          <cell r="T386">
            <v>0</v>
          </cell>
          <cell r="U386">
            <v>0</v>
          </cell>
        </row>
        <row r="387">
          <cell r="A387">
            <v>9012</v>
          </cell>
          <cell r="T387">
            <v>0</v>
          </cell>
          <cell r="U387">
            <v>0</v>
          </cell>
        </row>
        <row r="388">
          <cell r="A388">
            <v>9013</v>
          </cell>
          <cell r="T388">
            <v>0</v>
          </cell>
          <cell r="U388">
            <v>0</v>
          </cell>
        </row>
        <row r="389">
          <cell r="A389">
            <v>9014</v>
          </cell>
          <cell r="T389">
            <v>0</v>
          </cell>
          <cell r="U389">
            <v>0</v>
          </cell>
        </row>
        <row r="390">
          <cell r="A390">
            <v>9015</v>
          </cell>
          <cell r="T390">
            <v>0</v>
          </cell>
          <cell r="U390">
            <v>0</v>
          </cell>
        </row>
        <row r="391">
          <cell r="A391">
            <v>9016</v>
          </cell>
          <cell r="T391">
            <v>0</v>
          </cell>
          <cell r="U391">
            <v>0</v>
          </cell>
        </row>
        <row r="392">
          <cell r="A392">
            <v>9017</v>
          </cell>
          <cell r="T392">
            <v>0</v>
          </cell>
          <cell r="U392">
            <v>0</v>
          </cell>
        </row>
        <row r="393">
          <cell r="A393">
            <v>9018</v>
          </cell>
          <cell r="T393">
            <v>0</v>
          </cell>
          <cell r="U393">
            <v>0</v>
          </cell>
        </row>
        <row r="394">
          <cell r="A394">
            <v>9019</v>
          </cell>
          <cell r="T394">
            <v>0</v>
          </cell>
          <cell r="U394">
            <v>0</v>
          </cell>
        </row>
        <row r="395">
          <cell r="A395">
            <v>9020</v>
          </cell>
          <cell r="T395">
            <v>0</v>
          </cell>
          <cell r="U395">
            <v>0</v>
          </cell>
        </row>
        <row r="396">
          <cell r="A396">
            <v>9021</v>
          </cell>
          <cell r="T396">
            <v>0</v>
          </cell>
          <cell r="U396">
            <v>0</v>
          </cell>
        </row>
        <row r="397">
          <cell r="A397">
            <v>9022</v>
          </cell>
          <cell r="T397">
            <v>0</v>
          </cell>
          <cell r="U397">
            <v>0</v>
          </cell>
        </row>
        <row r="398">
          <cell r="A398">
            <v>9023</v>
          </cell>
          <cell r="T398">
            <v>0</v>
          </cell>
          <cell r="U398">
            <v>0</v>
          </cell>
        </row>
        <row r="399">
          <cell r="A399">
            <v>9024</v>
          </cell>
          <cell r="T399">
            <v>0</v>
          </cell>
          <cell r="U399">
            <v>0</v>
          </cell>
        </row>
        <row r="400">
          <cell r="A400">
            <v>9025</v>
          </cell>
          <cell r="T400">
            <v>0</v>
          </cell>
          <cell r="U400">
            <v>0</v>
          </cell>
        </row>
        <row r="401">
          <cell r="A401">
            <v>9026</v>
          </cell>
          <cell r="T401">
            <v>0</v>
          </cell>
          <cell r="U401">
            <v>0</v>
          </cell>
        </row>
        <row r="402">
          <cell r="A402">
            <v>9027</v>
          </cell>
          <cell r="T402">
            <v>0</v>
          </cell>
          <cell r="U402">
            <v>0</v>
          </cell>
        </row>
        <row r="403">
          <cell r="A403">
            <v>9028</v>
          </cell>
          <cell r="T403">
            <v>0</v>
          </cell>
          <cell r="U403">
            <v>0</v>
          </cell>
        </row>
        <row r="404">
          <cell r="A404">
            <v>9029</v>
          </cell>
          <cell r="T404">
            <v>0</v>
          </cell>
          <cell r="U404">
            <v>0</v>
          </cell>
        </row>
        <row r="405">
          <cell r="A405">
            <v>9030</v>
          </cell>
          <cell r="T405">
            <v>0</v>
          </cell>
          <cell r="U405">
            <v>0</v>
          </cell>
        </row>
        <row r="406">
          <cell r="A406">
            <v>9031</v>
          </cell>
          <cell r="T406">
            <v>0</v>
          </cell>
          <cell r="U406">
            <v>0</v>
          </cell>
        </row>
        <row r="407">
          <cell r="A407">
            <v>9032</v>
          </cell>
          <cell r="T407">
            <v>0</v>
          </cell>
          <cell r="U407">
            <v>0</v>
          </cell>
        </row>
        <row r="408">
          <cell r="A408">
            <v>9033</v>
          </cell>
          <cell r="T408">
            <v>0</v>
          </cell>
          <cell r="U408">
            <v>0</v>
          </cell>
        </row>
        <row r="409">
          <cell r="A409">
            <v>9034</v>
          </cell>
          <cell r="T409">
            <v>0</v>
          </cell>
          <cell r="U409">
            <v>0</v>
          </cell>
        </row>
        <row r="410">
          <cell r="A410">
            <v>9035</v>
          </cell>
          <cell r="T410">
            <v>0</v>
          </cell>
          <cell r="U410">
            <v>0</v>
          </cell>
        </row>
        <row r="411">
          <cell r="A411">
            <v>9036</v>
          </cell>
          <cell r="T411">
            <v>0</v>
          </cell>
          <cell r="U411">
            <v>0</v>
          </cell>
        </row>
        <row r="412">
          <cell r="A412">
            <v>9037</v>
          </cell>
          <cell r="T412">
            <v>0</v>
          </cell>
          <cell r="U412">
            <v>0</v>
          </cell>
        </row>
        <row r="413">
          <cell r="A413">
            <v>9038</v>
          </cell>
          <cell r="T413">
            <v>0</v>
          </cell>
          <cell r="U413">
            <v>0</v>
          </cell>
        </row>
        <row r="414">
          <cell r="A414">
            <v>9039</v>
          </cell>
          <cell r="T414">
            <v>0</v>
          </cell>
          <cell r="U414">
            <v>0</v>
          </cell>
        </row>
        <row r="415">
          <cell r="A415">
            <v>9040</v>
          </cell>
          <cell r="T415">
            <v>0</v>
          </cell>
          <cell r="U415">
            <v>0</v>
          </cell>
        </row>
        <row r="416">
          <cell r="A416">
            <v>9041</v>
          </cell>
          <cell r="T416">
            <v>0</v>
          </cell>
          <cell r="U416">
            <v>0</v>
          </cell>
        </row>
        <row r="417">
          <cell r="A417">
            <v>9042</v>
          </cell>
          <cell r="T417">
            <v>0</v>
          </cell>
          <cell r="U417">
            <v>0</v>
          </cell>
        </row>
        <row r="418">
          <cell r="A418">
            <v>9043</v>
          </cell>
          <cell r="T418">
            <v>0</v>
          </cell>
          <cell r="U418">
            <v>0</v>
          </cell>
        </row>
        <row r="419">
          <cell r="A419">
            <v>9044</v>
          </cell>
          <cell r="T419">
            <v>0</v>
          </cell>
          <cell r="U419">
            <v>0</v>
          </cell>
        </row>
        <row r="420">
          <cell r="A420">
            <v>9045</v>
          </cell>
          <cell r="T420">
            <v>0</v>
          </cell>
          <cell r="U420">
            <v>0</v>
          </cell>
        </row>
        <row r="421">
          <cell r="A421">
            <v>9046</v>
          </cell>
          <cell r="T421">
            <v>0</v>
          </cell>
          <cell r="U421">
            <v>0</v>
          </cell>
        </row>
        <row r="422">
          <cell r="A422">
            <v>9047</v>
          </cell>
          <cell r="T422">
            <v>0</v>
          </cell>
          <cell r="U422">
            <v>0</v>
          </cell>
        </row>
        <row r="423">
          <cell r="A423">
            <v>9048</v>
          </cell>
          <cell r="T423">
            <v>0</v>
          </cell>
          <cell r="U423">
            <v>0</v>
          </cell>
        </row>
        <row r="424">
          <cell r="A424">
            <v>9049</v>
          </cell>
          <cell r="T424">
            <v>0</v>
          </cell>
          <cell r="U424">
            <v>0</v>
          </cell>
        </row>
        <row r="425">
          <cell r="A425">
            <v>9050</v>
          </cell>
          <cell r="T425">
            <v>0</v>
          </cell>
          <cell r="U425">
            <v>0</v>
          </cell>
        </row>
        <row r="426">
          <cell r="A426">
            <v>9051</v>
          </cell>
          <cell r="T426">
            <v>0</v>
          </cell>
          <cell r="U426">
            <v>0</v>
          </cell>
        </row>
        <row r="427">
          <cell r="A427">
            <v>9052</v>
          </cell>
          <cell r="T427">
            <v>0</v>
          </cell>
          <cell r="U427">
            <v>0</v>
          </cell>
        </row>
        <row r="428">
          <cell r="A428">
            <v>10001</v>
          </cell>
          <cell r="T428">
            <v>0</v>
          </cell>
          <cell r="U428">
            <v>0</v>
          </cell>
        </row>
        <row r="429">
          <cell r="A429">
            <v>10002</v>
          </cell>
          <cell r="T429">
            <v>0</v>
          </cell>
          <cell r="U429">
            <v>0</v>
          </cell>
        </row>
        <row r="430">
          <cell r="A430">
            <v>10003</v>
          </cell>
          <cell r="T430">
            <v>0</v>
          </cell>
          <cell r="U430">
            <v>0</v>
          </cell>
        </row>
        <row r="431">
          <cell r="A431">
            <v>10004</v>
          </cell>
          <cell r="T431">
            <v>0</v>
          </cell>
          <cell r="U431">
            <v>0</v>
          </cell>
        </row>
        <row r="432">
          <cell r="A432">
            <v>10005</v>
          </cell>
          <cell r="T432">
            <v>0</v>
          </cell>
          <cell r="U432">
            <v>0</v>
          </cell>
        </row>
        <row r="433">
          <cell r="A433">
            <v>10006</v>
          </cell>
          <cell r="T433">
            <v>0</v>
          </cell>
          <cell r="U433">
            <v>0</v>
          </cell>
        </row>
        <row r="434">
          <cell r="A434">
            <v>10007</v>
          </cell>
          <cell r="T434">
            <v>0</v>
          </cell>
          <cell r="U434">
            <v>0</v>
          </cell>
        </row>
        <row r="435">
          <cell r="A435">
            <v>10008</v>
          </cell>
          <cell r="T435">
            <v>0</v>
          </cell>
          <cell r="U435">
            <v>0</v>
          </cell>
        </row>
        <row r="436">
          <cell r="A436">
            <v>10009</v>
          </cell>
          <cell r="T436">
            <v>0</v>
          </cell>
          <cell r="U436">
            <v>0</v>
          </cell>
        </row>
        <row r="437">
          <cell r="A437">
            <v>10010</v>
          </cell>
          <cell r="T437">
            <v>0</v>
          </cell>
          <cell r="U437">
            <v>0</v>
          </cell>
        </row>
        <row r="438">
          <cell r="A438">
            <v>10011</v>
          </cell>
          <cell r="T438">
            <v>0</v>
          </cell>
          <cell r="U438">
            <v>0</v>
          </cell>
        </row>
        <row r="439">
          <cell r="A439">
            <v>10012</v>
          </cell>
          <cell r="T439">
            <v>0</v>
          </cell>
          <cell r="U439">
            <v>0</v>
          </cell>
        </row>
        <row r="440">
          <cell r="A440">
            <v>10013</v>
          </cell>
          <cell r="T440">
            <v>0</v>
          </cell>
          <cell r="U440">
            <v>0</v>
          </cell>
        </row>
        <row r="441">
          <cell r="A441">
            <v>10014</v>
          </cell>
          <cell r="T441">
            <v>0</v>
          </cell>
          <cell r="U441">
            <v>0</v>
          </cell>
        </row>
        <row r="442">
          <cell r="A442">
            <v>10015</v>
          </cell>
          <cell r="T442">
            <v>0</v>
          </cell>
          <cell r="U442">
            <v>0</v>
          </cell>
        </row>
        <row r="443">
          <cell r="A443">
            <v>10016</v>
          </cell>
          <cell r="T443">
            <v>0</v>
          </cell>
          <cell r="U443">
            <v>0</v>
          </cell>
        </row>
        <row r="444">
          <cell r="A444">
            <v>10017</v>
          </cell>
          <cell r="T444">
            <v>0</v>
          </cell>
          <cell r="U444">
            <v>0</v>
          </cell>
        </row>
        <row r="445">
          <cell r="A445">
            <v>10018</v>
          </cell>
          <cell r="T445">
            <v>0</v>
          </cell>
          <cell r="U445">
            <v>0</v>
          </cell>
        </row>
        <row r="446">
          <cell r="A446">
            <v>10019</v>
          </cell>
          <cell r="T446">
            <v>0</v>
          </cell>
          <cell r="U446">
            <v>0</v>
          </cell>
        </row>
        <row r="447">
          <cell r="A447">
            <v>10020</v>
          </cell>
          <cell r="T447">
            <v>0</v>
          </cell>
          <cell r="U447">
            <v>0</v>
          </cell>
        </row>
        <row r="448">
          <cell r="A448">
            <v>10021</v>
          </cell>
          <cell r="T448">
            <v>0</v>
          </cell>
          <cell r="U448">
            <v>0</v>
          </cell>
        </row>
        <row r="449">
          <cell r="A449">
            <v>10022</v>
          </cell>
          <cell r="T449">
            <v>0</v>
          </cell>
          <cell r="U449">
            <v>0</v>
          </cell>
        </row>
        <row r="450">
          <cell r="A450">
            <v>10023</v>
          </cell>
          <cell r="T450">
            <v>0</v>
          </cell>
          <cell r="U450">
            <v>0</v>
          </cell>
        </row>
        <row r="451">
          <cell r="A451">
            <v>10024</v>
          </cell>
          <cell r="T451">
            <v>0</v>
          </cell>
          <cell r="U451">
            <v>0</v>
          </cell>
        </row>
        <row r="452">
          <cell r="A452">
            <v>10025</v>
          </cell>
          <cell r="T452">
            <v>0</v>
          </cell>
          <cell r="U452">
            <v>0</v>
          </cell>
        </row>
        <row r="453">
          <cell r="A453">
            <v>10026</v>
          </cell>
          <cell r="T453">
            <v>0</v>
          </cell>
          <cell r="U453">
            <v>0</v>
          </cell>
        </row>
        <row r="454">
          <cell r="A454">
            <v>10027</v>
          </cell>
          <cell r="T454">
            <v>0</v>
          </cell>
          <cell r="U454">
            <v>0</v>
          </cell>
        </row>
        <row r="455">
          <cell r="A455">
            <v>10028</v>
          </cell>
          <cell r="T455">
            <v>0</v>
          </cell>
          <cell r="U455">
            <v>0</v>
          </cell>
        </row>
        <row r="456">
          <cell r="A456">
            <v>10029</v>
          </cell>
          <cell r="T456">
            <v>0</v>
          </cell>
          <cell r="U456">
            <v>0</v>
          </cell>
        </row>
        <row r="457">
          <cell r="A457">
            <v>10030</v>
          </cell>
          <cell r="T457">
            <v>0</v>
          </cell>
          <cell r="U457">
            <v>0</v>
          </cell>
        </row>
        <row r="458">
          <cell r="A458">
            <v>11001</v>
          </cell>
          <cell r="T458">
            <v>0</v>
          </cell>
          <cell r="U458">
            <v>0</v>
          </cell>
        </row>
        <row r="459">
          <cell r="A459">
            <v>11002</v>
          </cell>
          <cell r="T459">
            <v>0</v>
          </cell>
          <cell r="U459">
            <v>0</v>
          </cell>
        </row>
        <row r="460">
          <cell r="A460">
            <v>11003</v>
          </cell>
          <cell r="T460">
            <v>0</v>
          </cell>
          <cell r="U460">
            <v>0</v>
          </cell>
        </row>
        <row r="461">
          <cell r="A461">
            <v>7001</v>
          </cell>
          <cell r="T461">
            <v>0</v>
          </cell>
          <cell r="U461">
            <v>0</v>
          </cell>
        </row>
        <row r="462">
          <cell r="A462">
            <v>7002</v>
          </cell>
          <cell r="T462">
            <v>0</v>
          </cell>
          <cell r="U462">
            <v>0</v>
          </cell>
        </row>
        <row r="463">
          <cell r="A463">
            <v>7003</v>
          </cell>
          <cell r="T463">
            <v>0</v>
          </cell>
          <cell r="U463">
            <v>0</v>
          </cell>
        </row>
        <row r="464">
          <cell r="A464">
            <v>7004</v>
          </cell>
          <cell r="T464">
            <v>0</v>
          </cell>
          <cell r="U464">
            <v>0</v>
          </cell>
        </row>
        <row r="465">
          <cell r="A465">
            <v>7005</v>
          </cell>
          <cell r="T465">
            <v>0</v>
          </cell>
          <cell r="U465">
            <v>0</v>
          </cell>
        </row>
        <row r="466">
          <cell r="A466">
            <v>7006</v>
          </cell>
          <cell r="T466">
            <v>0</v>
          </cell>
          <cell r="U466">
            <v>0</v>
          </cell>
        </row>
        <row r="467">
          <cell r="A467">
            <v>7007</v>
          </cell>
          <cell r="T467">
            <v>0</v>
          </cell>
          <cell r="U467">
            <v>0</v>
          </cell>
        </row>
        <row r="468">
          <cell r="A468">
            <v>12101</v>
          </cell>
          <cell r="T468">
            <v>0</v>
          </cell>
          <cell r="U468">
            <v>0</v>
          </cell>
        </row>
        <row r="469">
          <cell r="A469">
            <v>12102</v>
          </cell>
          <cell r="T469">
            <v>0</v>
          </cell>
          <cell r="U469">
            <v>0</v>
          </cell>
        </row>
        <row r="470">
          <cell r="A470">
            <v>12103</v>
          </cell>
          <cell r="T470">
            <v>0</v>
          </cell>
          <cell r="U470">
            <v>0</v>
          </cell>
        </row>
        <row r="471">
          <cell r="A471">
            <v>12104</v>
          </cell>
          <cell r="T471">
            <v>0</v>
          </cell>
          <cell r="U471">
            <v>0</v>
          </cell>
        </row>
        <row r="472">
          <cell r="A472">
            <v>12105</v>
          </cell>
          <cell r="T472">
            <v>0</v>
          </cell>
          <cell r="U472">
            <v>0</v>
          </cell>
        </row>
        <row r="473">
          <cell r="A473">
            <v>12106</v>
          </cell>
          <cell r="T473">
            <v>0</v>
          </cell>
          <cell r="U473">
            <v>0</v>
          </cell>
        </row>
        <row r="474">
          <cell r="A474">
            <v>13001</v>
          </cell>
          <cell r="T474">
            <v>0</v>
          </cell>
          <cell r="U474">
            <v>0</v>
          </cell>
        </row>
        <row r="475">
          <cell r="A475">
            <v>13002</v>
          </cell>
          <cell r="T475">
            <v>0</v>
          </cell>
          <cell r="U475">
            <v>0</v>
          </cell>
        </row>
        <row r="476">
          <cell r="A476">
            <v>13003</v>
          </cell>
          <cell r="T476">
            <v>0</v>
          </cell>
          <cell r="U476">
            <v>0</v>
          </cell>
        </row>
        <row r="477">
          <cell r="A477">
            <v>13004</v>
          </cell>
          <cell r="T477">
            <v>0</v>
          </cell>
          <cell r="U477">
            <v>0</v>
          </cell>
        </row>
        <row r="478">
          <cell r="A478">
            <v>13005</v>
          </cell>
          <cell r="T478">
            <v>0</v>
          </cell>
          <cell r="U478">
            <v>0</v>
          </cell>
        </row>
        <row r="479">
          <cell r="A479">
            <v>13014</v>
          </cell>
          <cell r="T479" t="str">
            <v>0</v>
          </cell>
          <cell r="U479">
            <v>0</v>
          </cell>
        </row>
        <row r="480">
          <cell r="A480">
            <v>5015</v>
          </cell>
          <cell r="T480" t="str">
            <v>add_heroexp</v>
          </cell>
          <cell r="U480">
            <v>500000</v>
          </cell>
        </row>
        <row r="481">
          <cell r="A481">
            <v>5016</v>
          </cell>
          <cell r="T481" t="str">
            <v>add_heroexp</v>
          </cell>
          <cell r="U481">
            <v>5000000</v>
          </cell>
        </row>
        <row r="482">
          <cell r="A482">
            <v>5017</v>
          </cell>
          <cell r="T482" t="str">
            <v>add_heroexp</v>
          </cell>
          <cell r="U482">
            <v>50000000</v>
          </cell>
        </row>
        <row r="483">
          <cell r="A483">
            <v>13009</v>
          </cell>
          <cell r="T483">
            <v>0</v>
          </cell>
          <cell r="U483">
            <v>0</v>
          </cell>
        </row>
        <row r="484">
          <cell r="A484">
            <v>13010</v>
          </cell>
          <cell r="T484">
            <v>0</v>
          </cell>
          <cell r="U484">
            <v>0</v>
          </cell>
        </row>
        <row r="485">
          <cell r="A485">
            <v>13011</v>
          </cell>
          <cell r="T485">
            <v>0</v>
          </cell>
          <cell r="U485">
            <v>0</v>
          </cell>
        </row>
        <row r="486">
          <cell r="A486">
            <v>14001</v>
          </cell>
          <cell r="T486">
            <v>0</v>
          </cell>
          <cell r="U486">
            <v>0</v>
          </cell>
        </row>
        <row r="487">
          <cell r="A487">
            <v>14002</v>
          </cell>
          <cell r="T487">
            <v>0</v>
          </cell>
          <cell r="U487">
            <v>0</v>
          </cell>
        </row>
        <row r="488">
          <cell r="A488">
            <v>14003</v>
          </cell>
          <cell r="T488">
            <v>0</v>
          </cell>
          <cell r="U488">
            <v>0</v>
          </cell>
        </row>
        <row r="489">
          <cell r="A489">
            <v>14004</v>
          </cell>
          <cell r="T489">
            <v>0</v>
          </cell>
          <cell r="U489">
            <v>0</v>
          </cell>
        </row>
        <row r="490">
          <cell r="A490">
            <v>14005</v>
          </cell>
          <cell r="T490">
            <v>0</v>
          </cell>
          <cell r="U490">
            <v>0</v>
          </cell>
        </row>
        <row r="491">
          <cell r="A491">
            <v>14006</v>
          </cell>
          <cell r="T491">
            <v>0</v>
          </cell>
          <cell r="U491">
            <v>0</v>
          </cell>
        </row>
        <row r="492">
          <cell r="A492">
            <v>14007</v>
          </cell>
          <cell r="T492">
            <v>0</v>
          </cell>
          <cell r="U492">
            <v>0</v>
          </cell>
        </row>
        <row r="493">
          <cell r="A493">
            <v>14008</v>
          </cell>
          <cell r="T493">
            <v>0</v>
          </cell>
          <cell r="U493">
            <v>0</v>
          </cell>
        </row>
        <row r="494">
          <cell r="A494">
            <v>14009</v>
          </cell>
          <cell r="T494">
            <v>0</v>
          </cell>
          <cell r="U494">
            <v>0</v>
          </cell>
        </row>
        <row r="495">
          <cell r="A495">
            <v>14010</v>
          </cell>
          <cell r="T495">
            <v>0</v>
          </cell>
          <cell r="U495">
            <v>0</v>
          </cell>
        </row>
        <row r="496">
          <cell r="A496">
            <v>14011</v>
          </cell>
          <cell r="T496">
            <v>0</v>
          </cell>
          <cell r="U496">
            <v>0</v>
          </cell>
        </row>
        <row r="497">
          <cell r="A497">
            <v>14012</v>
          </cell>
          <cell r="T497">
            <v>0</v>
          </cell>
          <cell r="U497">
            <v>0</v>
          </cell>
        </row>
        <row r="498">
          <cell r="A498">
            <v>14013</v>
          </cell>
          <cell r="T498">
            <v>0</v>
          </cell>
          <cell r="U498">
            <v>0</v>
          </cell>
        </row>
        <row r="499">
          <cell r="A499">
            <v>14014</v>
          </cell>
          <cell r="T499">
            <v>0</v>
          </cell>
          <cell r="U499">
            <v>0</v>
          </cell>
        </row>
        <row r="500">
          <cell r="A500">
            <v>14015</v>
          </cell>
          <cell r="T500">
            <v>0</v>
          </cell>
          <cell r="U500">
            <v>0</v>
          </cell>
        </row>
        <row r="501">
          <cell r="A501">
            <v>14016</v>
          </cell>
          <cell r="T501">
            <v>0</v>
          </cell>
          <cell r="U501">
            <v>0</v>
          </cell>
        </row>
        <row r="502">
          <cell r="A502">
            <v>14017</v>
          </cell>
          <cell r="T502">
            <v>0</v>
          </cell>
          <cell r="U502">
            <v>0</v>
          </cell>
        </row>
        <row r="503">
          <cell r="A503">
            <v>14018</v>
          </cell>
          <cell r="T503">
            <v>0</v>
          </cell>
          <cell r="U503">
            <v>0</v>
          </cell>
        </row>
        <row r="504">
          <cell r="A504">
            <v>14019</v>
          </cell>
          <cell r="T504">
            <v>0</v>
          </cell>
          <cell r="U504">
            <v>0</v>
          </cell>
        </row>
        <row r="505">
          <cell r="A505">
            <v>14020</v>
          </cell>
          <cell r="T505">
            <v>0</v>
          </cell>
          <cell r="U505">
            <v>0</v>
          </cell>
        </row>
        <row r="506">
          <cell r="A506">
            <v>14021</v>
          </cell>
          <cell r="T506">
            <v>0</v>
          </cell>
          <cell r="U506">
            <v>0</v>
          </cell>
        </row>
        <row r="507">
          <cell r="A507">
            <v>14022</v>
          </cell>
          <cell r="T507">
            <v>0</v>
          </cell>
          <cell r="U507">
            <v>0</v>
          </cell>
        </row>
        <row r="508">
          <cell r="A508">
            <v>14023</v>
          </cell>
          <cell r="T508">
            <v>0</v>
          </cell>
          <cell r="U508">
            <v>0</v>
          </cell>
        </row>
        <row r="509">
          <cell r="A509">
            <v>14024</v>
          </cell>
          <cell r="T509">
            <v>0</v>
          </cell>
          <cell r="U509">
            <v>0</v>
          </cell>
        </row>
        <row r="510">
          <cell r="A510">
            <v>14025</v>
          </cell>
          <cell r="T510">
            <v>0</v>
          </cell>
          <cell r="U510">
            <v>0</v>
          </cell>
        </row>
        <row r="511">
          <cell r="A511">
            <v>14026</v>
          </cell>
          <cell r="T511">
            <v>0</v>
          </cell>
          <cell r="U511">
            <v>0</v>
          </cell>
        </row>
        <row r="512">
          <cell r="A512">
            <v>14027</v>
          </cell>
          <cell r="T512">
            <v>0</v>
          </cell>
          <cell r="U512">
            <v>0</v>
          </cell>
        </row>
        <row r="513">
          <cell r="A513">
            <v>14028</v>
          </cell>
          <cell r="T513">
            <v>0</v>
          </cell>
          <cell r="U513">
            <v>0</v>
          </cell>
        </row>
        <row r="514">
          <cell r="A514">
            <v>14029</v>
          </cell>
          <cell r="T514">
            <v>0</v>
          </cell>
          <cell r="U514">
            <v>0</v>
          </cell>
        </row>
        <row r="515">
          <cell r="A515">
            <v>14030</v>
          </cell>
          <cell r="T515">
            <v>0</v>
          </cell>
          <cell r="U515">
            <v>0</v>
          </cell>
        </row>
        <row r="516">
          <cell r="A516">
            <v>14031</v>
          </cell>
          <cell r="T516">
            <v>0</v>
          </cell>
          <cell r="U516">
            <v>0</v>
          </cell>
        </row>
        <row r="517">
          <cell r="A517">
            <v>14032</v>
          </cell>
          <cell r="T517">
            <v>0</v>
          </cell>
          <cell r="U517">
            <v>0</v>
          </cell>
        </row>
        <row r="518">
          <cell r="A518">
            <v>14033</v>
          </cell>
          <cell r="T518">
            <v>0</v>
          </cell>
          <cell r="U518">
            <v>0</v>
          </cell>
        </row>
        <row r="519">
          <cell r="A519">
            <v>14034</v>
          </cell>
          <cell r="T519">
            <v>0</v>
          </cell>
          <cell r="U519">
            <v>0</v>
          </cell>
        </row>
        <row r="520">
          <cell r="A520">
            <v>14035</v>
          </cell>
          <cell r="T520">
            <v>0</v>
          </cell>
          <cell r="U520">
            <v>0</v>
          </cell>
        </row>
        <row r="521">
          <cell r="A521">
            <v>14036</v>
          </cell>
          <cell r="T521">
            <v>0</v>
          </cell>
          <cell r="U521">
            <v>0</v>
          </cell>
        </row>
        <row r="522">
          <cell r="A522">
            <v>14037</v>
          </cell>
          <cell r="T522">
            <v>0</v>
          </cell>
          <cell r="U522">
            <v>0</v>
          </cell>
        </row>
        <row r="523">
          <cell r="A523">
            <v>14038</v>
          </cell>
          <cell r="T523">
            <v>0</v>
          </cell>
          <cell r="U523">
            <v>0</v>
          </cell>
        </row>
        <row r="524">
          <cell r="A524">
            <v>14039</v>
          </cell>
          <cell r="T524">
            <v>0</v>
          </cell>
          <cell r="U524">
            <v>0</v>
          </cell>
        </row>
        <row r="525">
          <cell r="A525">
            <v>14040</v>
          </cell>
          <cell r="T525">
            <v>0</v>
          </cell>
          <cell r="U525">
            <v>0</v>
          </cell>
        </row>
        <row r="526">
          <cell r="A526">
            <v>14041</v>
          </cell>
          <cell r="T526">
            <v>0</v>
          </cell>
          <cell r="U526">
            <v>0</v>
          </cell>
        </row>
        <row r="527">
          <cell r="A527">
            <v>14042</v>
          </cell>
          <cell r="T527">
            <v>0</v>
          </cell>
          <cell r="U527">
            <v>0</v>
          </cell>
        </row>
        <row r="528">
          <cell r="A528">
            <v>14043</v>
          </cell>
          <cell r="T528">
            <v>0</v>
          </cell>
          <cell r="U528">
            <v>0</v>
          </cell>
        </row>
        <row r="529">
          <cell r="A529">
            <v>14044</v>
          </cell>
          <cell r="T529">
            <v>0</v>
          </cell>
          <cell r="U529">
            <v>0</v>
          </cell>
        </row>
        <row r="530">
          <cell r="A530">
            <v>14045</v>
          </cell>
          <cell r="T530">
            <v>0</v>
          </cell>
          <cell r="U530">
            <v>0</v>
          </cell>
        </row>
        <row r="531">
          <cell r="A531">
            <v>14046</v>
          </cell>
          <cell r="T531">
            <v>0</v>
          </cell>
          <cell r="U531">
            <v>0</v>
          </cell>
        </row>
        <row r="532">
          <cell r="A532">
            <v>14047</v>
          </cell>
          <cell r="T532">
            <v>0</v>
          </cell>
          <cell r="U532">
            <v>0</v>
          </cell>
        </row>
        <row r="533">
          <cell r="A533">
            <v>14048</v>
          </cell>
          <cell r="T533">
            <v>0</v>
          </cell>
          <cell r="U533">
            <v>0</v>
          </cell>
        </row>
        <row r="534">
          <cell r="A534">
            <v>14049</v>
          </cell>
          <cell r="T534">
            <v>0</v>
          </cell>
          <cell r="U534">
            <v>0</v>
          </cell>
        </row>
        <row r="535">
          <cell r="A535">
            <v>14050</v>
          </cell>
          <cell r="T535">
            <v>0</v>
          </cell>
          <cell r="U535">
            <v>0</v>
          </cell>
        </row>
        <row r="536">
          <cell r="A536">
            <v>14051</v>
          </cell>
          <cell r="T536">
            <v>0</v>
          </cell>
          <cell r="U536">
            <v>0</v>
          </cell>
        </row>
        <row r="537">
          <cell r="A537">
            <v>14052</v>
          </cell>
          <cell r="T537">
            <v>0</v>
          </cell>
          <cell r="U537">
            <v>0</v>
          </cell>
        </row>
        <row r="538">
          <cell r="A538">
            <v>15001</v>
          </cell>
          <cell r="T538" t="str">
            <v>0</v>
          </cell>
          <cell r="U538">
            <v>0</v>
          </cell>
        </row>
        <row r="539">
          <cell r="A539">
            <v>15002</v>
          </cell>
          <cell r="T539" t="str">
            <v>0</v>
          </cell>
          <cell r="U539">
            <v>0</v>
          </cell>
        </row>
        <row r="540">
          <cell r="A540">
            <v>15003</v>
          </cell>
          <cell r="T540" t="str">
            <v>0</v>
          </cell>
          <cell r="U540">
            <v>0</v>
          </cell>
        </row>
        <row r="541">
          <cell r="A541">
            <v>15004</v>
          </cell>
          <cell r="T541" t="str">
            <v>0</v>
          </cell>
          <cell r="U541">
            <v>0</v>
          </cell>
        </row>
        <row r="542">
          <cell r="A542">
            <v>15005</v>
          </cell>
          <cell r="T542" t="str">
            <v>0</v>
          </cell>
          <cell r="U542">
            <v>0</v>
          </cell>
        </row>
        <row r="543">
          <cell r="A543">
            <v>15006</v>
          </cell>
          <cell r="T543" t="str">
            <v>0</v>
          </cell>
          <cell r="U543">
            <v>0</v>
          </cell>
        </row>
        <row r="544">
          <cell r="A544">
            <v>15007</v>
          </cell>
          <cell r="T544" t="str">
            <v>0</v>
          </cell>
          <cell r="U544">
            <v>0</v>
          </cell>
        </row>
        <row r="545">
          <cell r="A545">
            <v>15008</v>
          </cell>
          <cell r="T545" t="str">
            <v>0</v>
          </cell>
          <cell r="U545">
            <v>0</v>
          </cell>
        </row>
        <row r="546">
          <cell r="A546">
            <v>15009</v>
          </cell>
          <cell r="T546" t="str">
            <v>0</v>
          </cell>
          <cell r="U546">
            <v>0</v>
          </cell>
        </row>
        <row r="547">
          <cell r="A547">
            <v>15010</v>
          </cell>
          <cell r="T547" t="str">
            <v>0</v>
          </cell>
          <cell r="U547">
            <v>0</v>
          </cell>
        </row>
        <row r="548">
          <cell r="A548">
            <v>15101</v>
          </cell>
          <cell r="T548">
            <v>0</v>
          </cell>
          <cell r="U548">
            <v>0</v>
          </cell>
        </row>
        <row r="549">
          <cell r="A549">
            <v>15102</v>
          </cell>
          <cell r="T549">
            <v>0</v>
          </cell>
          <cell r="U549">
            <v>0</v>
          </cell>
        </row>
        <row r="550">
          <cell r="A550">
            <v>15103</v>
          </cell>
          <cell r="T550">
            <v>0</v>
          </cell>
          <cell r="U550">
            <v>0</v>
          </cell>
        </row>
        <row r="551">
          <cell r="A551">
            <v>15104</v>
          </cell>
          <cell r="T551">
            <v>0</v>
          </cell>
          <cell r="U551">
            <v>0</v>
          </cell>
        </row>
        <row r="552">
          <cell r="A552">
            <v>15105</v>
          </cell>
          <cell r="T552">
            <v>0</v>
          </cell>
          <cell r="U552">
            <v>0</v>
          </cell>
        </row>
        <row r="553">
          <cell r="A553">
            <v>15106</v>
          </cell>
          <cell r="T553">
            <v>0</v>
          </cell>
          <cell r="U553">
            <v>0</v>
          </cell>
        </row>
        <row r="554">
          <cell r="A554">
            <v>15107</v>
          </cell>
          <cell r="T554">
            <v>0</v>
          </cell>
          <cell r="U554">
            <v>0</v>
          </cell>
        </row>
        <row r="555">
          <cell r="A555">
            <v>15108</v>
          </cell>
          <cell r="T555">
            <v>0</v>
          </cell>
          <cell r="U555">
            <v>0</v>
          </cell>
        </row>
        <row r="556">
          <cell r="A556">
            <v>15109</v>
          </cell>
          <cell r="T556">
            <v>0</v>
          </cell>
          <cell r="U556">
            <v>0</v>
          </cell>
        </row>
        <row r="557">
          <cell r="A557">
            <v>15110</v>
          </cell>
          <cell r="T557">
            <v>0</v>
          </cell>
          <cell r="U557">
            <v>0</v>
          </cell>
        </row>
        <row r="558">
          <cell r="A558">
            <v>15301</v>
          </cell>
          <cell r="T558">
            <v>0</v>
          </cell>
          <cell r="U558">
            <v>0</v>
          </cell>
        </row>
        <row r="559">
          <cell r="A559">
            <v>15302</v>
          </cell>
          <cell r="T559">
            <v>0</v>
          </cell>
          <cell r="U559">
            <v>0</v>
          </cell>
        </row>
        <row r="560">
          <cell r="A560">
            <v>15303</v>
          </cell>
          <cell r="T560">
            <v>0</v>
          </cell>
          <cell r="U560">
            <v>0</v>
          </cell>
        </row>
        <row r="561">
          <cell r="A561">
            <v>15304</v>
          </cell>
          <cell r="T561">
            <v>0</v>
          </cell>
          <cell r="U561">
            <v>0</v>
          </cell>
        </row>
        <row r="562">
          <cell r="A562">
            <v>15305</v>
          </cell>
          <cell r="T562">
            <v>0</v>
          </cell>
          <cell r="U562">
            <v>0</v>
          </cell>
        </row>
        <row r="563">
          <cell r="A563">
            <v>15306</v>
          </cell>
          <cell r="T563">
            <v>0</v>
          </cell>
          <cell r="U563">
            <v>0</v>
          </cell>
        </row>
        <row r="564">
          <cell r="A564">
            <v>15307</v>
          </cell>
          <cell r="T564">
            <v>0</v>
          </cell>
          <cell r="U564">
            <v>0</v>
          </cell>
        </row>
        <row r="565">
          <cell r="A565">
            <v>15308</v>
          </cell>
          <cell r="T565">
            <v>0</v>
          </cell>
          <cell r="U565">
            <v>0</v>
          </cell>
        </row>
        <row r="566">
          <cell r="A566">
            <v>15309</v>
          </cell>
          <cell r="T566">
            <v>0</v>
          </cell>
          <cell r="U566">
            <v>0</v>
          </cell>
        </row>
        <row r="567">
          <cell r="A567">
            <v>15310</v>
          </cell>
          <cell r="T567">
            <v>0</v>
          </cell>
          <cell r="U567">
            <v>0</v>
          </cell>
        </row>
        <row r="568">
          <cell r="A568">
            <v>15601</v>
          </cell>
          <cell r="T568">
            <v>0</v>
          </cell>
          <cell r="U568">
            <v>0</v>
          </cell>
        </row>
        <row r="569">
          <cell r="A569">
            <v>15602</v>
          </cell>
          <cell r="T569">
            <v>0</v>
          </cell>
          <cell r="U569">
            <v>0</v>
          </cell>
        </row>
        <row r="570">
          <cell r="A570">
            <v>15603</v>
          </cell>
          <cell r="T570">
            <v>0</v>
          </cell>
          <cell r="U570">
            <v>0</v>
          </cell>
        </row>
        <row r="571">
          <cell r="A571">
            <v>15604</v>
          </cell>
          <cell r="T571">
            <v>0</v>
          </cell>
          <cell r="U571">
            <v>0</v>
          </cell>
        </row>
        <row r="572">
          <cell r="A572">
            <v>15605</v>
          </cell>
          <cell r="T572">
            <v>0</v>
          </cell>
          <cell r="U572">
            <v>0</v>
          </cell>
        </row>
        <row r="573">
          <cell r="A573">
            <v>15606</v>
          </cell>
          <cell r="T573">
            <v>0</v>
          </cell>
          <cell r="U573">
            <v>0</v>
          </cell>
        </row>
        <row r="574">
          <cell r="A574">
            <v>15607</v>
          </cell>
          <cell r="T574">
            <v>0</v>
          </cell>
          <cell r="U574">
            <v>0</v>
          </cell>
        </row>
        <row r="575">
          <cell r="A575">
            <v>15608</v>
          </cell>
          <cell r="T575">
            <v>0</v>
          </cell>
          <cell r="U575">
            <v>0</v>
          </cell>
        </row>
        <row r="576">
          <cell r="A576">
            <v>15609</v>
          </cell>
          <cell r="T576">
            <v>0</v>
          </cell>
          <cell r="U576">
            <v>0</v>
          </cell>
        </row>
        <row r="577">
          <cell r="A577">
            <v>15610</v>
          </cell>
          <cell r="T577">
            <v>0</v>
          </cell>
          <cell r="U577">
            <v>0</v>
          </cell>
        </row>
        <row r="578">
          <cell r="A578">
            <v>15901</v>
          </cell>
          <cell r="T578">
            <v>0</v>
          </cell>
          <cell r="U578">
            <v>0</v>
          </cell>
        </row>
        <row r="579">
          <cell r="A579">
            <v>15902</v>
          </cell>
          <cell r="T579">
            <v>0</v>
          </cell>
          <cell r="U579">
            <v>0</v>
          </cell>
        </row>
        <row r="580">
          <cell r="A580">
            <v>15903</v>
          </cell>
          <cell r="T580">
            <v>0</v>
          </cell>
          <cell r="U580">
            <v>0</v>
          </cell>
        </row>
        <row r="581">
          <cell r="A581">
            <v>15904</v>
          </cell>
          <cell r="T581">
            <v>0</v>
          </cell>
          <cell r="U581">
            <v>0</v>
          </cell>
        </row>
        <row r="582">
          <cell r="A582">
            <v>15905</v>
          </cell>
          <cell r="T582">
            <v>0</v>
          </cell>
          <cell r="U582">
            <v>0</v>
          </cell>
        </row>
        <row r="583">
          <cell r="A583">
            <v>15906</v>
          </cell>
          <cell r="T583">
            <v>0</v>
          </cell>
          <cell r="U583">
            <v>0</v>
          </cell>
        </row>
        <row r="584">
          <cell r="A584">
            <v>15907</v>
          </cell>
          <cell r="T584">
            <v>0</v>
          </cell>
          <cell r="U584">
            <v>0</v>
          </cell>
        </row>
        <row r="585">
          <cell r="A585">
            <v>15908</v>
          </cell>
          <cell r="T585">
            <v>0</v>
          </cell>
          <cell r="U585">
            <v>0</v>
          </cell>
        </row>
        <row r="586">
          <cell r="A586">
            <v>15909</v>
          </cell>
          <cell r="T586">
            <v>0</v>
          </cell>
          <cell r="U586">
            <v>0</v>
          </cell>
        </row>
        <row r="587">
          <cell r="A587">
            <v>15910</v>
          </cell>
          <cell r="T587">
            <v>0</v>
          </cell>
          <cell r="U587">
            <v>0</v>
          </cell>
        </row>
        <row r="588">
          <cell r="A588">
            <v>16000</v>
          </cell>
          <cell r="T588">
            <v>0</v>
          </cell>
          <cell r="U588">
            <v>0</v>
          </cell>
        </row>
        <row r="589">
          <cell r="A589">
            <v>16001</v>
          </cell>
          <cell r="T589">
            <v>0</v>
          </cell>
          <cell r="U589">
            <v>0</v>
          </cell>
        </row>
        <row r="590">
          <cell r="A590">
            <v>16002</v>
          </cell>
          <cell r="T590">
            <v>0</v>
          </cell>
          <cell r="U590">
            <v>0</v>
          </cell>
        </row>
        <row r="591">
          <cell r="A591">
            <v>16003</v>
          </cell>
          <cell r="T591">
            <v>0</v>
          </cell>
          <cell r="U591">
            <v>0</v>
          </cell>
        </row>
        <row r="592">
          <cell r="A592">
            <v>16004</v>
          </cell>
          <cell r="T592">
            <v>0</v>
          </cell>
          <cell r="U592">
            <v>0</v>
          </cell>
        </row>
        <row r="593">
          <cell r="A593">
            <v>16005</v>
          </cell>
          <cell r="T593">
            <v>0</v>
          </cell>
          <cell r="U593">
            <v>0</v>
          </cell>
        </row>
        <row r="594">
          <cell r="A594">
            <v>8001</v>
          </cell>
          <cell r="T594">
            <v>0</v>
          </cell>
          <cell r="U594">
            <v>0</v>
          </cell>
        </row>
        <row r="595">
          <cell r="A595">
            <v>69999</v>
          </cell>
          <cell r="T595" t="str">
            <v>add_reward</v>
          </cell>
          <cell r="U595">
            <v>100000998</v>
          </cell>
        </row>
        <row r="596">
          <cell r="A596">
            <v>70000</v>
          </cell>
          <cell r="T596" t="str">
            <v>add_reward</v>
          </cell>
          <cell r="U596">
            <v>100000999</v>
          </cell>
        </row>
        <row r="597">
          <cell r="A597">
            <v>70001</v>
          </cell>
          <cell r="T597" t="str">
            <v>add_reward</v>
          </cell>
          <cell r="U597">
            <v>100001000</v>
          </cell>
        </row>
        <row r="598">
          <cell r="A598">
            <v>70002</v>
          </cell>
          <cell r="T598" t="str">
            <v>add_exp</v>
          </cell>
          <cell r="U598">
            <v>500000</v>
          </cell>
        </row>
        <row r="599">
          <cell r="A599">
            <v>70003</v>
          </cell>
          <cell r="T599" t="str">
            <v>add_exp</v>
          </cell>
          <cell r="U599">
            <v>1000000</v>
          </cell>
        </row>
        <row r="600">
          <cell r="A600">
            <v>70004</v>
          </cell>
          <cell r="T600" t="str">
            <v>add_exp</v>
          </cell>
          <cell r="U600">
            <v>1500000</v>
          </cell>
        </row>
        <row r="601">
          <cell r="A601">
            <v>70005</v>
          </cell>
          <cell r="T601" t="str">
            <v>add_exp</v>
          </cell>
          <cell r="U601">
            <v>4000000</v>
          </cell>
        </row>
        <row r="602">
          <cell r="A602">
            <v>70006</v>
          </cell>
          <cell r="T602" t="str">
            <v>add_exp</v>
          </cell>
          <cell r="U602">
            <v>6000000</v>
          </cell>
        </row>
        <row r="603">
          <cell r="A603">
            <v>70022</v>
          </cell>
          <cell r="T603">
            <v>0</v>
          </cell>
          <cell r="U603">
            <v>0</v>
          </cell>
        </row>
        <row r="604">
          <cell r="A604">
            <v>70023</v>
          </cell>
          <cell r="T604">
            <v>0</v>
          </cell>
          <cell r="U604">
            <v>0</v>
          </cell>
        </row>
        <row r="605">
          <cell r="A605">
            <v>70024</v>
          </cell>
          <cell r="T605">
            <v>0</v>
          </cell>
          <cell r="U605">
            <v>0</v>
          </cell>
        </row>
        <row r="606">
          <cell r="A606">
            <v>70025</v>
          </cell>
          <cell r="T606">
            <v>0</v>
          </cell>
          <cell r="U606">
            <v>0</v>
          </cell>
        </row>
        <row r="607">
          <cell r="A607">
            <v>70026</v>
          </cell>
          <cell r="T607">
            <v>0</v>
          </cell>
          <cell r="U607">
            <v>0</v>
          </cell>
        </row>
        <row r="608">
          <cell r="A608">
            <v>70027</v>
          </cell>
          <cell r="T608">
            <v>0</v>
          </cell>
          <cell r="U608">
            <v>0</v>
          </cell>
        </row>
        <row r="609">
          <cell r="A609">
            <v>70028</v>
          </cell>
          <cell r="T609">
            <v>0</v>
          </cell>
          <cell r="U609">
            <v>0</v>
          </cell>
        </row>
        <row r="610">
          <cell r="A610">
            <v>70029</v>
          </cell>
          <cell r="T610">
            <v>0</v>
          </cell>
          <cell r="U610">
            <v>0</v>
          </cell>
        </row>
        <row r="611">
          <cell r="A611">
            <v>70030</v>
          </cell>
          <cell r="T611">
            <v>0</v>
          </cell>
          <cell r="U611">
            <v>0</v>
          </cell>
        </row>
        <row r="612">
          <cell r="A612">
            <v>70031</v>
          </cell>
          <cell r="T612">
            <v>0</v>
          </cell>
          <cell r="U612">
            <v>0</v>
          </cell>
        </row>
        <row r="613">
          <cell r="A613">
            <v>70032</v>
          </cell>
          <cell r="T613" t="str">
            <v>add_reward</v>
          </cell>
          <cell r="U613">
            <v>400001</v>
          </cell>
        </row>
        <row r="614">
          <cell r="A614">
            <v>70033</v>
          </cell>
          <cell r="T614" t="str">
            <v>add_reward</v>
          </cell>
          <cell r="U614">
            <v>400002</v>
          </cell>
        </row>
        <row r="615">
          <cell r="A615">
            <v>70034</v>
          </cell>
          <cell r="T615" t="str">
            <v>add_reward</v>
          </cell>
          <cell r="U615">
            <v>400000</v>
          </cell>
        </row>
        <row r="616">
          <cell r="A616">
            <v>70035</v>
          </cell>
          <cell r="T616" t="str">
            <v>add_reward</v>
          </cell>
          <cell r="U616">
            <v>400003</v>
          </cell>
        </row>
        <row r="617">
          <cell r="A617">
            <v>70036</v>
          </cell>
          <cell r="T617">
            <v>0</v>
          </cell>
          <cell r="U617">
            <v>0</v>
          </cell>
        </row>
        <row r="618">
          <cell r="A618">
            <v>70037</v>
          </cell>
          <cell r="T618">
            <v>0</v>
          </cell>
          <cell r="U618">
            <v>0</v>
          </cell>
        </row>
        <row r="619">
          <cell r="A619">
            <v>70038</v>
          </cell>
          <cell r="T619">
            <v>0</v>
          </cell>
          <cell r="U619">
            <v>0</v>
          </cell>
        </row>
        <row r="620">
          <cell r="A620">
            <v>70039</v>
          </cell>
          <cell r="T620" t="str">
            <v>add_reward</v>
          </cell>
          <cell r="U620">
            <v>0</v>
          </cell>
        </row>
        <row r="621">
          <cell r="A621">
            <v>70040</v>
          </cell>
          <cell r="T621" t="str">
            <v>add_reward</v>
          </cell>
          <cell r="U621">
            <v>100000262</v>
          </cell>
        </row>
        <row r="622">
          <cell r="A622">
            <v>70041</v>
          </cell>
          <cell r="T622" t="str">
            <v>add_reward</v>
          </cell>
          <cell r="U622">
            <v>100000262</v>
          </cell>
        </row>
        <row r="623">
          <cell r="A623">
            <v>70042</v>
          </cell>
          <cell r="T623" t="str">
            <v>add_reward</v>
          </cell>
          <cell r="U623">
            <v>100000263</v>
          </cell>
        </row>
        <row r="624">
          <cell r="A624">
            <v>70043</v>
          </cell>
          <cell r="T624" t="str">
            <v>add_reward</v>
          </cell>
          <cell r="U624">
            <v>100000264</v>
          </cell>
        </row>
        <row r="625">
          <cell r="A625">
            <v>70044</v>
          </cell>
          <cell r="T625" t="str">
            <v>add_reward</v>
          </cell>
          <cell r="U625">
            <v>100000265</v>
          </cell>
        </row>
        <row r="626">
          <cell r="A626">
            <v>70045</v>
          </cell>
          <cell r="T626" t="str">
            <v>add_reward</v>
          </cell>
          <cell r="U626">
            <v>100000266</v>
          </cell>
        </row>
        <row r="627">
          <cell r="A627">
            <v>70046</v>
          </cell>
          <cell r="T627" t="str">
            <v>add_reward</v>
          </cell>
          <cell r="U627">
            <v>100000267</v>
          </cell>
        </row>
        <row r="628">
          <cell r="A628">
            <v>70047</v>
          </cell>
          <cell r="T628" t="str">
            <v>add_reward</v>
          </cell>
          <cell r="U628">
            <v>100000268</v>
          </cell>
        </row>
        <row r="629">
          <cell r="A629">
            <v>70048</v>
          </cell>
          <cell r="T629" t="str">
            <v>add_reward</v>
          </cell>
          <cell r="U629">
            <v>100000269</v>
          </cell>
        </row>
        <row r="630">
          <cell r="A630">
            <v>70049</v>
          </cell>
          <cell r="T630" t="str">
            <v>add_reward</v>
          </cell>
          <cell r="U630">
            <v>100000270</v>
          </cell>
        </row>
        <row r="631">
          <cell r="A631">
            <v>70050</v>
          </cell>
          <cell r="T631" t="str">
            <v>add_reward</v>
          </cell>
          <cell r="U631">
            <v>100000271</v>
          </cell>
        </row>
        <row r="632">
          <cell r="A632">
            <v>70051</v>
          </cell>
          <cell r="T632" t="str">
            <v>add_reward</v>
          </cell>
          <cell r="U632">
            <v>200000012</v>
          </cell>
        </row>
        <row r="633">
          <cell r="A633">
            <v>70052</v>
          </cell>
          <cell r="T633" t="str">
            <v>add_reward</v>
          </cell>
          <cell r="U633">
            <v>200000013</v>
          </cell>
        </row>
        <row r="634">
          <cell r="A634">
            <v>70053</v>
          </cell>
          <cell r="T634" t="str">
            <v>add_reward</v>
          </cell>
          <cell r="U634">
            <v>200000014</v>
          </cell>
        </row>
        <row r="635">
          <cell r="A635">
            <v>70054</v>
          </cell>
          <cell r="T635" t="str">
            <v>add_reward</v>
          </cell>
          <cell r="U635">
            <v>200000015</v>
          </cell>
        </row>
        <row r="636">
          <cell r="A636">
            <v>70055</v>
          </cell>
          <cell r="T636" t="str">
            <v>add_reward</v>
          </cell>
          <cell r="U636">
            <v>200000016</v>
          </cell>
        </row>
        <row r="637">
          <cell r="A637">
            <v>70056</v>
          </cell>
          <cell r="T637" t="str">
            <v>add_reward</v>
          </cell>
          <cell r="U637">
            <v>200000017</v>
          </cell>
        </row>
        <row r="638">
          <cell r="A638">
            <v>70057</v>
          </cell>
          <cell r="T638" t="str">
            <v>add_reward</v>
          </cell>
          <cell r="U638">
            <v>400004</v>
          </cell>
        </row>
        <row r="639">
          <cell r="A639">
            <v>70058</v>
          </cell>
          <cell r="T639" t="str">
            <v>add_reward</v>
          </cell>
          <cell r="U639">
            <v>400005</v>
          </cell>
        </row>
        <row r="640">
          <cell r="A640">
            <v>70059</v>
          </cell>
          <cell r="T640" t="str">
            <v>add_reward</v>
          </cell>
          <cell r="U640">
            <v>400006</v>
          </cell>
        </row>
        <row r="641">
          <cell r="A641">
            <v>70060</v>
          </cell>
          <cell r="T641" t="str">
            <v>add_reward</v>
          </cell>
          <cell r="U641">
            <v>400007</v>
          </cell>
        </row>
        <row r="642">
          <cell r="A642">
            <v>70061</v>
          </cell>
          <cell r="T642" t="str">
            <v>add_reward</v>
          </cell>
          <cell r="U642">
            <v>400008</v>
          </cell>
        </row>
        <row r="643">
          <cell r="A643">
            <v>70062</v>
          </cell>
          <cell r="T643" t="str">
            <v>add_reward</v>
          </cell>
          <cell r="U643">
            <v>400009</v>
          </cell>
        </row>
        <row r="644">
          <cell r="A644">
            <v>70063</v>
          </cell>
          <cell r="T644" t="str">
            <v>add_reward</v>
          </cell>
          <cell r="U644">
            <v>400010</v>
          </cell>
        </row>
        <row r="645">
          <cell r="A645">
            <v>70064</v>
          </cell>
          <cell r="T645" t="str">
            <v>add_reward</v>
          </cell>
          <cell r="U645">
            <v>400011</v>
          </cell>
        </row>
        <row r="646">
          <cell r="A646">
            <v>70065</v>
          </cell>
          <cell r="T646" t="str">
            <v>add_reward</v>
          </cell>
          <cell r="U646">
            <v>930018</v>
          </cell>
        </row>
        <row r="647">
          <cell r="A647">
            <v>70066</v>
          </cell>
          <cell r="T647" t="str">
            <v>add_reward</v>
          </cell>
          <cell r="U647">
            <v>930017</v>
          </cell>
        </row>
        <row r="648">
          <cell r="A648">
            <v>70067</v>
          </cell>
          <cell r="T648" t="str">
            <v>add_reward</v>
          </cell>
          <cell r="U648">
            <v>500014</v>
          </cell>
        </row>
        <row r="649">
          <cell r="A649">
            <v>70068</v>
          </cell>
          <cell r="T649" t="str">
            <v>add_reward</v>
          </cell>
          <cell r="U649">
            <v>500015</v>
          </cell>
        </row>
        <row r="650">
          <cell r="A650">
            <v>70069</v>
          </cell>
          <cell r="T650" t="str">
            <v>add_reward</v>
          </cell>
          <cell r="U650">
            <v>600084</v>
          </cell>
        </row>
        <row r="651">
          <cell r="A651">
            <v>70070</v>
          </cell>
          <cell r="T651" t="str">
            <v>add_reward</v>
          </cell>
          <cell r="U651">
            <v>400042</v>
          </cell>
        </row>
        <row r="652">
          <cell r="A652">
            <v>70071</v>
          </cell>
          <cell r="T652">
            <v>0</v>
          </cell>
          <cell r="U652">
            <v>0</v>
          </cell>
        </row>
        <row r="653">
          <cell r="A653">
            <v>70072</v>
          </cell>
          <cell r="T653" t="str">
            <v>add_reward</v>
          </cell>
          <cell r="U653">
            <v>1000002583</v>
          </cell>
        </row>
        <row r="654">
          <cell r="A654">
            <v>70073</v>
          </cell>
          <cell r="T654">
            <v>0</v>
          </cell>
          <cell r="U654">
            <v>0</v>
          </cell>
        </row>
        <row r="655">
          <cell r="A655">
            <v>70074</v>
          </cell>
          <cell r="T655">
            <v>0</v>
          </cell>
          <cell r="U655">
            <v>0</v>
          </cell>
        </row>
        <row r="656">
          <cell r="A656">
            <v>70075</v>
          </cell>
          <cell r="T656">
            <v>0</v>
          </cell>
          <cell r="U656">
            <v>0</v>
          </cell>
        </row>
        <row r="657">
          <cell r="A657">
            <v>70076</v>
          </cell>
          <cell r="T657">
            <v>0</v>
          </cell>
          <cell r="U657">
            <v>0</v>
          </cell>
        </row>
        <row r="658">
          <cell r="A658">
            <v>70077</v>
          </cell>
          <cell r="T658" t="str">
            <v>add_reward</v>
          </cell>
          <cell r="U658" t="str">
            <v>1000002584</v>
          </cell>
        </row>
        <row r="659">
          <cell r="A659">
            <v>70078</v>
          </cell>
          <cell r="T659" t="str">
            <v>add_reward</v>
          </cell>
          <cell r="U659" t="str">
            <v>1000002585</v>
          </cell>
        </row>
        <row r="660">
          <cell r="A660">
            <v>70079</v>
          </cell>
          <cell r="T660">
            <v>0</v>
          </cell>
          <cell r="U660">
            <v>0</v>
          </cell>
        </row>
        <row r="661">
          <cell r="A661">
            <v>70080</v>
          </cell>
          <cell r="T661">
            <v>0</v>
          </cell>
          <cell r="U661">
            <v>0</v>
          </cell>
        </row>
        <row r="662">
          <cell r="A662">
            <v>70081</v>
          </cell>
          <cell r="T662">
            <v>0</v>
          </cell>
          <cell r="U662">
            <v>0</v>
          </cell>
        </row>
        <row r="663">
          <cell r="A663">
            <v>70082</v>
          </cell>
          <cell r="T663">
            <v>0</v>
          </cell>
          <cell r="U663">
            <v>0</v>
          </cell>
        </row>
        <row r="664">
          <cell r="A664">
            <v>70083</v>
          </cell>
          <cell r="T664">
            <v>0</v>
          </cell>
          <cell r="U664">
            <v>0</v>
          </cell>
        </row>
        <row r="665">
          <cell r="A665">
            <v>70084</v>
          </cell>
          <cell r="T665" t="str">
            <v>add_reward</v>
          </cell>
          <cell r="U665">
            <v>500012</v>
          </cell>
        </row>
        <row r="666">
          <cell r="A666">
            <v>70085</v>
          </cell>
          <cell r="T666" t="str">
            <v>add_reward</v>
          </cell>
          <cell r="U666">
            <v>500002</v>
          </cell>
        </row>
        <row r="667">
          <cell r="A667">
            <v>70086</v>
          </cell>
          <cell r="T667" t="str">
            <v>add_reward</v>
          </cell>
          <cell r="U667">
            <v>900005</v>
          </cell>
        </row>
        <row r="668">
          <cell r="A668">
            <v>70087</v>
          </cell>
          <cell r="T668" t="str">
            <v>add_reward</v>
          </cell>
          <cell r="U668">
            <v>920000</v>
          </cell>
        </row>
        <row r="669">
          <cell r="A669">
            <v>70088</v>
          </cell>
          <cell r="T669" t="str">
            <v>add_reward</v>
          </cell>
          <cell r="U669">
            <v>920001</v>
          </cell>
        </row>
        <row r="670">
          <cell r="A670">
            <v>70089</v>
          </cell>
          <cell r="T670" t="str">
            <v>add_reward</v>
          </cell>
          <cell r="U670">
            <v>920002</v>
          </cell>
        </row>
        <row r="671">
          <cell r="A671">
            <v>70090</v>
          </cell>
          <cell r="T671" t="str">
            <v>add_reward</v>
          </cell>
          <cell r="U671">
            <v>920003</v>
          </cell>
        </row>
        <row r="672">
          <cell r="A672">
            <v>70091</v>
          </cell>
          <cell r="T672" t="str">
            <v>add_reward</v>
          </cell>
          <cell r="U672">
            <v>920004</v>
          </cell>
        </row>
        <row r="673">
          <cell r="A673">
            <v>70092</v>
          </cell>
          <cell r="T673" t="str">
            <v>add_reward</v>
          </cell>
          <cell r="U673">
            <v>920005</v>
          </cell>
        </row>
        <row r="674">
          <cell r="A674">
            <v>70093</v>
          </cell>
          <cell r="T674" t="str">
            <v>add_reward</v>
          </cell>
          <cell r="U674">
            <v>920006</v>
          </cell>
        </row>
        <row r="675">
          <cell r="A675">
            <v>70094</v>
          </cell>
          <cell r="T675" t="str">
            <v>add_reward</v>
          </cell>
          <cell r="U675">
            <v>920007</v>
          </cell>
        </row>
        <row r="676">
          <cell r="A676">
            <v>70095</v>
          </cell>
          <cell r="T676">
            <v>0</v>
          </cell>
          <cell r="U676">
            <v>0</v>
          </cell>
        </row>
        <row r="677">
          <cell r="A677">
            <v>70096</v>
          </cell>
          <cell r="T677">
            <v>0</v>
          </cell>
          <cell r="U677">
            <v>0</v>
          </cell>
        </row>
        <row r="678">
          <cell r="A678">
            <v>70097</v>
          </cell>
          <cell r="T678" t="str">
            <v>add_buff</v>
          </cell>
          <cell r="U678">
            <v>20003</v>
          </cell>
        </row>
        <row r="679">
          <cell r="A679">
            <v>70098</v>
          </cell>
          <cell r="T679" t="str">
            <v>add_reward</v>
          </cell>
          <cell r="U679">
            <v>930031</v>
          </cell>
        </row>
        <row r="680">
          <cell r="A680">
            <v>70099</v>
          </cell>
          <cell r="T680">
            <v>0</v>
          </cell>
          <cell r="U680">
            <v>0</v>
          </cell>
        </row>
        <row r="681">
          <cell r="A681">
            <v>70100</v>
          </cell>
          <cell r="T681">
            <v>0</v>
          </cell>
          <cell r="U681">
            <v>0</v>
          </cell>
        </row>
        <row r="682">
          <cell r="A682">
            <v>100000</v>
          </cell>
          <cell r="T682">
            <v>0</v>
          </cell>
          <cell r="U682">
            <v>0</v>
          </cell>
        </row>
        <row r="683">
          <cell r="A683">
            <v>190001</v>
          </cell>
          <cell r="T683">
            <v>0</v>
          </cell>
          <cell r="U683">
            <v>0</v>
          </cell>
        </row>
        <row r="684">
          <cell r="A684">
            <v>100001</v>
          </cell>
          <cell r="T684">
            <v>0</v>
          </cell>
          <cell r="U684">
            <v>0</v>
          </cell>
        </row>
        <row r="685">
          <cell r="A685">
            <v>100002</v>
          </cell>
          <cell r="T685">
            <v>0</v>
          </cell>
          <cell r="U685">
            <v>0</v>
          </cell>
        </row>
        <row r="686">
          <cell r="A686">
            <v>100003</v>
          </cell>
          <cell r="T686">
            <v>0</v>
          </cell>
          <cell r="U686">
            <v>0</v>
          </cell>
        </row>
        <row r="687">
          <cell r="A687">
            <v>100004</v>
          </cell>
          <cell r="T687">
            <v>0</v>
          </cell>
          <cell r="U687">
            <v>0</v>
          </cell>
        </row>
        <row r="688">
          <cell r="A688">
            <v>100005</v>
          </cell>
          <cell r="T688">
            <v>0</v>
          </cell>
          <cell r="U688">
            <v>0</v>
          </cell>
        </row>
        <row r="689">
          <cell r="A689">
            <v>100006</v>
          </cell>
          <cell r="T689">
            <v>0</v>
          </cell>
          <cell r="U689">
            <v>0</v>
          </cell>
        </row>
        <row r="690">
          <cell r="A690">
            <v>100007</v>
          </cell>
          <cell r="T690">
            <v>0</v>
          </cell>
          <cell r="U690">
            <v>0</v>
          </cell>
        </row>
        <row r="691">
          <cell r="A691">
            <v>100008</v>
          </cell>
          <cell r="T691">
            <v>0</v>
          </cell>
          <cell r="U691">
            <v>0</v>
          </cell>
        </row>
        <row r="692">
          <cell r="A692">
            <v>100009</v>
          </cell>
          <cell r="T692">
            <v>0</v>
          </cell>
          <cell r="U692">
            <v>0</v>
          </cell>
        </row>
        <row r="693">
          <cell r="A693">
            <v>100010</v>
          </cell>
          <cell r="T693">
            <v>0</v>
          </cell>
          <cell r="U693">
            <v>0</v>
          </cell>
        </row>
        <row r="694">
          <cell r="A694">
            <v>100011</v>
          </cell>
          <cell r="T694">
            <v>0</v>
          </cell>
          <cell r="U694">
            <v>0</v>
          </cell>
        </row>
        <row r="695">
          <cell r="A695">
            <v>100012</v>
          </cell>
          <cell r="T695">
            <v>0</v>
          </cell>
          <cell r="U695">
            <v>0</v>
          </cell>
        </row>
        <row r="696">
          <cell r="A696">
            <v>100013</v>
          </cell>
          <cell r="T696">
            <v>0</v>
          </cell>
          <cell r="U696">
            <v>0</v>
          </cell>
        </row>
        <row r="697">
          <cell r="A697">
            <v>100014</v>
          </cell>
          <cell r="T697">
            <v>0</v>
          </cell>
          <cell r="U697">
            <v>0</v>
          </cell>
        </row>
        <row r="698">
          <cell r="A698">
            <v>100015</v>
          </cell>
          <cell r="T698">
            <v>0</v>
          </cell>
          <cell r="U698">
            <v>0</v>
          </cell>
        </row>
        <row r="699">
          <cell r="A699">
            <v>100016</v>
          </cell>
          <cell r="T699">
            <v>0</v>
          </cell>
          <cell r="U699">
            <v>0</v>
          </cell>
        </row>
        <row r="700">
          <cell r="A700">
            <v>100017</v>
          </cell>
          <cell r="T700">
            <v>0</v>
          </cell>
          <cell r="U700">
            <v>0</v>
          </cell>
        </row>
        <row r="701">
          <cell r="A701">
            <v>100018</v>
          </cell>
          <cell r="T701">
            <v>0</v>
          </cell>
          <cell r="U701">
            <v>0</v>
          </cell>
        </row>
        <row r="702">
          <cell r="A702">
            <v>100019</v>
          </cell>
          <cell r="T702">
            <v>0</v>
          </cell>
          <cell r="U702">
            <v>0</v>
          </cell>
        </row>
        <row r="703">
          <cell r="A703">
            <v>100020</v>
          </cell>
          <cell r="T703">
            <v>0</v>
          </cell>
          <cell r="U703">
            <v>0</v>
          </cell>
        </row>
        <row r="704">
          <cell r="A704">
            <v>100021</v>
          </cell>
          <cell r="T704">
            <v>0</v>
          </cell>
          <cell r="U704">
            <v>0</v>
          </cell>
        </row>
        <row r="705">
          <cell r="A705">
            <v>100022</v>
          </cell>
          <cell r="T705">
            <v>0</v>
          </cell>
          <cell r="U705">
            <v>0</v>
          </cell>
        </row>
        <row r="706">
          <cell r="A706">
            <v>100023</v>
          </cell>
          <cell r="T706">
            <v>0</v>
          </cell>
          <cell r="U706">
            <v>0</v>
          </cell>
        </row>
        <row r="707">
          <cell r="A707">
            <v>100024</v>
          </cell>
          <cell r="T707">
            <v>0</v>
          </cell>
          <cell r="U707">
            <v>0</v>
          </cell>
        </row>
        <row r="708">
          <cell r="A708">
            <v>100025</v>
          </cell>
          <cell r="T708">
            <v>0</v>
          </cell>
          <cell r="U708">
            <v>0</v>
          </cell>
        </row>
        <row r="709">
          <cell r="A709">
            <v>100026</v>
          </cell>
          <cell r="T709">
            <v>0</v>
          </cell>
          <cell r="U709">
            <v>0</v>
          </cell>
        </row>
        <row r="710">
          <cell r="A710">
            <v>100027</v>
          </cell>
          <cell r="T710">
            <v>0</v>
          </cell>
          <cell r="U710">
            <v>0</v>
          </cell>
        </row>
        <row r="711">
          <cell r="A711">
            <v>100028</v>
          </cell>
          <cell r="T711">
            <v>0</v>
          </cell>
          <cell r="U711">
            <v>0</v>
          </cell>
        </row>
        <row r="712">
          <cell r="A712">
            <v>100029</v>
          </cell>
          <cell r="T712">
            <v>0</v>
          </cell>
          <cell r="U712">
            <v>0</v>
          </cell>
        </row>
        <row r="713">
          <cell r="A713">
            <v>100030</v>
          </cell>
          <cell r="T713">
            <v>0</v>
          </cell>
          <cell r="U713">
            <v>0</v>
          </cell>
        </row>
        <row r="714">
          <cell r="A714">
            <v>100031</v>
          </cell>
          <cell r="T714">
            <v>0</v>
          </cell>
          <cell r="U714">
            <v>0</v>
          </cell>
        </row>
        <row r="715">
          <cell r="A715">
            <v>100032</v>
          </cell>
          <cell r="T715">
            <v>0</v>
          </cell>
          <cell r="U715">
            <v>0</v>
          </cell>
        </row>
        <row r="716">
          <cell r="A716">
            <v>100033</v>
          </cell>
          <cell r="T716">
            <v>0</v>
          </cell>
          <cell r="U716">
            <v>0</v>
          </cell>
        </row>
        <row r="717">
          <cell r="A717">
            <v>100034</v>
          </cell>
          <cell r="T717">
            <v>0</v>
          </cell>
          <cell r="U717">
            <v>0</v>
          </cell>
        </row>
        <row r="718">
          <cell r="A718">
            <v>100035</v>
          </cell>
          <cell r="T718">
            <v>0</v>
          </cell>
          <cell r="U718">
            <v>0</v>
          </cell>
        </row>
        <row r="719">
          <cell r="A719">
            <v>100036</v>
          </cell>
          <cell r="T719">
            <v>0</v>
          </cell>
          <cell r="U719">
            <v>0</v>
          </cell>
        </row>
        <row r="720">
          <cell r="A720">
            <v>100037</v>
          </cell>
          <cell r="T720">
            <v>0</v>
          </cell>
          <cell r="U720">
            <v>0</v>
          </cell>
        </row>
        <row r="721">
          <cell r="A721">
            <v>100038</v>
          </cell>
          <cell r="T721">
            <v>0</v>
          </cell>
          <cell r="U721">
            <v>0</v>
          </cell>
        </row>
        <row r="722">
          <cell r="A722">
            <v>100039</v>
          </cell>
          <cell r="T722">
            <v>0</v>
          </cell>
          <cell r="U722">
            <v>0</v>
          </cell>
        </row>
        <row r="723">
          <cell r="A723">
            <v>100040</v>
          </cell>
          <cell r="T723">
            <v>0</v>
          </cell>
          <cell r="U723">
            <v>0</v>
          </cell>
        </row>
        <row r="724">
          <cell r="A724">
            <v>100041</v>
          </cell>
          <cell r="T724">
            <v>0</v>
          </cell>
          <cell r="U724">
            <v>0</v>
          </cell>
        </row>
        <row r="725">
          <cell r="A725">
            <v>100042</v>
          </cell>
          <cell r="T725">
            <v>0</v>
          </cell>
          <cell r="U725">
            <v>0</v>
          </cell>
        </row>
        <row r="726">
          <cell r="A726">
            <v>100043</v>
          </cell>
          <cell r="T726">
            <v>0</v>
          </cell>
          <cell r="U726">
            <v>0</v>
          </cell>
        </row>
        <row r="727">
          <cell r="A727">
            <v>100044</v>
          </cell>
          <cell r="T727">
            <v>0</v>
          </cell>
          <cell r="U727">
            <v>0</v>
          </cell>
        </row>
        <row r="728">
          <cell r="A728">
            <v>100045</v>
          </cell>
          <cell r="T728">
            <v>0</v>
          </cell>
          <cell r="U728">
            <v>0</v>
          </cell>
        </row>
        <row r="729">
          <cell r="A729">
            <v>100046</v>
          </cell>
          <cell r="T729">
            <v>0</v>
          </cell>
          <cell r="U729">
            <v>0</v>
          </cell>
        </row>
        <row r="730">
          <cell r="A730">
            <v>100047</v>
          </cell>
          <cell r="T730">
            <v>0</v>
          </cell>
          <cell r="U730">
            <v>0</v>
          </cell>
        </row>
        <row r="731">
          <cell r="A731">
            <v>100048</v>
          </cell>
          <cell r="T731">
            <v>0</v>
          </cell>
          <cell r="U731">
            <v>0</v>
          </cell>
        </row>
        <row r="732">
          <cell r="A732">
            <v>100049</v>
          </cell>
          <cell r="T732">
            <v>0</v>
          </cell>
          <cell r="U732">
            <v>0</v>
          </cell>
        </row>
        <row r="733">
          <cell r="A733">
            <v>100050</v>
          </cell>
          <cell r="T733">
            <v>0</v>
          </cell>
          <cell r="U733">
            <v>0</v>
          </cell>
        </row>
        <row r="734">
          <cell r="A734">
            <v>100051</v>
          </cell>
          <cell r="T734">
            <v>0</v>
          </cell>
          <cell r="U734">
            <v>0</v>
          </cell>
        </row>
        <row r="735">
          <cell r="A735">
            <v>100052</v>
          </cell>
          <cell r="T735">
            <v>0</v>
          </cell>
          <cell r="U735">
            <v>0</v>
          </cell>
        </row>
        <row r="736">
          <cell r="A736">
            <v>100053</v>
          </cell>
          <cell r="T736">
            <v>0</v>
          </cell>
          <cell r="U736">
            <v>0</v>
          </cell>
        </row>
        <row r="737">
          <cell r="A737">
            <v>100054</v>
          </cell>
          <cell r="T737">
            <v>0</v>
          </cell>
          <cell r="U737">
            <v>0</v>
          </cell>
        </row>
        <row r="738">
          <cell r="A738">
            <v>100055</v>
          </cell>
          <cell r="T738">
            <v>0</v>
          </cell>
          <cell r="U738">
            <v>0</v>
          </cell>
        </row>
        <row r="739">
          <cell r="A739">
            <v>100056</v>
          </cell>
          <cell r="T739">
            <v>0</v>
          </cell>
          <cell r="U739">
            <v>0</v>
          </cell>
        </row>
        <row r="740">
          <cell r="A740">
            <v>100057</v>
          </cell>
          <cell r="T740">
            <v>0</v>
          </cell>
          <cell r="U740">
            <v>0</v>
          </cell>
        </row>
        <row r="741">
          <cell r="A741">
            <v>100058</v>
          </cell>
          <cell r="T741">
            <v>0</v>
          </cell>
          <cell r="U741">
            <v>0</v>
          </cell>
        </row>
        <row r="742">
          <cell r="A742">
            <v>100059</v>
          </cell>
          <cell r="T742">
            <v>0</v>
          </cell>
          <cell r="U742">
            <v>0</v>
          </cell>
        </row>
        <row r="743">
          <cell r="A743">
            <v>100060</v>
          </cell>
          <cell r="T743">
            <v>0</v>
          </cell>
          <cell r="U743">
            <v>0</v>
          </cell>
        </row>
        <row r="744">
          <cell r="A744">
            <v>100061</v>
          </cell>
          <cell r="T744">
            <v>0</v>
          </cell>
          <cell r="U744">
            <v>0</v>
          </cell>
        </row>
        <row r="745">
          <cell r="A745">
            <v>100062</v>
          </cell>
          <cell r="T745">
            <v>0</v>
          </cell>
          <cell r="U745">
            <v>0</v>
          </cell>
        </row>
        <row r="746">
          <cell r="A746">
            <v>100063</v>
          </cell>
          <cell r="T746">
            <v>0</v>
          </cell>
          <cell r="U746">
            <v>0</v>
          </cell>
        </row>
        <row r="747">
          <cell r="A747">
            <v>100064</v>
          </cell>
          <cell r="T747">
            <v>0</v>
          </cell>
          <cell r="U747">
            <v>0</v>
          </cell>
        </row>
        <row r="748">
          <cell r="A748">
            <v>100065</v>
          </cell>
          <cell r="T748">
            <v>0</v>
          </cell>
          <cell r="U748">
            <v>0</v>
          </cell>
        </row>
        <row r="749">
          <cell r="A749">
            <v>100066</v>
          </cell>
          <cell r="T749">
            <v>0</v>
          </cell>
          <cell r="U749">
            <v>0</v>
          </cell>
        </row>
        <row r="750">
          <cell r="A750">
            <v>100067</v>
          </cell>
          <cell r="T750">
            <v>0</v>
          </cell>
          <cell r="U750">
            <v>0</v>
          </cell>
        </row>
        <row r="751">
          <cell r="A751">
            <v>100068</v>
          </cell>
          <cell r="T751">
            <v>0</v>
          </cell>
          <cell r="U751">
            <v>0</v>
          </cell>
        </row>
        <row r="752">
          <cell r="A752">
            <v>100069</v>
          </cell>
          <cell r="T752">
            <v>0</v>
          </cell>
          <cell r="U752">
            <v>0</v>
          </cell>
        </row>
        <row r="753">
          <cell r="A753">
            <v>100070</v>
          </cell>
          <cell r="T753">
            <v>0</v>
          </cell>
          <cell r="U753">
            <v>0</v>
          </cell>
        </row>
        <row r="754">
          <cell r="A754">
            <v>100071</v>
          </cell>
          <cell r="T754">
            <v>0</v>
          </cell>
          <cell r="U754">
            <v>0</v>
          </cell>
        </row>
        <row r="755">
          <cell r="A755">
            <v>100072</v>
          </cell>
          <cell r="T755">
            <v>0</v>
          </cell>
          <cell r="U755">
            <v>0</v>
          </cell>
        </row>
        <row r="756">
          <cell r="A756">
            <v>100073</v>
          </cell>
          <cell r="T756">
            <v>0</v>
          </cell>
          <cell r="U756">
            <v>0</v>
          </cell>
        </row>
        <row r="757">
          <cell r="A757">
            <v>100074</v>
          </cell>
          <cell r="T757">
            <v>0</v>
          </cell>
          <cell r="U757">
            <v>0</v>
          </cell>
        </row>
        <row r="758">
          <cell r="A758">
            <v>100075</v>
          </cell>
          <cell r="T758">
            <v>0</v>
          </cell>
          <cell r="U758">
            <v>0</v>
          </cell>
        </row>
        <row r="759">
          <cell r="A759">
            <v>100076</v>
          </cell>
          <cell r="T759">
            <v>0</v>
          </cell>
          <cell r="U759">
            <v>0</v>
          </cell>
        </row>
        <row r="760">
          <cell r="A760">
            <v>100077</v>
          </cell>
          <cell r="T760">
            <v>0</v>
          </cell>
          <cell r="U760">
            <v>0</v>
          </cell>
        </row>
        <row r="761">
          <cell r="A761">
            <v>100078</v>
          </cell>
          <cell r="T761">
            <v>0</v>
          </cell>
          <cell r="U761">
            <v>0</v>
          </cell>
        </row>
        <row r="762">
          <cell r="A762">
            <v>100079</v>
          </cell>
          <cell r="T762">
            <v>0</v>
          </cell>
          <cell r="U762">
            <v>0</v>
          </cell>
        </row>
        <row r="763">
          <cell r="A763">
            <v>100080</v>
          </cell>
          <cell r="T763">
            <v>0</v>
          </cell>
          <cell r="U763">
            <v>0</v>
          </cell>
        </row>
        <row r="764">
          <cell r="A764">
            <v>100081</v>
          </cell>
          <cell r="T764">
            <v>0</v>
          </cell>
          <cell r="U764">
            <v>0</v>
          </cell>
        </row>
        <row r="765">
          <cell r="A765">
            <v>100082</v>
          </cell>
          <cell r="T765">
            <v>0</v>
          </cell>
          <cell r="U765">
            <v>0</v>
          </cell>
        </row>
        <row r="766">
          <cell r="A766">
            <v>100083</v>
          </cell>
          <cell r="T766">
            <v>0</v>
          </cell>
          <cell r="U766">
            <v>0</v>
          </cell>
        </row>
        <row r="767">
          <cell r="A767">
            <v>100084</v>
          </cell>
          <cell r="T767">
            <v>0</v>
          </cell>
          <cell r="U767">
            <v>0</v>
          </cell>
        </row>
        <row r="768">
          <cell r="A768">
            <v>100085</v>
          </cell>
          <cell r="T768">
            <v>0</v>
          </cell>
          <cell r="U768">
            <v>0</v>
          </cell>
        </row>
        <row r="769">
          <cell r="A769">
            <v>100086</v>
          </cell>
          <cell r="T769">
            <v>0</v>
          </cell>
          <cell r="U769">
            <v>0</v>
          </cell>
        </row>
        <row r="770">
          <cell r="A770">
            <v>100087</v>
          </cell>
          <cell r="T770">
            <v>0</v>
          </cell>
          <cell r="U770">
            <v>0</v>
          </cell>
        </row>
        <row r="771">
          <cell r="A771">
            <v>100088</v>
          </cell>
          <cell r="T771">
            <v>0</v>
          </cell>
          <cell r="U771">
            <v>0</v>
          </cell>
        </row>
        <row r="772">
          <cell r="A772">
            <v>100089</v>
          </cell>
          <cell r="T772">
            <v>0</v>
          </cell>
          <cell r="U772">
            <v>0</v>
          </cell>
        </row>
        <row r="773">
          <cell r="A773">
            <v>100090</v>
          </cell>
          <cell r="T773">
            <v>0</v>
          </cell>
          <cell r="U773">
            <v>0</v>
          </cell>
        </row>
        <row r="774">
          <cell r="A774">
            <v>100091</v>
          </cell>
          <cell r="T774">
            <v>0</v>
          </cell>
          <cell r="U774">
            <v>0</v>
          </cell>
        </row>
        <row r="775">
          <cell r="A775">
            <v>100092</v>
          </cell>
          <cell r="T775">
            <v>0</v>
          </cell>
          <cell r="U775">
            <v>0</v>
          </cell>
        </row>
        <row r="776">
          <cell r="A776">
            <v>100093</v>
          </cell>
          <cell r="T776">
            <v>0</v>
          </cell>
          <cell r="U776">
            <v>0</v>
          </cell>
        </row>
        <row r="777">
          <cell r="A777">
            <v>100094</v>
          </cell>
          <cell r="T777">
            <v>0</v>
          </cell>
          <cell r="U777">
            <v>0</v>
          </cell>
        </row>
        <row r="778">
          <cell r="A778">
            <v>100095</v>
          </cell>
          <cell r="T778">
            <v>0</v>
          </cell>
          <cell r="U778">
            <v>0</v>
          </cell>
        </row>
        <row r="779">
          <cell r="A779">
            <v>100096</v>
          </cell>
          <cell r="T779">
            <v>0</v>
          </cell>
          <cell r="U779">
            <v>0</v>
          </cell>
        </row>
        <row r="780">
          <cell r="A780">
            <v>100097</v>
          </cell>
          <cell r="T780">
            <v>0</v>
          </cell>
          <cell r="U780">
            <v>0</v>
          </cell>
        </row>
        <row r="781">
          <cell r="A781">
            <v>100098</v>
          </cell>
          <cell r="T781">
            <v>0</v>
          </cell>
          <cell r="U781">
            <v>0</v>
          </cell>
        </row>
        <row r="782">
          <cell r="A782">
            <v>100099</v>
          </cell>
          <cell r="T782">
            <v>0</v>
          </cell>
          <cell r="U782">
            <v>0</v>
          </cell>
        </row>
        <row r="783">
          <cell r="A783">
            <v>100100</v>
          </cell>
          <cell r="T783">
            <v>0</v>
          </cell>
          <cell r="U783">
            <v>0</v>
          </cell>
        </row>
        <row r="784">
          <cell r="A784">
            <v>100101</v>
          </cell>
          <cell r="T784">
            <v>0</v>
          </cell>
          <cell r="U784">
            <v>0</v>
          </cell>
        </row>
        <row r="785">
          <cell r="A785">
            <v>100102</v>
          </cell>
          <cell r="T785">
            <v>0</v>
          </cell>
          <cell r="U785">
            <v>0</v>
          </cell>
        </row>
        <row r="786">
          <cell r="A786">
            <v>100103</v>
          </cell>
          <cell r="T786">
            <v>0</v>
          </cell>
          <cell r="U786">
            <v>0</v>
          </cell>
        </row>
        <row r="787">
          <cell r="A787">
            <v>100104</v>
          </cell>
          <cell r="T787">
            <v>0</v>
          </cell>
          <cell r="U787">
            <v>0</v>
          </cell>
        </row>
        <row r="788">
          <cell r="A788">
            <v>100105</v>
          </cell>
          <cell r="T788">
            <v>0</v>
          </cell>
          <cell r="U788">
            <v>0</v>
          </cell>
        </row>
        <row r="789">
          <cell r="A789">
            <v>100106</v>
          </cell>
          <cell r="T789">
            <v>0</v>
          </cell>
          <cell r="U789">
            <v>0</v>
          </cell>
        </row>
        <row r="790">
          <cell r="A790">
            <v>100107</v>
          </cell>
          <cell r="T790">
            <v>0</v>
          </cell>
          <cell r="U790">
            <v>0</v>
          </cell>
        </row>
        <row r="791">
          <cell r="A791">
            <v>100108</v>
          </cell>
          <cell r="T791">
            <v>0</v>
          </cell>
          <cell r="U791">
            <v>0</v>
          </cell>
        </row>
        <row r="792">
          <cell r="A792">
            <v>100109</v>
          </cell>
          <cell r="T792">
            <v>0</v>
          </cell>
          <cell r="U792">
            <v>0</v>
          </cell>
        </row>
        <row r="793">
          <cell r="A793">
            <v>100110</v>
          </cell>
          <cell r="T793">
            <v>0</v>
          </cell>
          <cell r="U793">
            <v>0</v>
          </cell>
        </row>
        <row r="794">
          <cell r="A794">
            <v>100111</v>
          </cell>
          <cell r="T794">
            <v>0</v>
          </cell>
          <cell r="U794">
            <v>0</v>
          </cell>
        </row>
        <row r="795">
          <cell r="A795">
            <v>100112</v>
          </cell>
          <cell r="T795">
            <v>0</v>
          </cell>
          <cell r="U795">
            <v>0</v>
          </cell>
        </row>
        <row r="796">
          <cell r="A796">
            <v>100113</v>
          </cell>
          <cell r="T796">
            <v>0</v>
          </cell>
          <cell r="U796">
            <v>0</v>
          </cell>
        </row>
        <row r="797">
          <cell r="A797">
            <v>100114</v>
          </cell>
          <cell r="T797">
            <v>0</v>
          </cell>
          <cell r="U797">
            <v>0</v>
          </cell>
        </row>
        <row r="798">
          <cell r="A798">
            <v>100115</v>
          </cell>
          <cell r="T798">
            <v>0</v>
          </cell>
          <cell r="U798">
            <v>0</v>
          </cell>
        </row>
        <row r="799">
          <cell r="A799">
            <v>100116</v>
          </cell>
          <cell r="T799">
            <v>0</v>
          </cell>
          <cell r="U799">
            <v>0</v>
          </cell>
        </row>
        <row r="800">
          <cell r="A800">
            <v>100117</v>
          </cell>
          <cell r="T800">
            <v>0</v>
          </cell>
          <cell r="U800">
            <v>0</v>
          </cell>
        </row>
        <row r="801">
          <cell r="A801">
            <v>100118</v>
          </cell>
          <cell r="T801">
            <v>0</v>
          </cell>
          <cell r="U801">
            <v>0</v>
          </cell>
        </row>
        <row r="802">
          <cell r="A802">
            <v>100119</v>
          </cell>
          <cell r="T802">
            <v>0</v>
          </cell>
          <cell r="U802">
            <v>0</v>
          </cell>
        </row>
        <row r="803">
          <cell r="A803">
            <v>100120</v>
          </cell>
          <cell r="T803">
            <v>0</v>
          </cell>
          <cell r="U803">
            <v>0</v>
          </cell>
        </row>
        <row r="804">
          <cell r="A804">
            <v>100121</v>
          </cell>
          <cell r="T804">
            <v>0</v>
          </cell>
          <cell r="U804">
            <v>0</v>
          </cell>
        </row>
        <row r="805">
          <cell r="A805">
            <v>100122</v>
          </cell>
          <cell r="T805">
            <v>0</v>
          </cell>
          <cell r="U805">
            <v>0</v>
          </cell>
        </row>
        <row r="806">
          <cell r="A806">
            <v>100123</v>
          </cell>
          <cell r="T806">
            <v>0</v>
          </cell>
          <cell r="U806">
            <v>0</v>
          </cell>
        </row>
        <row r="807">
          <cell r="A807">
            <v>100124</v>
          </cell>
          <cell r="T807">
            <v>0</v>
          </cell>
          <cell r="U807">
            <v>0</v>
          </cell>
        </row>
        <row r="808">
          <cell r="A808">
            <v>100125</v>
          </cell>
          <cell r="T808">
            <v>0</v>
          </cell>
          <cell r="U808">
            <v>0</v>
          </cell>
        </row>
        <row r="809">
          <cell r="A809">
            <v>100126</v>
          </cell>
          <cell r="T809">
            <v>0</v>
          </cell>
          <cell r="U809">
            <v>0</v>
          </cell>
        </row>
        <row r="810">
          <cell r="A810">
            <v>100127</v>
          </cell>
          <cell r="T810">
            <v>0</v>
          </cell>
          <cell r="U810">
            <v>0</v>
          </cell>
        </row>
        <row r="811">
          <cell r="A811">
            <v>100128</v>
          </cell>
          <cell r="T811">
            <v>0</v>
          </cell>
          <cell r="U811">
            <v>0</v>
          </cell>
        </row>
        <row r="812">
          <cell r="A812">
            <v>100129</v>
          </cell>
          <cell r="T812">
            <v>0</v>
          </cell>
          <cell r="U812">
            <v>0</v>
          </cell>
        </row>
        <row r="813">
          <cell r="A813">
            <v>100130</v>
          </cell>
          <cell r="T813">
            <v>0</v>
          </cell>
          <cell r="U813">
            <v>0</v>
          </cell>
        </row>
        <row r="814">
          <cell r="A814">
            <v>1001201</v>
          </cell>
          <cell r="T814">
            <v>0</v>
          </cell>
          <cell r="U814">
            <v>0</v>
          </cell>
        </row>
        <row r="815">
          <cell r="A815">
            <v>1001202</v>
          </cell>
          <cell r="T815">
            <v>0</v>
          </cell>
          <cell r="U815">
            <v>0</v>
          </cell>
        </row>
        <row r="816">
          <cell r="A816">
            <v>1001203</v>
          </cell>
          <cell r="T816">
            <v>0</v>
          </cell>
          <cell r="U816">
            <v>0</v>
          </cell>
        </row>
        <row r="817">
          <cell r="A817">
            <v>1001204</v>
          </cell>
          <cell r="T817">
            <v>0</v>
          </cell>
          <cell r="U817">
            <v>0</v>
          </cell>
        </row>
        <row r="818">
          <cell r="A818">
            <v>1001205</v>
          </cell>
          <cell r="T818">
            <v>0</v>
          </cell>
          <cell r="U818">
            <v>0</v>
          </cell>
        </row>
        <row r="819">
          <cell r="A819">
            <v>1001206</v>
          </cell>
          <cell r="T819">
            <v>0</v>
          </cell>
          <cell r="U819">
            <v>0</v>
          </cell>
        </row>
        <row r="820">
          <cell r="A820">
            <v>1001207</v>
          </cell>
          <cell r="T820">
            <v>0</v>
          </cell>
          <cell r="U820">
            <v>0</v>
          </cell>
        </row>
        <row r="821">
          <cell r="A821">
            <v>1001208</v>
          </cell>
          <cell r="T821">
            <v>0</v>
          </cell>
          <cell r="U821">
            <v>0</v>
          </cell>
        </row>
        <row r="822">
          <cell r="A822">
            <v>1001209</v>
          </cell>
          <cell r="T822">
            <v>0</v>
          </cell>
          <cell r="U822">
            <v>0</v>
          </cell>
        </row>
        <row r="823">
          <cell r="A823">
            <v>1001210</v>
          </cell>
          <cell r="T823">
            <v>0</v>
          </cell>
          <cell r="U823">
            <v>0</v>
          </cell>
        </row>
        <row r="824">
          <cell r="A824">
            <v>1001301</v>
          </cell>
          <cell r="T824">
            <v>0</v>
          </cell>
          <cell r="U824">
            <v>0</v>
          </cell>
        </row>
        <row r="825">
          <cell r="A825">
            <v>1001302</v>
          </cell>
          <cell r="T825">
            <v>0</v>
          </cell>
          <cell r="U825">
            <v>0</v>
          </cell>
        </row>
        <row r="826">
          <cell r="A826">
            <v>1001303</v>
          </cell>
          <cell r="T826">
            <v>0</v>
          </cell>
          <cell r="U826">
            <v>0</v>
          </cell>
        </row>
        <row r="827">
          <cell r="A827">
            <v>1001304</v>
          </cell>
          <cell r="T827">
            <v>0</v>
          </cell>
          <cell r="U827">
            <v>0</v>
          </cell>
        </row>
        <row r="828">
          <cell r="A828">
            <v>1001305</v>
          </cell>
          <cell r="T828">
            <v>0</v>
          </cell>
          <cell r="U828">
            <v>0</v>
          </cell>
        </row>
        <row r="829">
          <cell r="A829">
            <v>1001306</v>
          </cell>
          <cell r="T829">
            <v>0</v>
          </cell>
          <cell r="U829">
            <v>0</v>
          </cell>
        </row>
        <row r="830">
          <cell r="A830">
            <v>1001307</v>
          </cell>
          <cell r="T830">
            <v>0</v>
          </cell>
          <cell r="U830">
            <v>0</v>
          </cell>
        </row>
        <row r="831">
          <cell r="A831">
            <v>1001308</v>
          </cell>
          <cell r="T831">
            <v>0</v>
          </cell>
          <cell r="U831">
            <v>0</v>
          </cell>
        </row>
        <row r="832">
          <cell r="A832">
            <v>1001309</v>
          </cell>
          <cell r="T832">
            <v>0</v>
          </cell>
          <cell r="U832">
            <v>0</v>
          </cell>
        </row>
        <row r="833">
          <cell r="A833">
            <v>1001310</v>
          </cell>
          <cell r="T833">
            <v>0</v>
          </cell>
          <cell r="U833">
            <v>0</v>
          </cell>
        </row>
        <row r="834">
          <cell r="A834">
            <v>1001401</v>
          </cell>
          <cell r="T834">
            <v>0</v>
          </cell>
          <cell r="U834">
            <v>0</v>
          </cell>
        </row>
        <row r="835">
          <cell r="A835">
            <v>1001402</v>
          </cell>
          <cell r="T835">
            <v>0</v>
          </cell>
          <cell r="U835">
            <v>0</v>
          </cell>
        </row>
        <row r="836">
          <cell r="A836">
            <v>1001403</v>
          </cell>
          <cell r="T836">
            <v>0</v>
          </cell>
          <cell r="U836">
            <v>0</v>
          </cell>
        </row>
        <row r="837">
          <cell r="A837">
            <v>1001404</v>
          </cell>
          <cell r="T837">
            <v>0</v>
          </cell>
          <cell r="U837">
            <v>0</v>
          </cell>
        </row>
        <row r="838">
          <cell r="A838">
            <v>1001405</v>
          </cell>
          <cell r="T838">
            <v>0</v>
          </cell>
          <cell r="U838">
            <v>0</v>
          </cell>
        </row>
        <row r="839">
          <cell r="A839">
            <v>1001406</v>
          </cell>
          <cell r="T839">
            <v>0</v>
          </cell>
          <cell r="U839">
            <v>0</v>
          </cell>
        </row>
        <row r="840">
          <cell r="A840">
            <v>1001407</v>
          </cell>
          <cell r="T840">
            <v>0</v>
          </cell>
          <cell r="U840">
            <v>0</v>
          </cell>
        </row>
        <row r="841">
          <cell r="A841">
            <v>1001408</v>
          </cell>
          <cell r="T841">
            <v>0</v>
          </cell>
          <cell r="U841">
            <v>0</v>
          </cell>
        </row>
        <row r="842">
          <cell r="A842">
            <v>1001409</v>
          </cell>
          <cell r="T842">
            <v>0</v>
          </cell>
          <cell r="U842">
            <v>0</v>
          </cell>
        </row>
        <row r="843">
          <cell r="A843">
            <v>1001410</v>
          </cell>
          <cell r="T843">
            <v>0</v>
          </cell>
          <cell r="U843">
            <v>0</v>
          </cell>
        </row>
        <row r="844">
          <cell r="A844">
            <v>1001501</v>
          </cell>
          <cell r="T844">
            <v>0</v>
          </cell>
          <cell r="U844">
            <v>0</v>
          </cell>
        </row>
        <row r="845">
          <cell r="A845">
            <v>1001502</v>
          </cell>
          <cell r="T845">
            <v>0</v>
          </cell>
          <cell r="U845">
            <v>0</v>
          </cell>
        </row>
        <row r="846">
          <cell r="A846">
            <v>1001503</v>
          </cell>
          <cell r="T846">
            <v>0</v>
          </cell>
          <cell r="U846">
            <v>0</v>
          </cell>
        </row>
        <row r="847">
          <cell r="A847">
            <v>1001504</v>
          </cell>
          <cell r="T847">
            <v>0</v>
          </cell>
          <cell r="U847">
            <v>0</v>
          </cell>
        </row>
        <row r="848">
          <cell r="A848">
            <v>1001505</v>
          </cell>
          <cell r="T848">
            <v>0</v>
          </cell>
          <cell r="U848">
            <v>0</v>
          </cell>
        </row>
        <row r="849">
          <cell r="A849">
            <v>1001506</v>
          </cell>
          <cell r="T849">
            <v>0</v>
          </cell>
          <cell r="U849">
            <v>0</v>
          </cell>
        </row>
        <row r="850">
          <cell r="A850">
            <v>1001507</v>
          </cell>
          <cell r="T850">
            <v>0</v>
          </cell>
          <cell r="U850">
            <v>0</v>
          </cell>
        </row>
        <row r="851">
          <cell r="A851">
            <v>1001508</v>
          </cell>
          <cell r="T851">
            <v>0</v>
          </cell>
          <cell r="U851">
            <v>0</v>
          </cell>
        </row>
        <row r="852">
          <cell r="A852">
            <v>1001509</v>
          </cell>
          <cell r="T852">
            <v>0</v>
          </cell>
          <cell r="U852">
            <v>0</v>
          </cell>
        </row>
        <row r="853">
          <cell r="A853">
            <v>1001510</v>
          </cell>
          <cell r="T853">
            <v>0</v>
          </cell>
          <cell r="U853">
            <v>0</v>
          </cell>
        </row>
        <row r="854">
          <cell r="A854">
            <v>1025201</v>
          </cell>
          <cell r="T854">
            <v>0</v>
          </cell>
          <cell r="U854">
            <v>0</v>
          </cell>
        </row>
        <row r="855">
          <cell r="A855">
            <v>1025202</v>
          </cell>
          <cell r="T855">
            <v>0</v>
          </cell>
          <cell r="U855">
            <v>0</v>
          </cell>
        </row>
        <row r="856">
          <cell r="A856">
            <v>1025203</v>
          </cell>
          <cell r="T856">
            <v>0</v>
          </cell>
          <cell r="U856">
            <v>0</v>
          </cell>
        </row>
        <row r="857">
          <cell r="A857">
            <v>1025204</v>
          </cell>
          <cell r="T857">
            <v>0</v>
          </cell>
          <cell r="U857">
            <v>0</v>
          </cell>
        </row>
        <row r="858">
          <cell r="A858">
            <v>1025205</v>
          </cell>
          <cell r="T858">
            <v>0</v>
          </cell>
          <cell r="U858">
            <v>0</v>
          </cell>
        </row>
        <row r="859">
          <cell r="A859">
            <v>1025206</v>
          </cell>
          <cell r="T859">
            <v>0</v>
          </cell>
          <cell r="U859">
            <v>0</v>
          </cell>
        </row>
        <row r="860">
          <cell r="A860">
            <v>1025207</v>
          </cell>
          <cell r="T860">
            <v>0</v>
          </cell>
          <cell r="U860">
            <v>0</v>
          </cell>
        </row>
        <row r="861">
          <cell r="A861">
            <v>1025208</v>
          </cell>
          <cell r="T861">
            <v>0</v>
          </cell>
          <cell r="U861">
            <v>0</v>
          </cell>
        </row>
        <row r="862">
          <cell r="A862">
            <v>1025209</v>
          </cell>
          <cell r="T862">
            <v>0</v>
          </cell>
          <cell r="U862">
            <v>0</v>
          </cell>
        </row>
        <row r="863">
          <cell r="A863">
            <v>1025210</v>
          </cell>
          <cell r="T863">
            <v>0</v>
          </cell>
          <cell r="U863">
            <v>0</v>
          </cell>
        </row>
        <row r="864">
          <cell r="A864">
            <v>1025301</v>
          </cell>
          <cell r="T864">
            <v>0</v>
          </cell>
          <cell r="U864">
            <v>0</v>
          </cell>
        </row>
        <row r="865">
          <cell r="A865">
            <v>1025302</v>
          </cell>
          <cell r="T865">
            <v>0</v>
          </cell>
          <cell r="U865">
            <v>0</v>
          </cell>
        </row>
        <row r="866">
          <cell r="A866">
            <v>1025303</v>
          </cell>
          <cell r="T866">
            <v>0</v>
          </cell>
          <cell r="U866">
            <v>0</v>
          </cell>
        </row>
        <row r="867">
          <cell r="A867">
            <v>1025304</v>
          </cell>
          <cell r="T867">
            <v>0</v>
          </cell>
          <cell r="U867">
            <v>0</v>
          </cell>
        </row>
        <row r="868">
          <cell r="A868">
            <v>1025305</v>
          </cell>
          <cell r="T868">
            <v>0</v>
          </cell>
          <cell r="U868">
            <v>0</v>
          </cell>
        </row>
        <row r="869">
          <cell r="A869">
            <v>1025306</v>
          </cell>
          <cell r="T869">
            <v>0</v>
          </cell>
          <cell r="U869">
            <v>0</v>
          </cell>
        </row>
        <row r="870">
          <cell r="A870">
            <v>1025307</v>
          </cell>
          <cell r="T870">
            <v>0</v>
          </cell>
          <cell r="U870">
            <v>0</v>
          </cell>
        </row>
        <row r="871">
          <cell r="A871">
            <v>1025308</v>
          </cell>
          <cell r="T871">
            <v>0</v>
          </cell>
          <cell r="U871">
            <v>0</v>
          </cell>
        </row>
        <row r="872">
          <cell r="A872">
            <v>1025309</v>
          </cell>
          <cell r="T872">
            <v>0</v>
          </cell>
          <cell r="U872">
            <v>0</v>
          </cell>
        </row>
        <row r="873">
          <cell r="A873">
            <v>1025310</v>
          </cell>
          <cell r="T873">
            <v>0</v>
          </cell>
          <cell r="U873">
            <v>0</v>
          </cell>
        </row>
        <row r="874">
          <cell r="A874">
            <v>1025401</v>
          </cell>
          <cell r="T874">
            <v>0</v>
          </cell>
          <cell r="U874">
            <v>0</v>
          </cell>
        </row>
        <row r="875">
          <cell r="A875">
            <v>1025402</v>
          </cell>
          <cell r="T875">
            <v>0</v>
          </cell>
          <cell r="U875">
            <v>0</v>
          </cell>
        </row>
        <row r="876">
          <cell r="A876">
            <v>1025403</v>
          </cell>
          <cell r="T876">
            <v>0</v>
          </cell>
          <cell r="U876">
            <v>0</v>
          </cell>
        </row>
        <row r="877">
          <cell r="A877">
            <v>1025404</v>
          </cell>
          <cell r="T877">
            <v>0</v>
          </cell>
          <cell r="U877">
            <v>0</v>
          </cell>
        </row>
        <row r="878">
          <cell r="A878">
            <v>1025405</v>
          </cell>
          <cell r="T878">
            <v>0</v>
          </cell>
          <cell r="U878">
            <v>0</v>
          </cell>
        </row>
        <row r="879">
          <cell r="A879">
            <v>1025406</v>
          </cell>
          <cell r="T879">
            <v>0</v>
          </cell>
          <cell r="U879">
            <v>0</v>
          </cell>
        </row>
        <row r="880">
          <cell r="A880">
            <v>1025407</v>
          </cell>
          <cell r="T880">
            <v>0</v>
          </cell>
          <cell r="U880">
            <v>0</v>
          </cell>
        </row>
        <row r="881">
          <cell r="A881">
            <v>1025408</v>
          </cell>
          <cell r="T881">
            <v>0</v>
          </cell>
          <cell r="U881">
            <v>0</v>
          </cell>
        </row>
        <row r="882">
          <cell r="A882">
            <v>1025409</v>
          </cell>
          <cell r="T882">
            <v>0</v>
          </cell>
          <cell r="U882">
            <v>0</v>
          </cell>
        </row>
        <row r="883">
          <cell r="A883">
            <v>1025410</v>
          </cell>
          <cell r="T883">
            <v>0</v>
          </cell>
          <cell r="U883">
            <v>0</v>
          </cell>
        </row>
        <row r="884">
          <cell r="A884">
            <v>1025501</v>
          </cell>
          <cell r="T884">
            <v>0</v>
          </cell>
          <cell r="U884">
            <v>0</v>
          </cell>
        </row>
        <row r="885">
          <cell r="A885">
            <v>1025502</v>
          </cell>
          <cell r="T885">
            <v>0</v>
          </cell>
          <cell r="U885">
            <v>0</v>
          </cell>
        </row>
        <row r="886">
          <cell r="A886">
            <v>1025503</v>
          </cell>
          <cell r="T886">
            <v>0</v>
          </cell>
          <cell r="U886">
            <v>0</v>
          </cell>
        </row>
        <row r="887">
          <cell r="A887">
            <v>1025504</v>
          </cell>
          <cell r="T887">
            <v>0</v>
          </cell>
          <cell r="U887">
            <v>0</v>
          </cell>
        </row>
        <row r="888">
          <cell r="A888">
            <v>1025505</v>
          </cell>
          <cell r="T888">
            <v>0</v>
          </cell>
          <cell r="U888">
            <v>0</v>
          </cell>
        </row>
        <row r="889">
          <cell r="A889">
            <v>1025506</v>
          </cell>
          <cell r="T889">
            <v>0</v>
          </cell>
          <cell r="U889">
            <v>0</v>
          </cell>
        </row>
        <row r="890">
          <cell r="A890">
            <v>1025507</v>
          </cell>
          <cell r="T890">
            <v>0</v>
          </cell>
          <cell r="U890">
            <v>0</v>
          </cell>
        </row>
        <row r="891">
          <cell r="A891">
            <v>1025508</v>
          </cell>
          <cell r="T891">
            <v>0</v>
          </cell>
          <cell r="U891">
            <v>0</v>
          </cell>
        </row>
        <row r="892">
          <cell r="A892">
            <v>1025509</v>
          </cell>
          <cell r="T892">
            <v>0</v>
          </cell>
          <cell r="U892">
            <v>0</v>
          </cell>
        </row>
        <row r="893">
          <cell r="A893">
            <v>1025510</v>
          </cell>
          <cell r="T893">
            <v>0</v>
          </cell>
          <cell r="U893">
            <v>0</v>
          </cell>
        </row>
        <row r="894">
          <cell r="A894">
            <v>1050201</v>
          </cell>
          <cell r="T894">
            <v>0</v>
          </cell>
          <cell r="U894">
            <v>0</v>
          </cell>
        </row>
        <row r="895">
          <cell r="A895">
            <v>1050202</v>
          </cell>
          <cell r="T895">
            <v>0</v>
          </cell>
          <cell r="U895">
            <v>0</v>
          </cell>
        </row>
        <row r="896">
          <cell r="A896">
            <v>1050203</v>
          </cell>
          <cell r="T896">
            <v>0</v>
          </cell>
          <cell r="U896">
            <v>0</v>
          </cell>
        </row>
        <row r="897">
          <cell r="A897">
            <v>1050204</v>
          </cell>
          <cell r="T897">
            <v>0</v>
          </cell>
          <cell r="U897">
            <v>0</v>
          </cell>
        </row>
        <row r="898">
          <cell r="A898">
            <v>1050205</v>
          </cell>
          <cell r="T898">
            <v>0</v>
          </cell>
          <cell r="U898">
            <v>0</v>
          </cell>
        </row>
        <row r="899">
          <cell r="A899">
            <v>1050206</v>
          </cell>
          <cell r="T899">
            <v>0</v>
          </cell>
          <cell r="U899">
            <v>0</v>
          </cell>
        </row>
        <row r="900">
          <cell r="A900">
            <v>1050207</v>
          </cell>
          <cell r="T900">
            <v>0</v>
          </cell>
          <cell r="U900">
            <v>0</v>
          </cell>
        </row>
        <row r="901">
          <cell r="A901">
            <v>1050208</v>
          </cell>
          <cell r="T901">
            <v>0</v>
          </cell>
          <cell r="U901">
            <v>0</v>
          </cell>
        </row>
        <row r="902">
          <cell r="A902">
            <v>1050209</v>
          </cell>
          <cell r="T902">
            <v>0</v>
          </cell>
          <cell r="U902">
            <v>0</v>
          </cell>
        </row>
        <row r="903">
          <cell r="A903">
            <v>1050210</v>
          </cell>
          <cell r="T903">
            <v>0</v>
          </cell>
          <cell r="U903">
            <v>0</v>
          </cell>
        </row>
        <row r="904">
          <cell r="A904">
            <v>1050301</v>
          </cell>
          <cell r="T904">
            <v>0</v>
          </cell>
          <cell r="U904">
            <v>0</v>
          </cell>
        </row>
        <row r="905">
          <cell r="A905">
            <v>1050302</v>
          </cell>
          <cell r="T905">
            <v>0</v>
          </cell>
          <cell r="U905">
            <v>0</v>
          </cell>
        </row>
        <row r="906">
          <cell r="A906">
            <v>1050303</v>
          </cell>
          <cell r="T906">
            <v>0</v>
          </cell>
          <cell r="U906">
            <v>0</v>
          </cell>
        </row>
        <row r="907">
          <cell r="A907">
            <v>1050304</v>
          </cell>
          <cell r="T907">
            <v>0</v>
          </cell>
          <cell r="U907">
            <v>0</v>
          </cell>
        </row>
        <row r="908">
          <cell r="A908">
            <v>1050305</v>
          </cell>
          <cell r="T908">
            <v>0</v>
          </cell>
          <cell r="U908">
            <v>0</v>
          </cell>
        </row>
        <row r="909">
          <cell r="A909">
            <v>1050306</v>
          </cell>
          <cell r="T909">
            <v>0</v>
          </cell>
          <cell r="U909">
            <v>0</v>
          </cell>
        </row>
        <row r="910">
          <cell r="A910">
            <v>1050307</v>
          </cell>
          <cell r="T910">
            <v>0</v>
          </cell>
          <cell r="U910">
            <v>0</v>
          </cell>
        </row>
        <row r="911">
          <cell r="A911">
            <v>1050308</v>
          </cell>
          <cell r="T911">
            <v>0</v>
          </cell>
          <cell r="U911">
            <v>0</v>
          </cell>
        </row>
        <row r="912">
          <cell r="A912">
            <v>1050309</v>
          </cell>
          <cell r="T912">
            <v>0</v>
          </cell>
          <cell r="U912">
            <v>0</v>
          </cell>
        </row>
        <row r="913">
          <cell r="A913">
            <v>1050310</v>
          </cell>
          <cell r="T913">
            <v>0</v>
          </cell>
          <cell r="U913">
            <v>0</v>
          </cell>
        </row>
        <row r="914">
          <cell r="A914">
            <v>1050401</v>
          </cell>
          <cell r="T914">
            <v>0</v>
          </cell>
          <cell r="U914">
            <v>0</v>
          </cell>
        </row>
        <row r="915">
          <cell r="A915">
            <v>1050402</v>
          </cell>
          <cell r="T915">
            <v>0</v>
          </cell>
          <cell r="U915">
            <v>0</v>
          </cell>
        </row>
        <row r="916">
          <cell r="A916">
            <v>1050403</v>
          </cell>
          <cell r="T916">
            <v>0</v>
          </cell>
          <cell r="U916">
            <v>0</v>
          </cell>
        </row>
        <row r="917">
          <cell r="A917">
            <v>1050404</v>
          </cell>
          <cell r="T917">
            <v>0</v>
          </cell>
          <cell r="U917">
            <v>0</v>
          </cell>
        </row>
        <row r="918">
          <cell r="A918">
            <v>1050405</v>
          </cell>
          <cell r="T918">
            <v>0</v>
          </cell>
          <cell r="U918">
            <v>0</v>
          </cell>
        </row>
        <row r="919">
          <cell r="A919">
            <v>1050406</v>
          </cell>
          <cell r="T919">
            <v>0</v>
          </cell>
          <cell r="U919">
            <v>0</v>
          </cell>
        </row>
        <row r="920">
          <cell r="A920">
            <v>1050407</v>
          </cell>
          <cell r="T920">
            <v>0</v>
          </cell>
          <cell r="U920">
            <v>0</v>
          </cell>
        </row>
        <row r="921">
          <cell r="A921">
            <v>1050408</v>
          </cell>
          <cell r="T921">
            <v>0</v>
          </cell>
          <cell r="U921">
            <v>0</v>
          </cell>
        </row>
        <row r="922">
          <cell r="A922">
            <v>1050409</v>
          </cell>
          <cell r="T922">
            <v>0</v>
          </cell>
          <cell r="U922">
            <v>0</v>
          </cell>
        </row>
        <row r="923">
          <cell r="A923">
            <v>1050410</v>
          </cell>
          <cell r="T923">
            <v>0</v>
          </cell>
          <cell r="U923">
            <v>0</v>
          </cell>
        </row>
        <row r="924">
          <cell r="A924">
            <v>1050501</v>
          </cell>
          <cell r="T924">
            <v>0</v>
          </cell>
          <cell r="U924">
            <v>0</v>
          </cell>
        </row>
        <row r="925">
          <cell r="A925">
            <v>1050502</v>
          </cell>
          <cell r="T925">
            <v>0</v>
          </cell>
          <cell r="U925">
            <v>0</v>
          </cell>
        </row>
        <row r="926">
          <cell r="A926">
            <v>1050503</v>
          </cell>
          <cell r="T926">
            <v>0</v>
          </cell>
          <cell r="U926">
            <v>0</v>
          </cell>
        </row>
        <row r="927">
          <cell r="A927">
            <v>1050504</v>
          </cell>
          <cell r="T927">
            <v>0</v>
          </cell>
          <cell r="U927">
            <v>0</v>
          </cell>
        </row>
        <row r="928">
          <cell r="A928">
            <v>1050505</v>
          </cell>
          <cell r="T928">
            <v>0</v>
          </cell>
          <cell r="U928">
            <v>0</v>
          </cell>
        </row>
        <row r="929">
          <cell r="A929">
            <v>1050506</v>
          </cell>
          <cell r="T929">
            <v>0</v>
          </cell>
          <cell r="U929">
            <v>0</v>
          </cell>
        </row>
        <row r="930">
          <cell r="A930">
            <v>1050507</v>
          </cell>
          <cell r="T930">
            <v>0</v>
          </cell>
          <cell r="U930">
            <v>0</v>
          </cell>
        </row>
        <row r="931">
          <cell r="A931">
            <v>1050508</v>
          </cell>
          <cell r="T931">
            <v>0</v>
          </cell>
          <cell r="U931">
            <v>0</v>
          </cell>
        </row>
        <row r="932">
          <cell r="A932">
            <v>1050509</v>
          </cell>
          <cell r="T932">
            <v>0</v>
          </cell>
          <cell r="U932">
            <v>0</v>
          </cell>
        </row>
        <row r="933">
          <cell r="A933">
            <v>1050510</v>
          </cell>
          <cell r="T933">
            <v>0</v>
          </cell>
          <cell r="U933">
            <v>0</v>
          </cell>
        </row>
        <row r="934">
          <cell r="A934">
            <v>1075201</v>
          </cell>
          <cell r="T934">
            <v>0</v>
          </cell>
          <cell r="U934">
            <v>0</v>
          </cell>
        </row>
        <row r="935">
          <cell r="A935">
            <v>1075202</v>
          </cell>
          <cell r="T935">
            <v>0</v>
          </cell>
          <cell r="U935">
            <v>0</v>
          </cell>
        </row>
        <row r="936">
          <cell r="A936">
            <v>1075203</v>
          </cell>
          <cell r="T936">
            <v>0</v>
          </cell>
          <cell r="U936">
            <v>0</v>
          </cell>
        </row>
        <row r="937">
          <cell r="A937">
            <v>1075204</v>
          </cell>
          <cell r="T937">
            <v>0</v>
          </cell>
          <cell r="U937">
            <v>0</v>
          </cell>
        </row>
        <row r="938">
          <cell r="A938">
            <v>1075205</v>
          </cell>
          <cell r="T938">
            <v>0</v>
          </cell>
          <cell r="U938">
            <v>0</v>
          </cell>
        </row>
        <row r="939">
          <cell r="A939">
            <v>1075206</v>
          </cell>
          <cell r="T939">
            <v>0</v>
          </cell>
          <cell r="U939">
            <v>0</v>
          </cell>
        </row>
        <row r="940">
          <cell r="A940">
            <v>1075207</v>
          </cell>
          <cell r="T940">
            <v>0</v>
          </cell>
          <cell r="U940">
            <v>0</v>
          </cell>
        </row>
        <row r="941">
          <cell r="A941">
            <v>1075208</v>
          </cell>
          <cell r="T941">
            <v>0</v>
          </cell>
          <cell r="U941">
            <v>0</v>
          </cell>
        </row>
        <row r="942">
          <cell r="A942">
            <v>1075209</v>
          </cell>
          <cell r="T942">
            <v>0</v>
          </cell>
          <cell r="U942">
            <v>0</v>
          </cell>
        </row>
        <row r="943">
          <cell r="A943">
            <v>1075210</v>
          </cell>
          <cell r="T943">
            <v>0</v>
          </cell>
          <cell r="U943">
            <v>0</v>
          </cell>
        </row>
        <row r="944">
          <cell r="A944">
            <v>1075301</v>
          </cell>
          <cell r="T944">
            <v>0</v>
          </cell>
          <cell r="U944">
            <v>0</v>
          </cell>
        </row>
        <row r="945">
          <cell r="A945">
            <v>1075302</v>
          </cell>
          <cell r="T945">
            <v>0</v>
          </cell>
          <cell r="U945">
            <v>0</v>
          </cell>
        </row>
        <row r="946">
          <cell r="A946">
            <v>1075303</v>
          </cell>
          <cell r="T946">
            <v>0</v>
          </cell>
          <cell r="U946">
            <v>0</v>
          </cell>
        </row>
        <row r="947">
          <cell r="A947">
            <v>1075304</v>
          </cell>
          <cell r="T947">
            <v>0</v>
          </cell>
          <cell r="U947">
            <v>0</v>
          </cell>
        </row>
        <row r="948">
          <cell r="A948">
            <v>1075305</v>
          </cell>
          <cell r="T948">
            <v>0</v>
          </cell>
          <cell r="U948">
            <v>0</v>
          </cell>
        </row>
        <row r="949">
          <cell r="A949">
            <v>1075306</v>
          </cell>
          <cell r="T949">
            <v>0</v>
          </cell>
          <cell r="U949">
            <v>0</v>
          </cell>
        </row>
        <row r="950">
          <cell r="A950">
            <v>1075307</v>
          </cell>
          <cell r="T950">
            <v>0</v>
          </cell>
          <cell r="U950">
            <v>0</v>
          </cell>
        </row>
        <row r="951">
          <cell r="A951">
            <v>1075308</v>
          </cell>
          <cell r="T951">
            <v>0</v>
          </cell>
          <cell r="U951">
            <v>0</v>
          </cell>
        </row>
        <row r="952">
          <cell r="A952">
            <v>1075309</v>
          </cell>
          <cell r="T952">
            <v>0</v>
          </cell>
          <cell r="U952">
            <v>0</v>
          </cell>
        </row>
        <row r="953">
          <cell r="A953">
            <v>1075310</v>
          </cell>
          <cell r="T953">
            <v>0</v>
          </cell>
          <cell r="U953">
            <v>0</v>
          </cell>
        </row>
        <row r="954">
          <cell r="A954">
            <v>1075401</v>
          </cell>
          <cell r="T954">
            <v>0</v>
          </cell>
          <cell r="U954">
            <v>0</v>
          </cell>
        </row>
        <row r="955">
          <cell r="A955">
            <v>1075402</v>
          </cell>
          <cell r="T955">
            <v>0</v>
          </cell>
          <cell r="U955">
            <v>0</v>
          </cell>
        </row>
        <row r="956">
          <cell r="A956">
            <v>1075403</v>
          </cell>
          <cell r="T956">
            <v>0</v>
          </cell>
          <cell r="U956">
            <v>0</v>
          </cell>
        </row>
        <row r="957">
          <cell r="A957">
            <v>1075404</v>
          </cell>
          <cell r="T957">
            <v>0</v>
          </cell>
          <cell r="U957">
            <v>0</v>
          </cell>
        </row>
        <row r="958">
          <cell r="A958">
            <v>1075405</v>
          </cell>
          <cell r="T958">
            <v>0</v>
          </cell>
          <cell r="U958">
            <v>0</v>
          </cell>
        </row>
        <row r="959">
          <cell r="A959">
            <v>1075406</v>
          </cell>
          <cell r="T959">
            <v>0</v>
          </cell>
          <cell r="U959">
            <v>0</v>
          </cell>
        </row>
        <row r="960">
          <cell r="A960">
            <v>1075407</v>
          </cell>
          <cell r="T960">
            <v>0</v>
          </cell>
          <cell r="U960">
            <v>0</v>
          </cell>
        </row>
        <row r="961">
          <cell r="A961">
            <v>1075408</v>
          </cell>
          <cell r="T961">
            <v>0</v>
          </cell>
          <cell r="U961">
            <v>0</v>
          </cell>
        </row>
        <row r="962">
          <cell r="A962">
            <v>1075409</v>
          </cell>
          <cell r="T962">
            <v>0</v>
          </cell>
          <cell r="U962">
            <v>0</v>
          </cell>
        </row>
        <row r="963">
          <cell r="A963">
            <v>1075410</v>
          </cell>
          <cell r="T963">
            <v>0</v>
          </cell>
          <cell r="U963">
            <v>0</v>
          </cell>
        </row>
        <row r="964">
          <cell r="A964">
            <v>1075501</v>
          </cell>
          <cell r="T964">
            <v>0</v>
          </cell>
          <cell r="U964">
            <v>0</v>
          </cell>
        </row>
        <row r="965">
          <cell r="A965">
            <v>1075502</v>
          </cell>
          <cell r="T965">
            <v>0</v>
          </cell>
          <cell r="U965">
            <v>0</v>
          </cell>
        </row>
        <row r="966">
          <cell r="A966">
            <v>1075503</v>
          </cell>
          <cell r="T966">
            <v>0</v>
          </cell>
          <cell r="U966">
            <v>0</v>
          </cell>
        </row>
        <row r="967">
          <cell r="A967">
            <v>1075504</v>
          </cell>
          <cell r="T967">
            <v>0</v>
          </cell>
          <cell r="U967">
            <v>0</v>
          </cell>
        </row>
        <row r="968">
          <cell r="A968">
            <v>1075505</v>
          </cell>
          <cell r="T968">
            <v>0</v>
          </cell>
          <cell r="U968">
            <v>0</v>
          </cell>
        </row>
        <row r="969">
          <cell r="A969">
            <v>1075506</v>
          </cell>
          <cell r="T969">
            <v>0</v>
          </cell>
          <cell r="U969">
            <v>0</v>
          </cell>
        </row>
        <row r="970">
          <cell r="A970">
            <v>1075507</v>
          </cell>
          <cell r="T970">
            <v>0</v>
          </cell>
          <cell r="U970">
            <v>0</v>
          </cell>
        </row>
        <row r="971">
          <cell r="A971">
            <v>1075508</v>
          </cell>
          <cell r="T971">
            <v>0</v>
          </cell>
          <cell r="U971">
            <v>0</v>
          </cell>
        </row>
        <row r="972">
          <cell r="A972">
            <v>1075509</v>
          </cell>
          <cell r="T972">
            <v>0</v>
          </cell>
          <cell r="U972">
            <v>0</v>
          </cell>
        </row>
        <row r="973">
          <cell r="A973">
            <v>1075510</v>
          </cell>
          <cell r="T973">
            <v>0</v>
          </cell>
          <cell r="U973">
            <v>0</v>
          </cell>
        </row>
        <row r="974">
          <cell r="A974">
            <v>1100201</v>
          </cell>
          <cell r="T974">
            <v>0</v>
          </cell>
          <cell r="U974">
            <v>0</v>
          </cell>
        </row>
        <row r="975">
          <cell r="A975">
            <v>1100202</v>
          </cell>
          <cell r="T975">
            <v>0</v>
          </cell>
          <cell r="U975">
            <v>0</v>
          </cell>
        </row>
        <row r="976">
          <cell r="A976">
            <v>1100203</v>
          </cell>
          <cell r="T976">
            <v>0</v>
          </cell>
          <cell r="U976">
            <v>0</v>
          </cell>
        </row>
        <row r="977">
          <cell r="A977">
            <v>1100204</v>
          </cell>
          <cell r="T977">
            <v>0</v>
          </cell>
          <cell r="U977">
            <v>0</v>
          </cell>
        </row>
        <row r="978">
          <cell r="A978">
            <v>1100205</v>
          </cell>
          <cell r="T978">
            <v>0</v>
          </cell>
          <cell r="U978">
            <v>0</v>
          </cell>
        </row>
        <row r="979">
          <cell r="A979">
            <v>1100206</v>
          </cell>
          <cell r="T979">
            <v>0</v>
          </cell>
          <cell r="U979">
            <v>0</v>
          </cell>
        </row>
        <row r="980">
          <cell r="A980">
            <v>1100207</v>
          </cell>
          <cell r="T980">
            <v>0</v>
          </cell>
          <cell r="U980">
            <v>0</v>
          </cell>
        </row>
        <row r="981">
          <cell r="A981">
            <v>1100208</v>
          </cell>
          <cell r="T981">
            <v>0</v>
          </cell>
          <cell r="U981">
            <v>0</v>
          </cell>
        </row>
        <row r="982">
          <cell r="A982">
            <v>1100209</v>
          </cell>
          <cell r="T982">
            <v>0</v>
          </cell>
          <cell r="U982">
            <v>0</v>
          </cell>
        </row>
        <row r="983">
          <cell r="A983">
            <v>1100210</v>
          </cell>
          <cell r="T983">
            <v>0</v>
          </cell>
          <cell r="U983">
            <v>0</v>
          </cell>
        </row>
        <row r="984">
          <cell r="A984">
            <v>1100301</v>
          </cell>
          <cell r="T984">
            <v>0</v>
          </cell>
          <cell r="U984">
            <v>0</v>
          </cell>
        </row>
        <row r="985">
          <cell r="A985">
            <v>1100302</v>
          </cell>
          <cell r="T985">
            <v>0</v>
          </cell>
          <cell r="U985">
            <v>0</v>
          </cell>
        </row>
        <row r="986">
          <cell r="A986">
            <v>1100303</v>
          </cell>
          <cell r="T986">
            <v>0</v>
          </cell>
          <cell r="U986">
            <v>0</v>
          </cell>
        </row>
        <row r="987">
          <cell r="A987">
            <v>1100304</v>
          </cell>
          <cell r="T987">
            <v>0</v>
          </cell>
          <cell r="U987">
            <v>0</v>
          </cell>
        </row>
        <row r="988">
          <cell r="A988">
            <v>1100305</v>
          </cell>
          <cell r="T988">
            <v>0</v>
          </cell>
          <cell r="U988">
            <v>0</v>
          </cell>
        </row>
        <row r="989">
          <cell r="A989">
            <v>1100306</v>
          </cell>
          <cell r="T989">
            <v>0</v>
          </cell>
          <cell r="U989">
            <v>0</v>
          </cell>
        </row>
        <row r="990">
          <cell r="A990">
            <v>1100307</v>
          </cell>
          <cell r="T990">
            <v>0</v>
          </cell>
          <cell r="U990">
            <v>0</v>
          </cell>
        </row>
        <row r="991">
          <cell r="A991">
            <v>1100308</v>
          </cell>
          <cell r="T991">
            <v>0</v>
          </cell>
          <cell r="U991">
            <v>0</v>
          </cell>
        </row>
        <row r="992">
          <cell r="A992">
            <v>1100309</v>
          </cell>
          <cell r="T992">
            <v>0</v>
          </cell>
          <cell r="U992">
            <v>0</v>
          </cell>
        </row>
        <row r="993">
          <cell r="A993">
            <v>1100310</v>
          </cell>
          <cell r="T993">
            <v>0</v>
          </cell>
          <cell r="U993">
            <v>0</v>
          </cell>
        </row>
        <row r="994">
          <cell r="A994">
            <v>1100401</v>
          </cell>
          <cell r="T994">
            <v>0</v>
          </cell>
          <cell r="U994">
            <v>0</v>
          </cell>
        </row>
        <row r="995">
          <cell r="A995">
            <v>1100402</v>
          </cell>
          <cell r="T995">
            <v>0</v>
          </cell>
          <cell r="U995">
            <v>0</v>
          </cell>
        </row>
        <row r="996">
          <cell r="A996">
            <v>1100403</v>
          </cell>
          <cell r="T996">
            <v>0</v>
          </cell>
          <cell r="U996">
            <v>0</v>
          </cell>
        </row>
        <row r="997">
          <cell r="A997">
            <v>1100404</v>
          </cell>
          <cell r="T997">
            <v>0</v>
          </cell>
          <cell r="U997">
            <v>0</v>
          </cell>
        </row>
        <row r="998">
          <cell r="A998">
            <v>1100405</v>
          </cell>
          <cell r="T998">
            <v>0</v>
          </cell>
          <cell r="U998">
            <v>0</v>
          </cell>
        </row>
        <row r="999">
          <cell r="A999">
            <v>1100406</v>
          </cell>
          <cell r="T999">
            <v>0</v>
          </cell>
          <cell r="U999">
            <v>0</v>
          </cell>
        </row>
        <row r="1000">
          <cell r="A1000">
            <v>1100407</v>
          </cell>
          <cell r="T1000">
            <v>0</v>
          </cell>
          <cell r="U1000">
            <v>0</v>
          </cell>
        </row>
        <row r="1001">
          <cell r="A1001">
            <v>1100408</v>
          </cell>
          <cell r="T1001">
            <v>0</v>
          </cell>
          <cell r="U1001">
            <v>0</v>
          </cell>
        </row>
        <row r="1002">
          <cell r="A1002">
            <v>1100409</v>
          </cell>
          <cell r="T1002">
            <v>0</v>
          </cell>
          <cell r="U1002">
            <v>0</v>
          </cell>
        </row>
        <row r="1003">
          <cell r="A1003">
            <v>1100410</v>
          </cell>
          <cell r="T1003">
            <v>0</v>
          </cell>
          <cell r="U1003">
            <v>0</v>
          </cell>
        </row>
        <row r="1004">
          <cell r="A1004">
            <v>1100501</v>
          </cell>
          <cell r="T1004">
            <v>0</v>
          </cell>
          <cell r="U1004">
            <v>0</v>
          </cell>
        </row>
        <row r="1005">
          <cell r="A1005">
            <v>1100502</v>
          </cell>
          <cell r="T1005">
            <v>0</v>
          </cell>
          <cell r="U1005">
            <v>0</v>
          </cell>
        </row>
        <row r="1006">
          <cell r="A1006">
            <v>1100503</v>
          </cell>
          <cell r="T1006">
            <v>0</v>
          </cell>
          <cell r="U1006">
            <v>0</v>
          </cell>
        </row>
        <row r="1007">
          <cell r="A1007">
            <v>1100504</v>
          </cell>
          <cell r="T1007">
            <v>0</v>
          </cell>
          <cell r="U1007">
            <v>0</v>
          </cell>
        </row>
        <row r="1008">
          <cell r="A1008">
            <v>1100505</v>
          </cell>
          <cell r="T1008">
            <v>0</v>
          </cell>
          <cell r="U1008">
            <v>0</v>
          </cell>
        </row>
        <row r="1009">
          <cell r="A1009">
            <v>1100506</v>
          </cell>
          <cell r="T1009">
            <v>0</v>
          </cell>
          <cell r="U1009">
            <v>0</v>
          </cell>
        </row>
        <row r="1010">
          <cell r="A1010">
            <v>1100507</v>
          </cell>
          <cell r="T1010">
            <v>0</v>
          </cell>
          <cell r="U1010">
            <v>0</v>
          </cell>
        </row>
        <row r="1011">
          <cell r="A1011">
            <v>1100508</v>
          </cell>
          <cell r="T1011">
            <v>0</v>
          </cell>
          <cell r="U1011">
            <v>0</v>
          </cell>
        </row>
        <row r="1012">
          <cell r="A1012">
            <v>1100509</v>
          </cell>
          <cell r="T1012">
            <v>0</v>
          </cell>
          <cell r="U1012">
            <v>0</v>
          </cell>
        </row>
        <row r="1013">
          <cell r="A1013">
            <v>1100510</v>
          </cell>
          <cell r="T1013">
            <v>0</v>
          </cell>
          <cell r="U1013">
            <v>0</v>
          </cell>
        </row>
        <row r="1014">
          <cell r="A1014">
            <v>1125201</v>
          </cell>
          <cell r="T1014">
            <v>0</v>
          </cell>
          <cell r="U1014">
            <v>0</v>
          </cell>
        </row>
        <row r="1015">
          <cell r="A1015">
            <v>1125202</v>
          </cell>
          <cell r="T1015">
            <v>0</v>
          </cell>
          <cell r="U1015">
            <v>0</v>
          </cell>
        </row>
        <row r="1016">
          <cell r="A1016">
            <v>1125203</v>
          </cell>
          <cell r="T1016">
            <v>0</v>
          </cell>
          <cell r="U1016">
            <v>0</v>
          </cell>
        </row>
        <row r="1017">
          <cell r="A1017">
            <v>1125204</v>
          </cell>
          <cell r="T1017">
            <v>0</v>
          </cell>
          <cell r="U1017">
            <v>0</v>
          </cell>
        </row>
        <row r="1018">
          <cell r="A1018">
            <v>1125205</v>
          </cell>
          <cell r="T1018">
            <v>0</v>
          </cell>
          <cell r="U1018">
            <v>0</v>
          </cell>
        </row>
        <row r="1019">
          <cell r="A1019">
            <v>1125206</v>
          </cell>
          <cell r="T1019">
            <v>0</v>
          </cell>
          <cell r="U1019">
            <v>0</v>
          </cell>
        </row>
        <row r="1020">
          <cell r="A1020">
            <v>1125207</v>
          </cell>
          <cell r="T1020">
            <v>0</v>
          </cell>
          <cell r="U1020">
            <v>0</v>
          </cell>
        </row>
        <row r="1021">
          <cell r="A1021">
            <v>1125208</v>
          </cell>
          <cell r="T1021">
            <v>0</v>
          </cell>
          <cell r="U1021">
            <v>0</v>
          </cell>
        </row>
        <row r="1022">
          <cell r="A1022">
            <v>1125209</v>
          </cell>
          <cell r="T1022">
            <v>0</v>
          </cell>
          <cell r="U1022">
            <v>0</v>
          </cell>
        </row>
        <row r="1023">
          <cell r="A1023">
            <v>1125210</v>
          </cell>
          <cell r="T1023">
            <v>0</v>
          </cell>
          <cell r="U1023">
            <v>0</v>
          </cell>
        </row>
        <row r="1024">
          <cell r="A1024">
            <v>1125301</v>
          </cell>
          <cell r="T1024">
            <v>0</v>
          </cell>
          <cell r="U1024">
            <v>0</v>
          </cell>
        </row>
        <row r="1025">
          <cell r="A1025">
            <v>1125302</v>
          </cell>
          <cell r="T1025">
            <v>0</v>
          </cell>
          <cell r="U1025">
            <v>0</v>
          </cell>
        </row>
        <row r="1026">
          <cell r="A1026">
            <v>1125303</v>
          </cell>
          <cell r="T1026">
            <v>0</v>
          </cell>
          <cell r="U1026">
            <v>0</v>
          </cell>
        </row>
        <row r="1027">
          <cell r="A1027">
            <v>1125304</v>
          </cell>
          <cell r="T1027">
            <v>0</v>
          </cell>
          <cell r="U1027">
            <v>0</v>
          </cell>
        </row>
        <row r="1028">
          <cell r="A1028">
            <v>1125305</v>
          </cell>
          <cell r="T1028">
            <v>0</v>
          </cell>
          <cell r="U1028">
            <v>0</v>
          </cell>
        </row>
        <row r="1029">
          <cell r="A1029">
            <v>1125306</v>
          </cell>
          <cell r="T1029">
            <v>0</v>
          </cell>
          <cell r="U1029">
            <v>0</v>
          </cell>
        </row>
        <row r="1030">
          <cell r="A1030">
            <v>1125307</v>
          </cell>
          <cell r="T1030">
            <v>0</v>
          </cell>
          <cell r="U1030">
            <v>0</v>
          </cell>
        </row>
        <row r="1031">
          <cell r="A1031">
            <v>1125308</v>
          </cell>
          <cell r="T1031">
            <v>0</v>
          </cell>
          <cell r="U1031">
            <v>0</v>
          </cell>
        </row>
        <row r="1032">
          <cell r="A1032">
            <v>1125309</v>
          </cell>
          <cell r="T1032">
            <v>0</v>
          </cell>
          <cell r="U1032">
            <v>0</v>
          </cell>
        </row>
        <row r="1033">
          <cell r="A1033">
            <v>1125310</v>
          </cell>
          <cell r="T1033">
            <v>0</v>
          </cell>
          <cell r="U1033">
            <v>0</v>
          </cell>
        </row>
        <row r="1034">
          <cell r="A1034">
            <v>1125401</v>
          </cell>
          <cell r="T1034">
            <v>0</v>
          </cell>
          <cell r="U1034">
            <v>0</v>
          </cell>
        </row>
        <row r="1035">
          <cell r="A1035">
            <v>1125402</v>
          </cell>
          <cell r="T1035">
            <v>0</v>
          </cell>
          <cell r="U1035">
            <v>0</v>
          </cell>
        </row>
        <row r="1036">
          <cell r="A1036">
            <v>1125403</v>
          </cell>
          <cell r="T1036">
            <v>0</v>
          </cell>
          <cell r="U1036">
            <v>0</v>
          </cell>
        </row>
        <row r="1037">
          <cell r="A1037">
            <v>1125404</v>
          </cell>
          <cell r="T1037">
            <v>0</v>
          </cell>
          <cell r="U1037">
            <v>0</v>
          </cell>
        </row>
        <row r="1038">
          <cell r="A1038">
            <v>1125405</v>
          </cell>
          <cell r="T1038">
            <v>0</v>
          </cell>
          <cell r="U1038">
            <v>0</v>
          </cell>
        </row>
        <row r="1039">
          <cell r="A1039">
            <v>1125406</v>
          </cell>
          <cell r="T1039">
            <v>0</v>
          </cell>
          <cell r="U1039">
            <v>0</v>
          </cell>
        </row>
        <row r="1040">
          <cell r="A1040">
            <v>1125407</v>
          </cell>
          <cell r="T1040">
            <v>0</v>
          </cell>
          <cell r="U1040">
            <v>0</v>
          </cell>
        </row>
        <row r="1041">
          <cell r="A1041">
            <v>1125408</v>
          </cell>
          <cell r="T1041">
            <v>0</v>
          </cell>
          <cell r="U1041">
            <v>0</v>
          </cell>
        </row>
        <row r="1042">
          <cell r="A1042">
            <v>1125409</v>
          </cell>
          <cell r="T1042">
            <v>0</v>
          </cell>
          <cell r="U1042">
            <v>0</v>
          </cell>
        </row>
        <row r="1043">
          <cell r="A1043">
            <v>1125410</v>
          </cell>
          <cell r="T1043">
            <v>0</v>
          </cell>
          <cell r="U1043">
            <v>0</v>
          </cell>
        </row>
        <row r="1044">
          <cell r="A1044">
            <v>1125501</v>
          </cell>
          <cell r="T1044">
            <v>0</v>
          </cell>
          <cell r="U1044">
            <v>0</v>
          </cell>
        </row>
        <row r="1045">
          <cell r="A1045">
            <v>1125502</v>
          </cell>
          <cell r="T1045">
            <v>0</v>
          </cell>
          <cell r="U1045">
            <v>0</v>
          </cell>
        </row>
        <row r="1046">
          <cell r="A1046">
            <v>1125503</v>
          </cell>
          <cell r="T1046">
            <v>0</v>
          </cell>
          <cell r="U1046">
            <v>0</v>
          </cell>
        </row>
        <row r="1047">
          <cell r="A1047">
            <v>1125504</v>
          </cell>
          <cell r="T1047">
            <v>0</v>
          </cell>
          <cell r="U1047">
            <v>0</v>
          </cell>
        </row>
        <row r="1048">
          <cell r="A1048">
            <v>1125505</v>
          </cell>
          <cell r="T1048">
            <v>0</v>
          </cell>
          <cell r="U1048">
            <v>0</v>
          </cell>
        </row>
        <row r="1049">
          <cell r="A1049">
            <v>1125506</v>
          </cell>
          <cell r="T1049">
            <v>0</v>
          </cell>
          <cell r="U1049">
            <v>0</v>
          </cell>
        </row>
        <row r="1050">
          <cell r="A1050">
            <v>1125507</v>
          </cell>
          <cell r="T1050">
            <v>0</v>
          </cell>
          <cell r="U1050">
            <v>0</v>
          </cell>
        </row>
        <row r="1051">
          <cell r="A1051">
            <v>1125508</v>
          </cell>
          <cell r="T1051">
            <v>0</v>
          </cell>
          <cell r="U1051">
            <v>0</v>
          </cell>
        </row>
        <row r="1052">
          <cell r="A1052">
            <v>1125509</v>
          </cell>
          <cell r="T1052">
            <v>0</v>
          </cell>
          <cell r="U1052">
            <v>0</v>
          </cell>
        </row>
        <row r="1053">
          <cell r="A1053">
            <v>1125510</v>
          </cell>
          <cell r="T1053">
            <v>0</v>
          </cell>
          <cell r="U1053">
            <v>0</v>
          </cell>
        </row>
        <row r="1054">
          <cell r="A1054">
            <v>1150201</v>
          </cell>
          <cell r="T1054">
            <v>0</v>
          </cell>
          <cell r="U1054">
            <v>0</v>
          </cell>
        </row>
        <row r="1055">
          <cell r="A1055">
            <v>1150202</v>
          </cell>
          <cell r="T1055">
            <v>0</v>
          </cell>
          <cell r="U1055">
            <v>0</v>
          </cell>
        </row>
        <row r="1056">
          <cell r="A1056">
            <v>1150203</v>
          </cell>
          <cell r="T1056">
            <v>0</v>
          </cell>
          <cell r="U1056">
            <v>0</v>
          </cell>
        </row>
        <row r="1057">
          <cell r="A1057">
            <v>1150204</v>
          </cell>
          <cell r="T1057">
            <v>0</v>
          </cell>
          <cell r="U1057">
            <v>0</v>
          </cell>
        </row>
        <row r="1058">
          <cell r="A1058">
            <v>1150205</v>
          </cell>
          <cell r="T1058">
            <v>0</v>
          </cell>
          <cell r="U1058">
            <v>0</v>
          </cell>
        </row>
        <row r="1059">
          <cell r="A1059">
            <v>1150206</v>
          </cell>
          <cell r="T1059">
            <v>0</v>
          </cell>
          <cell r="U1059">
            <v>0</v>
          </cell>
        </row>
        <row r="1060">
          <cell r="A1060">
            <v>1150207</v>
          </cell>
          <cell r="T1060">
            <v>0</v>
          </cell>
          <cell r="U1060">
            <v>0</v>
          </cell>
        </row>
        <row r="1061">
          <cell r="A1061">
            <v>1150208</v>
          </cell>
          <cell r="T1061">
            <v>0</v>
          </cell>
          <cell r="U1061">
            <v>0</v>
          </cell>
        </row>
        <row r="1062">
          <cell r="A1062">
            <v>1150209</v>
          </cell>
          <cell r="T1062">
            <v>0</v>
          </cell>
          <cell r="U1062">
            <v>0</v>
          </cell>
        </row>
        <row r="1063">
          <cell r="A1063">
            <v>1150210</v>
          </cell>
          <cell r="T1063">
            <v>0</v>
          </cell>
          <cell r="U1063">
            <v>0</v>
          </cell>
        </row>
        <row r="1064">
          <cell r="A1064">
            <v>1150301</v>
          </cell>
          <cell r="T1064">
            <v>0</v>
          </cell>
          <cell r="U1064">
            <v>0</v>
          </cell>
        </row>
        <row r="1065">
          <cell r="A1065">
            <v>1150302</v>
          </cell>
          <cell r="T1065">
            <v>0</v>
          </cell>
          <cell r="U1065">
            <v>0</v>
          </cell>
        </row>
        <row r="1066">
          <cell r="A1066">
            <v>1150303</v>
          </cell>
          <cell r="T1066">
            <v>0</v>
          </cell>
          <cell r="U1066">
            <v>0</v>
          </cell>
        </row>
        <row r="1067">
          <cell r="A1067">
            <v>1150304</v>
          </cell>
          <cell r="T1067">
            <v>0</v>
          </cell>
          <cell r="U1067">
            <v>0</v>
          </cell>
        </row>
        <row r="1068">
          <cell r="A1068">
            <v>1150305</v>
          </cell>
          <cell r="T1068">
            <v>0</v>
          </cell>
          <cell r="U1068">
            <v>0</v>
          </cell>
        </row>
        <row r="1069">
          <cell r="A1069">
            <v>1150306</v>
          </cell>
          <cell r="T1069">
            <v>0</v>
          </cell>
          <cell r="U1069">
            <v>0</v>
          </cell>
        </row>
        <row r="1070">
          <cell r="A1070">
            <v>1150307</v>
          </cell>
          <cell r="T1070">
            <v>0</v>
          </cell>
          <cell r="U1070">
            <v>0</v>
          </cell>
        </row>
        <row r="1071">
          <cell r="A1071">
            <v>1150308</v>
          </cell>
          <cell r="T1071">
            <v>0</v>
          </cell>
          <cell r="U1071">
            <v>0</v>
          </cell>
        </row>
        <row r="1072">
          <cell r="A1072">
            <v>1150309</v>
          </cell>
          <cell r="T1072">
            <v>0</v>
          </cell>
          <cell r="U1072">
            <v>0</v>
          </cell>
        </row>
        <row r="1073">
          <cell r="A1073">
            <v>1150310</v>
          </cell>
          <cell r="T1073">
            <v>0</v>
          </cell>
          <cell r="U1073">
            <v>0</v>
          </cell>
        </row>
        <row r="1074">
          <cell r="A1074">
            <v>1150401</v>
          </cell>
          <cell r="T1074">
            <v>0</v>
          </cell>
          <cell r="U1074">
            <v>0</v>
          </cell>
        </row>
        <row r="1075">
          <cell r="A1075">
            <v>1150402</v>
          </cell>
          <cell r="T1075">
            <v>0</v>
          </cell>
          <cell r="U1075">
            <v>0</v>
          </cell>
        </row>
        <row r="1076">
          <cell r="A1076">
            <v>1150403</v>
          </cell>
          <cell r="T1076">
            <v>0</v>
          </cell>
          <cell r="U1076">
            <v>0</v>
          </cell>
        </row>
        <row r="1077">
          <cell r="A1077">
            <v>1150404</v>
          </cell>
          <cell r="T1077">
            <v>0</v>
          </cell>
          <cell r="U1077">
            <v>0</v>
          </cell>
        </row>
        <row r="1078">
          <cell r="A1078">
            <v>1150405</v>
          </cell>
          <cell r="T1078">
            <v>0</v>
          </cell>
          <cell r="U1078">
            <v>0</v>
          </cell>
        </row>
        <row r="1079">
          <cell r="A1079">
            <v>1150406</v>
          </cell>
          <cell r="T1079">
            <v>0</v>
          </cell>
          <cell r="U1079">
            <v>0</v>
          </cell>
        </row>
        <row r="1080">
          <cell r="A1080">
            <v>1150407</v>
          </cell>
          <cell r="T1080">
            <v>0</v>
          </cell>
          <cell r="U1080">
            <v>0</v>
          </cell>
        </row>
        <row r="1081">
          <cell r="A1081">
            <v>1150408</v>
          </cell>
          <cell r="T1081">
            <v>0</v>
          </cell>
          <cell r="U1081">
            <v>0</v>
          </cell>
        </row>
        <row r="1082">
          <cell r="A1082">
            <v>1150409</v>
          </cell>
          <cell r="T1082">
            <v>0</v>
          </cell>
          <cell r="U1082">
            <v>0</v>
          </cell>
        </row>
        <row r="1083">
          <cell r="A1083">
            <v>1150410</v>
          </cell>
          <cell r="T1083">
            <v>0</v>
          </cell>
          <cell r="U1083">
            <v>0</v>
          </cell>
        </row>
        <row r="1084">
          <cell r="A1084">
            <v>1150501</v>
          </cell>
          <cell r="T1084">
            <v>0</v>
          </cell>
          <cell r="U1084">
            <v>0</v>
          </cell>
        </row>
        <row r="1085">
          <cell r="A1085">
            <v>1150502</v>
          </cell>
          <cell r="T1085">
            <v>0</v>
          </cell>
          <cell r="U1085">
            <v>0</v>
          </cell>
        </row>
        <row r="1086">
          <cell r="A1086">
            <v>1150503</v>
          </cell>
          <cell r="T1086">
            <v>0</v>
          </cell>
          <cell r="U1086">
            <v>0</v>
          </cell>
        </row>
        <row r="1087">
          <cell r="A1087">
            <v>1150504</v>
          </cell>
          <cell r="T1087">
            <v>0</v>
          </cell>
          <cell r="U1087">
            <v>0</v>
          </cell>
        </row>
        <row r="1088">
          <cell r="A1088">
            <v>1150505</v>
          </cell>
          <cell r="T1088">
            <v>0</v>
          </cell>
          <cell r="U1088">
            <v>0</v>
          </cell>
        </row>
        <row r="1089">
          <cell r="A1089">
            <v>1150506</v>
          </cell>
          <cell r="T1089">
            <v>0</v>
          </cell>
          <cell r="U1089">
            <v>0</v>
          </cell>
        </row>
        <row r="1090">
          <cell r="A1090">
            <v>1150507</v>
          </cell>
          <cell r="T1090">
            <v>0</v>
          </cell>
          <cell r="U1090">
            <v>0</v>
          </cell>
        </row>
        <row r="1091">
          <cell r="A1091">
            <v>1150508</v>
          </cell>
          <cell r="T1091">
            <v>0</v>
          </cell>
          <cell r="U1091">
            <v>0</v>
          </cell>
        </row>
        <row r="1092">
          <cell r="A1092">
            <v>1150509</v>
          </cell>
          <cell r="T1092">
            <v>0</v>
          </cell>
          <cell r="U1092">
            <v>0</v>
          </cell>
        </row>
        <row r="1093">
          <cell r="A1093">
            <v>1150510</v>
          </cell>
          <cell r="T1093">
            <v>0</v>
          </cell>
          <cell r="U1093">
            <v>0</v>
          </cell>
        </row>
        <row r="1094">
          <cell r="A1094">
            <v>1175201</v>
          </cell>
          <cell r="T1094">
            <v>0</v>
          </cell>
          <cell r="U1094">
            <v>0</v>
          </cell>
        </row>
        <row r="1095">
          <cell r="A1095">
            <v>1175202</v>
          </cell>
          <cell r="T1095">
            <v>0</v>
          </cell>
          <cell r="U1095">
            <v>0</v>
          </cell>
        </row>
        <row r="1096">
          <cell r="A1096">
            <v>1175203</v>
          </cell>
          <cell r="T1096">
            <v>0</v>
          </cell>
          <cell r="U1096">
            <v>0</v>
          </cell>
        </row>
        <row r="1097">
          <cell r="A1097">
            <v>1175204</v>
          </cell>
          <cell r="T1097">
            <v>0</v>
          </cell>
          <cell r="U1097">
            <v>0</v>
          </cell>
        </row>
        <row r="1098">
          <cell r="A1098">
            <v>1175205</v>
          </cell>
          <cell r="T1098">
            <v>0</v>
          </cell>
          <cell r="U1098">
            <v>0</v>
          </cell>
        </row>
        <row r="1099">
          <cell r="A1099">
            <v>1175206</v>
          </cell>
          <cell r="T1099">
            <v>0</v>
          </cell>
          <cell r="U1099">
            <v>0</v>
          </cell>
        </row>
        <row r="1100">
          <cell r="A1100">
            <v>1175207</v>
          </cell>
          <cell r="T1100">
            <v>0</v>
          </cell>
          <cell r="U1100">
            <v>0</v>
          </cell>
        </row>
        <row r="1101">
          <cell r="A1101">
            <v>1175208</v>
          </cell>
          <cell r="T1101">
            <v>0</v>
          </cell>
          <cell r="U1101">
            <v>0</v>
          </cell>
        </row>
        <row r="1102">
          <cell r="A1102">
            <v>1175209</v>
          </cell>
          <cell r="T1102">
            <v>0</v>
          </cell>
          <cell r="U1102">
            <v>0</v>
          </cell>
        </row>
        <row r="1103">
          <cell r="A1103">
            <v>1175210</v>
          </cell>
          <cell r="T1103">
            <v>0</v>
          </cell>
          <cell r="U1103">
            <v>0</v>
          </cell>
        </row>
        <row r="1104">
          <cell r="A1104">
            <v>1175301</v>
          </cell>
          <cell r="T1104">
            <v>0</v>
          </cell>
          <cell r="U1104">
            <v>0</v>
          </cell>
        </row>
        <row r="1105">
          <cell r="A1105">
            <v>1175302</v>
          </cell>
          <cell r="T1105">
            <v>0</v>
          </cell>
          <cell r="U1105">
            <v>0</v>
          </cell>
        </row>
        <row r="1106">
          <cell r="A1106">
            <v>1175303</v>
          </cell>
          <cell r="T1106">
            <v>0</v>
          </cell>
          <cell r="U1106">
            <v>0</v>
          </cell>
        </row>
        <row r="1107">
          <cell r="A1107">
            <v>1175304</v>
          </cell>
          <cell r="T1107">
            <v>0</v>
          </cell>
          <cell r="U1107">
            <v>0</v>
          </cell>
        </row>
        <row r="1108">
          <cell r="A1108">
            <v>1175305</v>
          </cell>
          <cell r="T1108">
            <v>0</v>
          </cell>
          <cell r="U1108">
            <v>0</v>
          </cell>
        </row>
        <row r="1109">
          <cell r="A1109">
            <v>1175306</v>
          </cell>
          <cell r="T1109">
            <v>0</v>
          </cell>
          <cell r="U1109">
            <v>0</v>
          </cell>
        </row>
        <row r="1110">
          <cell r="A1110">
            <v>1175307</v>
          </cell>
          <cell r="T1110">
            <v>0</v>
          </cell>
          <cell r="U1110">
            <v>0</v>
          </cell>
        </row>
        <row r="1111">
          <cell r="A1111">
            <v>1175308</v>
          </cell>
          <cell r="T1111">
            <v>0</v>
          </cell>
          <cell r="U1111">
            <v>0</v>
          </cell>
        </row>
        <row r="1112">
          <cell r="A1112">
            <v>1175309</v>
          </cell>
          <cell r="T1112">
            <v>0</v>
          </cell>
          <cell r="U1112">
            <v>0</v>
          </cell>
        </row>
        <row r="1113">
          <cell r="A1113">
            <v>1175310</v>
          </cell>
          <cell r="T1113">
            <v>0</v>
          </cell>
          <cell r="U1113">
            <v>0</v>
          </cell>
        </row>
        <row r="1114">
          <cell r="A1114">
            <v>1175401</v>
          </cell>
          <cell r="T1114">
            <v>0</v>
          </cell>
          <cell r="U1114">
            <v>0</v>
          </cell>
        </row>
        <row r="1115">
          <cell r="A1115">
            <v>1175402</v>
          </cell>
          <cell r="T1115">
            <v>0</v>
          </cell>
          <cell r="U1115">
            <v>0</v>
          </cell>
        </row>
        <row r="1116">
          <cell r="A1116">
            <v>1175403</v>
          </cell>
          <cell r="T1116">
            <v>0</v>
          </cell>
          <cell r="U1116">
            <v>0</v>
          </cell>
        </row>
        <row r="1117">
          <cell r="A1117">
            <v>1175404</v>
          </cell>
          <cell r="T1117">
            <v>0</v>
          </cell>
          <cell r="U1117">
            <v>0</v>
          </cell>
        </row>
        <row r="1118">
          <cell r="A1118">
            <v>1175405</v>
          </cell>
          <cell r="T1118">
            <v>0</v>
          </cell>
          <cell r="U1118">
            <v>0</v>
          </cell>
        </row>
        <row r="1119">
          <cell r="A1119">
            <v>1175406</v>
          </cell>
          <cell r="T1119">
            <v>0</v>
          </cell>
          <cell r="U1119">
            <v>0</v>
          </cell>
        </row>
        <row r="1120">
          <cell r="A1120">
            <v>1175407</v>
          </cell>
          <cell r="T1120">
            <v>0</v>
          </cell>
          <cell r="U1120">
            <v>0</v>
          </cell>
        </row>
        <row r="1121">
          <cell r="A1121">
            <v>1175408</v>
          </cell>
          <cell r="T1121">
            <v>0</v>
          </cell>
          <cell r="U1121">
            <v>0</v>
          </cell>
        </row>
        <row r="1122">
          <cell r="A1122">
            <v>1175409</v>
          </cell>
          <cell r="T1122">
            <v>0</v>
          </cell>
          <cell r="U1122">
            <v>0</v>
          </cell>
        </row>
        <row r="1123">
          <cell r="A1123">
            <v>1175410</v>
          </cell>
          <cell r="T1123">
            <v>0</v>
          </cell>
          <cell r="U1123">
            <v>0</v>
          </cell>
        </row>
        <row r="1124">
          <cell r="A1124">
            <v>1175501</v>
          </cell>
          <cell r="T1124">
            <v>0</v>
          </cell>
          <cell r="U1124">
            <v>0</v>
          </cell>
        </row>
        <row r="1125">
          <cell r="A1125">
            <v>1175502</v>
          </cell>
          <cell r="T1125">
            <v>0</v>
          </cell>
          <cell r="U1125">
            <v>0</v>
          </cell>
        </row>
        <row r="1126">
          <cell r="A1126">
            <v>1175503</v>
          </cell>
          <cell r="T1126">
            <v>0</v>
          </cell>
          <cell r="U1126">
            <v>0</v>
          </cell>
        </row>
        <row r="1127">
          <cell r="A1127">
            <v>1175504</v>
          </cell>
          <cell r="T1127">
            <v>0</v>
          </cell>
          <cell r="U1127">
            <v>0</v>
          </cell>
        </row>
        <row r="1128">
          <cell r="A1128">
            <v>1175505</v>
          </cell>
          <cell r="T1128">
            <v>0</v>
          </cell>
          <cell r="U1128">
            <v>0</v>
          </cell>
        </row>
        <row r="1129">
          <cell r="A1129">
            <v>1175506</v>
          </cell>
          <cell r="T1129">
            <v>0</v>
          </cell>
          <cell r="U1129">
            <v>0</v>
          </cell>
        </row>
        <row r="1130">
          <cell r="A1130">
            <v>1175507</v>
          </cell>
          <cell r="T1130">
            <v>0</v>
          </cell>
          <cell r="U1130">
            <v>0</v>
          </cell>
        </row>
        <row r="1131">
          <cell r="A1131">
            <v>1175508</v>
          </cell>
          <cell r="T1131">
            <v>0</v>
          </cell>
          <cell r="U1131">
            <v>0</v>
          </cell>
        </row>
        <row r="1132">
          <cell r="A1132">
            <v>1175509</v>
          </cell>
          <cell r="T1132">
            <v>0</v>
          </cell>
          <cell r="U1132">
            <v>0</v>
          </cell>
        </row>
        <row r="1133">
          <cell r="A1133">
            <v>1175510</v>
          </cell>
          <cell r="T1133">
            <v>0</v>
          </cell>
          <cell r="U1133">
            <v>0</v>
          </cell>
        </row>
        <row r="1134">
          <cell r="A1134">
            <v>1200201</v>
          </cell>
          <cell r="T1134">
            <v>0</v>
          </cell>
          <cell r="U1134">
            <v>0</v>
          </cell>
        </row>
        <row r="1135">
          <cell r="A1135">
            <v>1200202</v>
          </cell>
          <cell r="T1135">
            <v>0</v>
          </cell>
          <cell r="U1135">
            <v>0</v>
          </cell>
        </row>
        <row r="1136">
          <cell r="A1136">
            <v>1200203</v>
          </cell>
          <cell r="T1136">
            <v>0</v>
          </cell>
          <cell r="U1136">
            <v>0</v>
          </cell>
        </row>
        <row r="1137">
          <cell r="A1137">
            <v>1200204</v>
          </cell>
          <cell r="T1137">
            <v>0</v>
          </cell>
          <cell r="U1137">
            <v>0</v>
          </cell>
        </row>
        <row r="1138">
          <cell r="A1138">
            <v>1200205</v>
          </cell>
          <cell r="T1138">
            <v>0</v>
          </cell>
          <cell r="U1138">
            <v>0</v>
          </cell>
        </row>
        <row r="1139">
          <cell r="A1139">
            <v>1200206</v>
          </cell>
          <cell r="T1139">
            <v>0</v>
          </cell>
          <cell r="U1139">
            <v>0</v>
          </cell>
        </row>
        <row r="1140">
          <cell r="A1140">
            <v>1200207</v>
          </cell>
          <cell r="T1140">
            <v>0</v>
          </cell>
          <cell r="U1140">
            <v>0</v>
          </cell>
        </row>
        <row r="1141">
          <cell r="A1141">
            <v>1200208</v>
          </cell>
          <cell r="T1141">
            <v>0</v>
          </cell>
          <cell r="U1141">
            <v>0</v>
          </cell>
        </row>
        <row r="1142">
          <cell r="A1142">
            <v>1200209</v>
          </cell>
          <cell r="T1142">
            <v>0</v>
          </cell>
          <cell r="U1142">
            <v>0</v>
          </cell>
        </row>
        <row r="1143">
          <cell r="A1143">
            <v>1200210</v>
          </cell>
          <cell r="T1143">
            <v>0</v>
          </cell>
          <cell r="U1143">
            <v>0</v>
          </cell>
        </row>
        <row r="1144">
          <cell r="A1144">
            <v>1200301</v>
          </cell>
          <cell r="T1144">
            <v>0</v>
          </cell>
          <cell r="U1144">
            <v>0</v>
          </cell>
        </row>
        <row r="1145">
          <cell r="A1145">
            <v>1200302</v>
          </cell>
          <cell r="T1145">
            <v>0</v>
          </cell>
          <cell r="U1145">
            <v>0</v>
          </cell>
        </row>
        <row r="1146">
          <cell r="A1146">
            <v>1200303</v>
          </cell>
          <cell r="T1146">
            <v>0</v>
          </cell>
          <cell r="U1146">
            <v>0</v>
          </cell>
        </row>
        <row r="1147">
          <cell r="A1147">
            <v>1200304</v>
          </cell>
          <cell r="T1147">
            <v>0</v>
          </cell>
          <cell r="U1147">
            <v>0</v>
          </cell>
        </row>
        <row r="1148">
          <cell r="A1148">
            <v>1200305</v>
          </cell>
          <cell r="T1148">
            <v>0</v>
          </cell>
          <cell r="U1148">
            <v>0</v>
          </cell>
        </row>
        <row r="1149">
          <cell r="A1149">
            <v>1200306</v>
          </cell>
          <cell r="T1149">
            <v>0</v>
          </cell>
          <cell r="U1149">
            <v>0</v>
          </cell>
        </row>
        <row r="1150">
          <cell r="A1150">
            <v>1200307</v>
          </cell>
          <cell r="T1150">
            <v>0</v>
          </cell>
          <cell r="U1150">
            <v>0</v>
          </cell>
        </row>
        <row r="1151">
          <cell r="A1151">
            <v>1200308</v>
          </cell>
          <cell r="T1151">
            <v>0</v>
          </cell>
          <cell r="U1151">
            <v>0</v>
          </cell>
        </row>
        <row r="1152">
          <cell r="A1152">
            <v>1200309</v>
          </cell>
          <cell r="T1152">
            <v>0</v>
          </cell>
          <cell r="U1152">
            <v>0</v>
          </cell>
        </row>
        <row r="1153">
          <cell r="A1153">
            <v>1200310</v>
          </cell>
          <cell r="T1153">
            <v>0</v>
          </cell>
          <cell r="U1153">
            <v>0</v>
          </cell>
        </row>
        <row r="1154">
          <cell r="A1154">
            <v>1200401</v>
          </cell>
          <cell r="T1154">
            <v>0</v>
          </cell>
          <cell r="U1154">
            <v>0</v>
          </cell>
        </row>
        <row r="1155">
          <cell r="A1155">
            <v>1200402</v>
          </cell>
          <cell r="T1155">
            <v>0</v>
          </cell>
          <cell r="U1155">
            <v>0</v>
          </cell>
        </row>
        <row r="1156">
          <cell r="A1156">
            <v>1200403</v>
          </cell>
          <cell r="T1156">
            <v>0</v>
          </cell>
          <cell r="U1156">
            <v>0</v>
          </cell>
        </row>
        <row r="1157">
          <cell r="A1157">
            <v>1200404</v>
          </cell>
          <cell r="T1157">
            <v>0</v>
          </cell>
          <cell r="U1157">
            <v>0</v>
          </cell>
        </row>
        <row r="1158">
          <cell r="A1158">
            <v>1200405</v>
          </cell>
          <cell r="T1158">
            <v>0</v>
          </cell>
          <cell r="U1158">
            <v>0</v>
          </cell>
        </row>
        <row r="1159">
          <cell r="A1159">
            <v>1200406</v>
          </cell>
          <cell r="T1159">
            <v>0</v>
          </cell>
          <cell r="U1159">
            <v>0</v>
          </cell>
        </row>
        <row r="1160">
          <cell r="A1160">
            <v>1200407</v>
          </cell>
          <cell r="T1160">
            <v>0</v>
          </cell>
          <cell r="U1160">
            <v>0</v>
          </cell>
        </row>
        <row r="1161">
          <cell r="A1161">
            <v>1200408</v>
          </cell>
          <cell r="T1161">
            <v>0</v>
          </cell>
          <cell r="U1161">
            <v>0</v>
          </cell>
        </row>
        <row r="1162">
          <cell r="A1162">
            <v>1200409</v>
          </cell>
          <cell r="T1162">
            <v>0</v>
          </cell>
          <cell r="U1162">
            <v>0</v>
          </cell>
        </row>
        <row r="1163">
          <cell r="A1163">
            <v>1200410</v>
          </cell>
          <cell r="T1163">
            <v>0</v>
          </cell>
          <cell r="U1163">
            <v>0</v>
          </cell>
        </row>
        <row r="1164">
          <cell r="A1164">
            <v>1200501</v>
          </cell>
          <cell r="T1164">
            <v>0</v>
          </cell>
          <cell r="U1164">
            <v>0</v>
          </cell>
        </row>
        <row r="1165">
          <cell r="A1165">
            <v>1200502</v>
          </cell>
          <cell r="T1165">
            <v>0</v>
          </cell>
          <cell r="U1165">
            <v>0</v>
          </cell>
        </row>
        <row r="1166">
          <cell r="A1166">
            <v>1200503</v>
          </cell>
          <cell r="T1166">
            <v>0</v>
          </cell>
          <cell r="U1166">
            <v>0</v>
          </cell>
        </row>
        <row r="1167">
          <cell r="A1167">
            <v>1200504</v>
          </cell>
          <cell r="T1167">
            <v>0</v>
          </cell>
          <cell r="U1167">
            <v>0</v>
          </cell>
        </row>
        <row r="1168">
          <cell r="A1168">
            <v>1200505</v>
          </cell>
          <cell r="T1168">
            <v>0</v>
          </cell>
          <cell r="U1168">
            <v>0</v>
          </cell>
        </row>
        <row r="1169">
          <cell r="A1169">
            <v>1200506</v>
          </cell>
          <cell r="T1169">
            <v>0</v>
          </cell>
          <cell r="U1169">
            <v>0</v>
          </cell>
        </row>
        <row r="1170">
          <cell r="A1170">
            <v>1200507</v>
          </cell>
          <cell r="T1170">
            <v>0</v>
          </cell>
          <cell r="U1170">
            <v>0</v>
          </cell>
        </row>
        <row r="1171">
          <cell r="A1171">
            <v>1200508</v>
          </cell>
          <cell r="T1171">
            <v>0</v>
          </cell>
          <cell r="U1171">
            <v>0</v>
          </cell>
        </row>
        <row r="1172">
          <cell r="A1172">
            <v>1200509</v>
          </cell>
          <cell r="T1172">
            <v>0</v>
          </cell>
          <cell r="U1172">
            <v>0</v>
          </cell>
        </row>
        <row r="1173">
          <cell r="A1173">
            <v>1200510</v>
          </cell>
          <cell r="T1173">
            <v>0</v>
          </cell>
          <cell r="U1173">
            <v>0</v>
          </cell>
        </row>
        <row r="1174">
          <cell r="A1174">
            <v>1210201</v>
          </cell>
          <cell r="T1174">
            <v>0</v>
          </cell>
          <cell r="U1174">
            <v>0</v>
          </cell>
        </row>
        <row r="1175">
          <cell r="A1175">
            <v>1210202</v>
          </cell>
          <cell r="T1175">
            <v>0</v>
          </cell>
          <cell r="U1175">
            <v>0</v>
          </cell>
        </row>
        <row r="1176">
          <cell r="A1176">
            <v>1210203</v>
          </cell>
          <cell r="T1176">
            <v>0</v>
          </cell>
          <cell r="U1176">
            <v>0</v>
          </cell>
        </row>
        <row r="1177">
          <cell r="A1177">
            <v>1210204</v>
          </cell>
          <cell r="T1177">
            <v>0</v>
          </cell>
          <cell r="U1177">
            <v>0</v>
          </cell>
        </row>
        <row r="1178">
          <cell r="A1178">
            <v>1210205</v>
          </cell>
          <cell r="T1178">
            <v>0</v>
          </cell>
          <cell r="U1178">
            <v>0</v>
          </cell>
        </row>
        <row r="1179">
          <cell r="A1179">
            <v>1210206</v>
          </cell>
          <cell r="T1179">
            <v>0</v>
          </cell>
          <cell r="U1179">
            <v>0</v>
          </cell>
        </row>
        <row r="1180">
          <cell r="A1180">
            <v>1210207</v>
          </cell>
          <cell r="T1180">
            <v>0</v>
          </cell>
          <cell r="U1180">
            <v>0</v>
          </cell>
        </row>
        <row r="1181">
          <cell r="A1181">
            <v>1210208</v>
          </cell>
          <cell r="T1181">
            <v>0</v>
          </cell>
          <cell r="U1181">
            <v>0</v>
          </cell>
        </row>
        <row r="1182">
          <cell r="A1182">
            <v>1210209</v>
          </cell>
          <cell r="T1182">
            <v>0</v>
          </cell>
          <cell r="U1182">
            <v>0</v>
          </cell>
        </row>
        <row r="1183">
          <cell r="A1183">
            <v>1210210</v>
          </cell>
          <cell r="T1183">
            <v>0</v>
          </cell>
          <cell r="U1183">
            <v>0</v>
          </cell>
        </row>
        <row r="1184">
          <cell r="A1184">
            <v>1210301</v>
          </cell>
          <cell r="T1184">
            <v>0</v>
          </cell>
          <cell r="U1184">
            <v>0</v>
          </cell>
        </row>
        <row r="1185">
          <cell r="A1185">
            <v>1210302</v>
          </cell>
          <cell r="T1185">
            <v>0</v>
          </cell>
          <cell r="U1185">
            <v>0</v>
          </cell>
        </row>
        <row r="1186">
          <cell r="A1186">
            <v>1210303</v>
          </cell>
          <cell r="T1186">
            <v>0</v>
          </cell>
          <cell r="U1186">
            <v>0</v>
          </cell>
        </row>
        <row r="1187">
          <cell r="A1187">
            <v>1210304</v>
          </cell>
          <cell r="T1187">
            <v>0</v>
          </cell>
          <cell r="U1187">
            <v>0</v>
          </cell>
        </row>
        <row r="1188">
          <cell r="A1188">
            <v>1210305</v>
          </cell>
          <cell r="T1188">
            <v>0</v>
          </cell>
          <cell r="U1188">
            <v>0</v>
          </cell>
        </row>
        <row r="1189">
          <cell r="A1189">
            <v>1210306</v>
          </cell>
          <cell r="T1189">
            <v>0</v>
          </cell>
          <cell r="U1189">
            <v>0</v>
          </cell>
        </row>
        <row r="1190">
          <cell r="A1190">
            <v>1210307</v>
          </cell>
          <cell r="T1190">
            <v>0</v>
          </cell>
          <cell r="U1190">
            <v>0</v>
          </cell>
        </row>
        <row r="1191">
          <cell r="A1191">
            <v>1210308</v>
          </cell>
          <cell r="T1191">
            <v>0</v>
          </cell>
          <cell r="U1191">
            <v>0</v>
          </cell>
        </row>
        <row r="1192">
          <cell r="A1192">
            <v>1210309</v>
          </cell>
          <cell r="T1192">
            <v>0</v>
          </cell>
          <cell r="U1192">
            <v>0</v>
          </cell>
        </row>
        <row r="1193">
          <cell r="A1193">
            <v>1210310</v>
          </cell>
          <cell r="T1193">
            <v>0</v>
          </cell>
          <cell r="U1193">
            <v>0</v>
          </cell>
        </row>
        <row r="1194">
          <cell r="A1194">
            <v>1210401</v>
          </cell>
          <cell r="T1194">
            <v>0</v>
          </cell>
          <cell r="U1194">
            <v>0</v>
          </cell>
        </row>
        <row r="1195">
          <cell r="A1195">
            <v>1210402</v>
          </cell>
          <cell r="T1195">
            <v>0</v>
          </cell>
          <cell r="U1195">
            <v>0</v>
          </cell>
        </row>
        <row r="1196">
          <cell r="A1196">
            <v>1210403</v>
          </cell>
          <cell r="T1196">
            <v>0</v>
          </cell>
          <cell r="U1196">
            <v>0</v>
          </cell>
        </row>
        <row r="1197">
          <cell r="A1197">
            <v>1210404</v>
          </cell>
          <cell r="T1197">
            <v>0</v>
          </cell>
          <cell r="U1197">
            <v>0</v>
          </cell>
        </row>
        <row r="1198">
          <cell r="A1198">
            <v>1210405</v>
          </cell>
          <cell r="T1198">
            <v>0</v>
          </cell>
          <cell r="U1198">
            <v>0</v>
          </cell>
        </row>
        <row r="1199">
          <cell r="A1199">
            <v>1210406</v>
          </cell>
          <cell r="T1199">
            <v>0</v>
          </cell>
          <cell r="U1199">
            <v>0</v>
          </cell>
        </row>
        <row r="1200">
          <cell r="A1200">
            <v>1210407</v>
          </cell>
          <cell r="T1200">
            <v>0</v>
          </cell>
          <cell r="U1200">
            <v>0</v>
          </cell>
        </row>
        <row r="1201">
          <cell r="A1201">
            <v>1210408</v>
          </cell>
          <cell r="T1201">
            <v>0</v>
          </cell>
          <cell r="U1201">
            <v>0</v>
          </cell>
        </row>
        <row r="1202">
          <cell r="A1202">
            <v>1210409</v>
          </cell>
          <cell r="T1202">
            <v>0</v>
          </cell>
          <cell r="U1202">
            <v>0</v>
          </cell>
        </row>
        <row r="1203">
          <cell r="A1203">
            <v>1210410</v>
          </cell>
          <cell r="T1203">
            <v>0</v>
          </cell>
          <cell r="U1203">
            <v>0</v>
          </cell>
        </row>
        <row r="1204">
          <cell r="A1204">
            <v>1210501</v>
          </cell>
          <cell r="T1204">
            <v>0</v>
          </cell>
          <cell r="U1204">
            <v>0</v>
          </cell>
        </row>
        <row r="1205">
          <cell r="A1205">
            <v>1210502</v>
          </cell>
          <cell r="T1205">
            <v>0</v>
          </cell>
          <cell r="U1205">
            <v>0</v>
          </cell>
        </row>
        <row r="1206">
          <cell r="A1206">
            <v>1210503</v>
          </cell>
          <cell r="T1206">
            <v>0</v>
          </cell>
          <cell r="U1206">
            <v>0</v>
          </cell>
        </row>
        <row r="1207">
          <cell r="A1207">
            <v>1210504</v>
          </cell>
          <cell r="T1207">
            <v>0</v>
          </cell>
          <cell r="U1207">
            <v>0</v>
          </cell>
        </row>
        <row r="1208">
          <cell r="A1208">
            <v>1210505</v>
          </cell>
          <cell r="T1208">
            <v>0</v>
          </cell>
          <cell r="U1208">
            <v>0</v>
          </cell>
        </row>
        <row r="1209">
          <cell r="A1209">
            <v>1210506</v>
          </cell>
          <cell r="T1209">
            <v>0</v>
          </cell>
          <cell r="U1209">
            <v>0</v>
          </cell>
        </row>
        <row r="1210">
          <cell r="A1210">
            <v>1210507</v>
          </cell>
          <cell r="T1210">
            <v>0</v>
          </cell>
          <cell r="U1210">
            <v>0</v>
          </cell>
        </row>
        <row r="1211">
          <cell r="A1211">
            <v>1210508</v>
          </cell>
          <cell r="T1211">
            <v>0</v>
          </cell>
          <cell r="U1211">
            <v>0</v>
          </cell>
        </row>
        <row r="1212">
          <cell r="A1212">
            <v>1210509</v>
          </cell>
          <cell r="T1212">
            <v>0</v>
          </cell>
          <cell r="U1212">
            <v>0</v>
          </cell>
        </row>
        <row r="1213">
          <cell r="A1213">
            <v>1210510</v>
          </cell>
          <cell r="T1213">
            <v>0</v>
          </cell>
          <cell r="U1213">
            <v>0</v>
          </cell>
        </row>
        <row r="1214">
          <cell r="A1214">
            <v>1220201</v>
          </cell>
          <cell r="T1214">
            <v>0</v>
          </cell>
          <cell r="U1214">
            <v>0</v>
          </cell>
        </row>
        <row r="1215">
          <cell r="A1215">
            <v>1220202</v>
          </cell>
          <cell r="T1215">
            <v>0</v>
          </cell>
          <cell r="U1215">
            <v>0</v>
          </cell>
        </row>
        <row r="1216">
          <cell r="A1216">
            <v>1220203</v>
          </cell>
          <cell r="T1216">
            <v>0</v>
          </cell>
          <cell r="U1216">
            <v>0</v>
          </cell>
        </row>
        <row r="1217">
          <cell r="A1217">
            <v>1220204</v>
          </cell>
          <cell r="T1217">
            <v>0</v>
          </cell>
          <cell r="U1217">
            <v>0</v>
          </cell>
        </row>
        <row r="1218">
          <cell r="A1218">
            <v>1220205</v>
          </cell>
          <cell r="T1218">
            <v>0</v>
          </cell>
          <cell r="U1218">
            <v>0</v>
          </cell>
        </row>
        <row r="1219">
          <cell r="A1219">
            <v>1220206</v>
          </cell>
          <cell r="T1219">
            <v>0</v>
          </cell>
          <cell r="U1219">
            <v>0</v>
          </cell>
        </row>
        <row r="1220">
          <cell r="A1220">
            <v>1220207</v>
          </cell>
          <cell r="T1220">
            <v>0</v>
          </cell>
          <cell r="U1220">
            <v>0</v>
          </cell>
        </row>
        <row r="1221">
          <cell r="A1221">
            <v>1220208</v>
          </cell>
          <cell r="T1221">
            <v>0</v>
          </cell>
          <cell r="U1221">
            <v>0</v>
          </cell>
        </row>
        <row r="1222">
          <cell r="A1222">
            <v>1220209</v>
          </cell>
          <cell r="T1222">
            <v>0</v>
          </cell>
          <cell r="U1222">
            <v>0</v>
          </cell>
        </row>
        <row r="1223">
          <cell r="A1223">
            <v>1220210</v>
          </cell>
          <cell r="T1223">
            <v>0</v>
          </cell>
          <cell r="U1223">
            <v>0</v>
          </cell>
        </row>
        <row r="1224">
          <cell r="A1224">
            <v>1220301</v>
          </cell>
          <cell r="T1224">
            <v>0</v>
          </cell>
          <cell r="U1224">
            <v>0</v>
          </cell>
        </row>
        <row r="1225">
          <cell r="A1225">
            <v>1220302</v>
          </cell>
          <cell r="T1225">
            <v>0</v>
          </cell>
          <cell r="U1225">
            <v>0</v>
          </cell>
        </row>
        <row r="1226">
          <cell r="A1226">
            <v>1220303</v>
          </cell>
          <cell r="T1226">
            <v>0</v>
          </cell>
          <cell r="U1226">
            <v>0</v>
          </cell>
        </row>
        <row r="1227">
          <cell r="A1227">
            <v>1220304</v>
          </cell>
          <cell r="T1227">
            <v>0</v>
          </cell>
          <cell r="U1227">
            <v>0</v>
          </cell>
        </row>
        <row r="1228">
          <cell r="A1228">
            <v>1220305</v>
          </cell>
          <cell r="T1228">
            <v>0</v>
          </cell>
          <cell r="U1228">
            <v>0</v>
          </cell>
        </row>
        <row r="1229">
          <cell r="A1229">
            <v>1220306</v>
          </cell>
          <cell r="T1229">
            <v>0</v>
          </cell>
          <cell r="U1229">
            <v>0</v>
          </cell>
        </row>
        <row r="1230">
          <cell r="A1230">
            <v>1220307</v>
          </cell>
          <cell r="T1230">
            <v>0</v>
          </cell>
          <cell r="U1230">
            <v>0</v>
          </cell>
        </row>
        <row r="1231">
          <cell r="A1231">
            <v>1220308</v>
          </cell>
          <cell r="T1231">
            <v>0</v>
          </cell>
          <cell r="U1231">
            <v>0</v>
          </cell>
        </row>
        <row r="1232">
          <cell r="A1232">
            <v>1220309</v>
          </cell>
          <cell r="T1232">
            <v>0</v>
          </cell>
          <cell r="U1232">
            <v>0</v>
          </cell>
        </row>
        <row r="1233">
          <cell r="A1233">
            <v>1220310</v>
          </cell>
          <cell r="T1233">
            <v>0</v>
          </cell>
          <cell r="U1233">
            <v>0</v>
          </cell>
        </row>
        <row r="1234">
          <cell r="A1234">
            <v>1220401</v>
          </cell>
          <cell r="T1234">
            <v>0</v>
          </cell>
          <cell r="U1234">
            <v>0</v>
          </cell>
        </row>
        <row r="1235">
          <cell r="A1235">
            <v>1220402</v>
          </cell>
          <cell r="T1235">
            <v>0</v>
          </cell>
          <cell r="U1235">
            <v>0</v>
          </cell>
        </row>
        <row r="1236">
          <cell r="A1236">
            <v>1220403</v>
          </cell>
          <cell r="T1236">
            <v>0</v>
          </cell>
          <cell r="U1236">
            <v>0</v>
          </cell>
        </row>
        <row r="1237">
          <cell r="A1237">
            <v>1220404</v>
          </cell>
          <cell r="T1237">
            <v>0</v>
          </cell>
          <cell r="U1237">
            <v>0</v>
          </cell>
        </row>
        <row r="1238">
          <cell r="A1238">
            <v>1220405</v>
          </cell>
          <cell r="T1238">
            <v>0</v>
          </cell>
          <cell r="U1238">
            <v>0</v>
          </cell>
        </row>
        <row r="1239">
          <cell r="A1239">
            <v>1220406</v>
          </cell>
          <cell r="T1239">
            <v>0</v>
          </cell>
          <cell r="U1239">
            <v>0</v>
          </cell>
        </row>
        <row r="1240">
          <cell r="A1240">
            <v>1220407</v>
          </cell>
          <cell r="T1240">
            <v>0</v>
          </cell>
          <cell r="U1240">
            <v>0</v>
          </cell>
        </row>
        <row r="1241">
          <cell r="A1241">
            <v>1220408</v>
          </cell>
          <cell r="T1241">
            <v>0</v>
          </cell>
          <cell r="U1241">
            <v>0</v>
          </cell>
        </row>
        <row r="1242">
          <cell r="A1242">
            <v>1220409</v>
          </cell>
          <cell r="T1242">
            <v>0</v>
          </cell>
          <cell r="U1242">
            <v>0</v>
          </cell>
        </row>
        <row r="1243">
          <cell r="A1243">
            <v>1220410</v>
          </cell>
          <cell r="T1243">
            <v>0</v>
          </cell>
          <cell r="U1243">
            <v>0</v>
          </cell>
        </row>
        <row r="1244">
          <cell r="A1244">
            <v>1220501</v>
          </cell>
          <cell r="T1244">
            <v>0</v>
          </cell>
          <cell r="U1244">
            <v>0</v>
          </cell>
        </row>
        <row r="1245">
          <cell r="A1245">
            <v>1220502</v>
          </cell>
          <cell r="T1245">
            <v>0</v>
          </cell>
          <cell r="U1245">
            <v>0</v>
          </cell>
        </row>
        <row r="1246">
          <cell r="A1246">
            <v>1220503</v>
          </cell>
          <cell r="T1246">
            <v>0</v>
          </cell>
          <cell r="U1246">
            <v>0</v>
          </cell>
        </row>
        <row r="1247">
          <cell r="A1247">
            <v>1220504</v>
          </cell>
          <cell r="T1247">
            <v>0</v>
          </cell>
          <cell r="U1247">
            <v>0</v>
          </cell>
        </row>
        <row r="1248">
          <cell r="A1248">
            <v>1220505</v>
          </cell>
          <cell r="T1248">
            <v>0</v>
          </cell>
          <cell r="U1248">
            <v>0</v>
          </cell>
        </row>
        <row r="1249">
          <cell r="A1249">
            <v>1220506</v>
          </cell>
          <cell r="T1249">
            <v>0</v>
          </cell>
          <cell r="U1249">
            <v>0</v>
          </cell>
        </row>
        <row r="1250">
          <cell r="A1250">
            <v>1220507</v>
          </cell>
          <cell r="T1250">
            <v>0</v>
          </cell>
          <cell r="U1250">
            <v>0</v>
          </cell>
        </row>
        <row r="1251">
          <cell r="A1251">
            <v>1220508</v>
          </cell>
          <cell r="T1251">
            <v>0</v>
          </cell>
          <cell r="U1251">
            <v>0</v>
          </cell>
        </row>
        <row r="1252">
          <cell r="A1252">
            <v>1220509</v>
          </cell>
          <cell r="T1252">
            <v>0</v>
          </cell>
          <cell r="U1252">
            <v>0</v>
          </cell>
        </row>
        <row r="1253">
          <cell r="A1253">
            <v>1220510</v>
          </cell>
          <cell r="T1253">
            <v>0</v>
          </cell>
          <cell r="U1253">
            <v>0</v>
          </cell>
        </row>
        <row r="1254">
          <cell r="A1254">
            <v>1230201</v>
          </cell>
          <cell r="T1254">
            <v>0</v>
          </cell>
          <cell r="U1254">
            <v>0</v>
          </cell>
        </row>
        <row r="1255">
          <cell r="A1255">
            <v>1230202</v>
          </cell>
          <cell r="T1255">
            <v>0</v>
          </cell>
          <cell r="U1255">
            <v>0</v>
          </cell>
        </row>
        <row r="1256">
          <cell r="A1256">
            <v>1230203</v>
          </cell>
          <cell r="T1256">
            <v>0</v>
          </cell>
          <cell r="U1256">
            <v>0</v>
          </cell>
        </row>
        <row r="1257">
          <cell r="A1257">
            <v>1230204</v>
          </cell>
          <cell r="T1257">
            <v>0</v>
          </cell>
          <cell r="U1257">
            <v>0</v>
          </cell>
        </row>
        <row r="1258">
          <cell r="A1258">
            <v>1230205</v>
          </cell>
          <cell r="T1258">
            <v>0</v>
          </cell>
          <cell r="U1258">
            <v>0</v>
          </cell>
        </row>
        <row r="1259">
          <cell r="A1259">
            <v>1230206</v>
          </cell>
          <cell r="T1259">
            <v>0</v>
          </cell>
          <cell r="U1259">
            <v>0</v>
          </cell>
        </row>
        <row r="1260">
          <cell r="A1260">
            <v>1230207</v>
          </cell>
          <cell r="T1260">
            <v>0</v>
          </cell>
          <cell r="U1260">
            <v>0</v>
          </cell>
        </row>
        <row r="1261">
          <cell r="A1261">
            <v>1230208</v>
          </cell>
          <cell r="T1261">
            <v>0</v>
          </cell>
          <cell r="U1261">
            <v>0</v>
          </cell>
        </row>
        <row r="1262">
          <cell r="A1262">
            <v>1230209</v>
          </cell>
          <cell r="T1262">
            <v>0</v>
          </cell>
          <cell r="U1262">
            <v>0</v>
          </cell>
        </row>
        <row r="1263">
          <cell r="A1263">
            <v>1230210</v>
          </cell>
          <cell r="T1263">
            <v>0</v>
          </cell>
          <cell r="U1263">
            <v>0</v>
          </cell>
        </row>
        <row r="1264">
          <cell r="A1264">
            <v>1230301</v>
          </cell>
          <cell r="T1264">
            <v>0</v>
          </cell>
          <cell r="U1264">
            <v>0</v>
          </cell>
        </row>
        <row r="1265">
          <cell r="A1265">
            <v>1230302</v>
          </cell>
          <cell r="T1265">
            <v>0</v>
          </cell>
          <cell r="U1265">
            <v>0</v>
          </cell>
        </row>
        <row r="1266">
          <cell r="A1266">
            <v>1230303</v>
          </cell>
          <cell r="T1266">
            <v>0</v>
          </cell>
          <cell r="U1266">
            <v>0</v>
          </cell>
        </row>
        <row r="1267">
          <cell r="A1267">
            <v>1230304</v>
          </cell>
          <cell r="T1267">
            <v>0</v>
          </cell>
          <cell r="U1267">
            <v>0</v>
          </cell>
        </row>
        <row r="1268">
          <cell r="A1268">
            <v>1230305</v>
          </cell>
          <cell r="T1268">
            <v>0</v>
          </cell>
          <cell r="U1268">
            <v>0</v>
          </cell>
        </row>
        <row r="1269">
          <cell r="A1269">
            <v>1230306</v>
          </cell>
          <cell r="T1269">
            <v>0</v>
          </cell>
          <cell r="U1269">
            <v>0</v>
          </cell>
        </row>
        <row r="1270">
          <cell r="A1270">
            <v>1230307</v>
          </cell>
          <cell r="T1270">
            <v>0</v>
          </cell>
          <cell r="U1270">
            <v>0</v>
          </cell>
        </row>
        <row r="1271">
          <cell r="A1271">
            <v>1230308</v>
          </cell>
          <cell r="T1271">
            <v>0</v>
          </cell>
          <cell r="U1271">
            <v>0</v>
          </cell>
        </row>
        <row r="1272">
          <cell r="A1272">
            <v>1230309</v>
          </cell>
          <cell r="T1272">
            <v>0</v>
          </cell>
          <cell r="U1272">
            <v>0</v>
          </cell>
        </row>
        <row r="1273">
          <cell r="A1273">
            <v>1230310</v>
          </cell>
          <cell r="T1273">
            <v>0</v>
          </cell>
          <cell r="U1273">
            <v>0</v>
          </cell>
        </row>
        <row r="1274">
          <cell r="A1274">
            <v>1230401</v>
          </cell>
          <cell r="T1274">
            <v>0</v>
          </cell>
          <cell r="U1274">
            <v>0</v>
          </cell>
        </row>
        <row r="1275">
          <cell r="A1275">
            <v>1230402</v>
          </cell>
          <cell r="T1275">
            <v>0</v>
          </cell>
          <cell r="U1275">
            <v>0</v>
          </cell>
        </row>
        <row r="1276">
          <cell r="A1276">
            <v>1230403</v>
          </cell>
          <cell r="T1276">
            <v>0</v>
          </cell>
          <cell r="U1276">
            <v>0</v>
          </cell>
        </row>
        <row r="1277">
          <cell r="A1277">
            <v>1230404</v>
          </cell>
          <cell r="T1277">
            <v>0</v>
          </cell>
          <cell r="U1277">
            <v>0</v>
          </cell>
        </row>
        <row r="1278">
          <cell r="A1278">
            <v>1230405</v>
          </cell>
          <cell r="T1278">
            <v>0</v>
          </cell>
          <cell r="U1278">
            <v>0</v>
          </cell>
        </row>
        <row r="1279">
          <cell r="A1279">
            <v>1230406</v>
          </cell>
          <cell r="T1279">
            <v>0</v>
          </cell>
          <cell r="U1279">
            <v>0</v>
          </cell>
        </row>
        <row r="1280">
          <cell r="A1280">
            <v>1230407</v>
          </cell>
          <cell r="T1280">
            <v>0</v>
          </cell>
          <cell r="U1280">
            <v>0</v>
          </cell>
        </row>
        <row r="1281">
          <cell r="A1281">
            <v>1230408</v>
          </cell>
          <cell r="T1281">
            <v>0</v>
          </cell>
          <cell r="U1281">
            <v>0</v>
          </cell>
        </row>
        <row r="1282">
          <cell r="A1282">
            <v>1230409</v>
          </cell>
          <cell r="T1282">
            <v>0</v>
          </cell>
          <cell r="U1282">
            <v>0</v>
          </cell>
        </row>
        <row r="1283">
          <cell r="A1283">
            <v>1230410</v>
          </cell>
          <cell r="T1283">
            <v>0</v>
          </cell>
          <cell r="U1283">
            <v>0</v>
          </cell>
        </row>
        <row r="1284">
          <cell r="A1284">
            <v>1230501</v>
          </cell>
          <cell r="T1284">
            <v>0</v>
          </cell>
          <cell r="U1284">
            <v>0</v>
          </cell>
        </row>
        <row r="1285">
          <cell r="A1285">
            <v>1230502</v>
          </cell>
          <cell r="T1285">
            <v>0</v>
          </cell>
          <cell r="U1285">
            <v>0</v>
          </cell>
        </row>
        <row r="1286">
          <cell r="A1286">
            <v>1230503</v>
          </cell>
          <cell r="T1286">
            <v>0</v>
          </cell>
          <cell r="U1286">
            <v>0</v>
          </cell>
        </row>
        <row r="1287">
          <cell r="A1287">
            <v>1230504</v>
          </cell>
          <cell r="T1287">
            <v>0</v>
          </cell>
          <cell r="U1287">
            <v>0</v>
          </cell>
        </row>
        <row r="1288">
          <cell r="A1288">
            <v>1230505</v>
          </cell>
          <cell r="T1288">
            <v>0</v>
          </cell>
          <cell r="U1288">
            <v>0</v>
          </cell>
        </row>
        <row r="1289">
          <cell r="A1289">
            <v>1230506</v>
          </cell>
          <cell r="T1289">
            <v>0</v>
          </cell>
          <cell r="U1289">
            <v>0</v>
          </cell>
        </row>
        <row r="1290">
          <cell r="A1290">
            <v>1230507</v>
          </cell>
          <cell r="T1290">
            <v>0</v>
          </cell>
          <cell r="U1290">
            <v>0</v>
          </cell>
        </row>
        <row r="1291">
          <cell r="A1291">
            <v>1230508</v>
          </cell>
          <cell r="T1291">
            <v>0</v>
          </cell>
          <cell r="U1291">
            <v>0</v>
          </cell>
        </row>
        <row r="1292">
          <cell r="A1292">
            <v>1230509</v>
          </cell>
          <cell r="T1292">
            <v>0</v>
          </cell>
          <cell r="U1292">
            <v>0</v>
          </cell>
        </row>
        <row r="1293">
          <cell r="A1293">
            <v>1230510</v>
          </cell>
          <cell r="T1293">
            <v>0</v>
          </cell>
          <cell r="U1293">
            <v>0</v>
          </cell>
        </row>
        <row r="1294">
          <cell r="A1294">
            <v>1240201</v>
          </cell>
          <cell r="T1294">
            <v>0</v>
          </cell>
          <cell r="U1294">
            <v>0</v>
          </cell>
        </row>
        <row r="1295">
          <cell r="A1295">
            <v>1240202</v>
          </cell>
          <cell r="T1295">
            <v>0</v>
          </cell>
          <cell r="U1295">
            <v>0</v>
          </cell>
        </row>
        <row r="1296">
          <cell r="A1296">
            <v>1240203</v>
          </cell>
          <cell r="T1296">
            <v>0</v>
          </cell>
          <cell r="U1296">
            <v>0</v>
          </cell>
        </row>
        <row r="1297">
          <cell r="A1297">
            <v>1240204</v>
          </cell>
          <cell r="T1297">
            <v>0</v>
          </cell>
          <cell r="U1297">
            <v>0</v>
          </cell>
        </row>
        <row r="1298">
          <cell r="A1298">
            <v>1240205</v>
          </cell>
          <cell r="T1298">
            <v>0</v>
          </cell>
          <cell r="U1298">
            <v>0</v>
          </cell>
        </row>
        <row r="1299">
          <cell r="A1299">
            <v>1240206</v>
          </cell>
          <cell r="T1299">
            <v>0</v>
          </cell>
          <cell r="U1299">
            <v>0</v>
          </cell>
        </row>
        <row r="1300">
          <cell r="A1300">
            <v>1240207</v>
          </cell>
          <cell r="T1300">
            <v>0</v>
          </cell>
          <cell r="U1300">
            <v>0</v>
          </cell>
        </row>
        <row r="1301">
          <cell r="A1301">
            <v>1240208</v>
          </cell>
          <cell r="T1301">
            <v>0</v>
          </cell>
          <cell r="U1301">
            <v>0</v>
          </cell>
        </row>
        <row r="1302">
          <cell r="A1302">
            <v>1240209</v>
          </cell>
          <cell r="T1302">
            <v>0</v>
          </cell>
          <cell r="U1302">
            <v>0</v>
          </cell>
        </row>
        <row r="1303">
          <cell r="A1303">
            <v>1240210</v>
          </cell>
          <cell r="T1303">
            <v>0</v>
          </cell>
          <cell r="U1303">
            <v>0</v>
          </cell>
        </row>
        <row r="1304">
          <cell r="A1304">
            <v>1240301</v>
          </cell>
          <cell r="T1304">
            <v>0</v>
          </cell>
          <cell r="U1304">
            <v>0</v>
          </cell>
        </row>
        <row r="1305">
          <cell r="A1305">
            <v>1240302</v>
          </cell>
          <cell r="T1305">
            <v>0</v>
          </cell>
          <cell r="U1305">
            <v>0</v>
          </cell>
        </row>
        <row r="1306">
          <cell r="A1306">
            <v>1240303</v>
          </cell>
          <cell r="T1306">
            <v>0</v>
          </cell>
          <cell r="U1306">
            <v>0</v>
          </cell>
        </row>
        <row r="1307">
          <cell r="A1307">
            <v>1240304</v>
          </cell>
          <cell r="T1307">
            <v>0</v>
          </cell>
          <cell r="U1307">
            <v>0</v>
          </cell>
        </row>
        <row r="1308">
          <cell r="A1308">
            <v>1240305</v>
          </cell>
          <cell r="T1308">
            <v>0</v>
          </cell>
          <cell r="U1308">
            <v>0</v>
          </cell>
        </row>
        <row r="1309">
          <cell r="A1309">
            <v>1240306</v>
          </cell>
          <cell r="T1309">
            <v>0</v>
          </cell>
          <cell r="U1309">
            <v>0</v>
          </cell>
        </row>
        <row r="1310">
          <cell r="A1310">
            <v>1240307</v>
          </cell>
          <cell r="T1310">
            <v>0</v>
          </cell>
          <cell r="U1310">
            <v>0</v>
          </cell>
        </row>
        <row r="1311">
          <cell r="A1311">
            <v>1240308</v>
          </cell>
          <cell r="T1311">
            <v>0</v>
          </cell>
          <cell r="U1311">
            <v>0</v>
          </cell>
        </row>
        <row r="1312">
          <cell r="A1312">
            <v>1240309</v>
          </cell>
          <cell r="T1312">
            <v>0</v>
          </cell>
          <cell r="U1312">
            <v>0</v>
          </cell>
        </row>
        <row r="1313">
          <cell r="A1313">
            <v>1240310</v>
          </cell>
          <cell r="T1313">
            <v>0</v>
          </cell>
          <cell r="U1313">
            <v>0</v>
          </cell>
        </row>
        <row r="1314">
          <cell r="A1314">
            <v>1240401</v>
          </cell>
          <cell r="T1314">
            <v>0</v>
          </cell>
          <cell r="U1314">
            <v>0</v>
          </cell>
        </row>
        <row r="1315">
          <cell r="A1315">
            <v>1240402</v>
          </cell>
          <cell r="T1315">
            <v>0</v>
          </cell>
          <cell r="U1315">
            <v>0</v>
          </cell>
        </row>
        <row r="1316">
          <cell r="A1316">
            <v>1240403</v>
          </cell>
          <cell r="T1316">
            <v>0</v>
          </cell>
          <cell r="U1316">
            <v>0</v>
          </cell>
        </row>
        <row r="1317">
          <cell r="A1317">
            <v>1240404</v>
          </cell>
          <cell r="T1317">
            <v>0</v>
          </cell>
          <cell r="U1317">
            <v>0</v>
          </cell>
        </row>
        <row r="1318">
          <cell r="A1318">
            <v>1240405</v>
          </cell>
          <cell r="T1318">
            <v>0</v>
          </cell>
          <cell r="U1318">
            <v>0</v>
          </cell>
        </row>
        <row r="1319">
          <cell r="A1319">
            <v>1240406</v>
          </cell>
          <cell r="T1319">
            <v>0</v>
          </cell>
          <cell r="U1319">
            <v>0</v>
          </cell>
        </row>
        <row r="1320">
          <cell r="A1320">
            <v>1240407</v>
          </cell>
          <cell r="T1320">
            <v>0</v>
          </cell>
          <cell r="U1320">
            <v>0</v>
          </cell>
        </row>
        <row r="1321">
          <cell r="A1321">
            <v>1240408</v>
          </cell>
          <cell r="T1321">
            <v>0</v>
          </cell>
          <cell r="U1321">
            <v>0</v>
          </cell>
        </row>
        <row r="1322">
          <cell r="A1322">
            <v>1240409</v>
          </cell>
          <cell r="T1322">
            <v>0</v>
          </cell>
          <cell r="U1322">
            <v>0</v>
          </cell>
        </row>
        <row r="1323">
          <cell r="A1323">
            <v>1240410</v>
          </cell>
          <cell r="T1323">
            <v>0</v>
          </cell>
          <cell r="U1323">
            <v>0</v>
          </cell>
        </row>
        <row r="1324">
          <cell r="A1324">
            <v>1240501</v>
          </cell>
          <cell r="T1324">
            <v>0</v>
          </cell>
          <cell r="U1324">
            <v>0</v>
          </cell>
        </row>
        <row r="1325">
          <cell r="A1325">
            <v>1240502</v>
          </cell>
          <cell r="T1325">
            <v>0</v>
          </cell>
          <cell r="U1325">
            <v>0</v>
          </cell>
        </row>
        <row r="1326">
          <cell r="A1326">
            <v>1240503</v>
          </cell>
          <cell r="T1326">
            <v>0</v>
          </cell>
          <cell r="U1326">
            <v>0</v>
          </cell>
        </row>
        <row r="1327">
          <cell r="A1327">
            <v>1240504</v>
          </cell>
          <cell r="T1327">
            <v>0</v>
          </cell>
          <cell r="U1327">
            <v>0</v>
          </cell>
        </row>
        <row r="1328">
          <cell r="A1328">
            <v>1240505</v>
          </cell>
          <cell r="T1328">
            <v>0</v>
          </cell>
          <cell r="U1328">
            <v>0</v>
          </cell>
        </row>
        <row r="1329">
          <cell r="A1329">
            <v>1240506</v>
          </cell>
          <cell r="T1329">
            <v>0</v>
          </cell>
          <cell r="U1329">
            <v>0</v>
          </cell>
        </row>
        <row r="1330">
          <cell r="A1330">
            <v>1240507</v>
          </cell>
          <cell r="T1330">
            <v>0</v>
          </cell>
          <cell r="U1330">
            <v>0</v>
          </cell>
        </row>
        <row r="1331">
          <cell r="A1331">
            <v>1240508</v>
          </cell>
          <cell r="T1331">
            <v>0</v>
          </cell>
          <cell r="U1331">
            <v>0</v>
          </cell>
        </row>
        <row r="1332">
          <cell r="A1332">
            <v>1240509</v>
          </cell>
          <cell r="T1332">
            <v>0</v>
          </cell>
          <cell r="U1332">
            <v>0</v>
          </cell>
        </row>
        <row r="1333">
          <cell r="A1333">
            <v>1240510</v>
          </cell>
          <cell r="T1333">
            <v>0</v>
          </cell>
          <cell r="U1333">
            <v>0</v>
          </cell>
        </row>
        <row r="1334">
          <cell r="A1334">
            <v>1250201</v>
          </cell>
          <cell r="T1334">
            <v>0</v>
          </cell>
          <cell r="U1334">
            <v>0</v>
          </cell>
        </row>
        <row r="1335">
          <cell r="A1335">
            <v>1250202</v>
          </cell>
          <cell r="T1335">
            <v>0</v>
          </cell>
          <cell r="U1335">
            <v>0</v>
          </cell>
        </row>
        <row r="1336">
          <cell r="A1336">
            <v>1250203</v>
          </cell>
          <cell r="T1336">
            <v>0</v>
          </cell>
          <cell r="U1336">
            <v>0</v>
          </cell>
        </row>
        <row r="1337">
          <cell r="A1337">
            <v>1250204</v>
          </cell>
          <cell r="T1337">
            <v>0</v>
          </cell>
          <cell r="U1337">
            <v>0</v>
          </cell>
        </row>
        <row r="1338">
          <cell r="A1338">
            <v>1250205</v>
          </cell>
          <cell r="T1338">
            <v>0</v>
          </cell>
          <cell r="U1338">
            <v>0</v>
          </cell>
        </row>
        <row r="1339">
          <cell r="A1339">
            <v>1250206</v>
          </cell>
          <cell r="T1339">
            <v>0</v>
          </cell>
          <cell r="U1339">
            <v>0</v>
          </cell>
        </row>
        <row r="1340">
          <cell r="A1340">
            <v>1250207</v>
          </cell>
          <cell r="T1340">
            <v>0</v>
          </cell>
          <cell r="U1340">
            <v>0</v>
          </cell>
        </row>
        <row r="1341">
          <cell r="A1341">
            <v>1250208</v>
          </cell>
          <cell r="T1341">
            <v>0</v>
          </cell>
          <cell r="U1341">
            <v>0</v>
          </cell>
        </row>
        <row r="1342">
          <cell r="A1342">
            <v>1250209</v>
          </cell>
          <cell r="T1342">
            <v>0</v>
          </cell>
          <cell r="U1342">
            <v>0</v>
          </cell>
        </row>
        <row r="1343">
          <cell r="A1343">
            <v>1250210</v>
          </cell>
          <cell r="T1343">
            <v>0</v>
          </cell>
          <cell r="U1343">
            <v>0</v>
          </cell>
        </row>
        <row r="1344">
          <cell r="A1344">
            <v>1250301</v>
          </cell>
          <cell r="T1344">
            <v>0</v>
          </cell>
          <cell r="U1344">
            <v>0</v>
          </cell>
        </row>
        <row r="1345">
          <cell r="A1345">
            <v>1250302</v>
          </cell>
          <cell r="T1345">
            <v>0</v>
          </cell>
          <cell r="U1345">
            <v>0</v>
          </cell>
        </row>
        <row r="1346">
          <cell r="A1346">
            <v>1250303</v>
          </cell>
          <cell r="T1346">
            <v>0</v>
          </cell>
          <cell r="U1346">
            <v>0</v>
          </cell>
        </row>
        <row r="1347">
          <cell r="A1347">
            <v>1250304</v>
          </cell>
          <cell r="T1347">
            <v>0</v>
          </cell>
          <cell r="U1347">
            <v>0</v>
          </cell>
        </row>
        <row r="1348">
          <cell r="A1348">
            <v>1250305</v>
          </cell>
          <cell r="T1348">
            <v>0</v>
          </cell>
          <cell r="U1348">
            <v>0</v>
          </cell>
        </row>
        <row r="1349">
          <cell r="A1349">
            <v>1250306</v>
          </cell>
          <cell r="T1349">
            <v>0</v>
          </cell>
          <cell r="U1349">
            <v>0</v>
          </cell>
        </row>
        <row r="1350">
          <cell r="A1350">
            <v>1250307</v>
          </cell>
          <cell r="T1350">
            <v>0</v>
          </cell>
          <cell r="U1350">
            <v>0</v>
          </cell>
        </row>
        <row r="1351">
          <cell r="A1351">
            <v>1250308</v>
          </cell>
          <cell r="T1351">
            <v>0</v>
          </cell>
          <cell r="U1351">
            <v>0</v>
          </cell>
        </row>
        <row r="1352">
          <cell r="A1352">
            <v>1250309</v>
          </cell>
          <cell r="T1352">
            <v>0</v>
          </cell>
          <cell r="U1352">
            <v>0</v>
          </cell>
        </row>
        <row r="1353">
          <cell r="A1353">
            <v>1250310</v>
          </cell>
          <cell r="T1353">
            <v>0</v>
          </cell>
          <cell r="U1353">
            <v>0</v>
          </cell>
        </row>
        <row r="1354">
          <cell r="A1354">
            <v>1250401</v>
          </cell>
          <cell r="T1354">
            <v>0</v>
          </cell>
          <cell r="U1354">
            <v>0</v>
          </cell>
        </row>
        <row r="1355">
          <cell r="A1355">
            <v>1250402</v>
          </cell>
          <cell r="T1355">
            <v>0</v>
          </cell>
          <cell r="U1355">
            <v>0</v>
          </cell>
        </row>
        <row r="1356">
          <cell r="A1356">
            <v>1250403</v>
          </cell>
          <cell r="T1356">
            <v>0</v>
          </cell>
          <cell r="U1356">
            <v>0</v>
          </cell>
        </row>
        <row r="1357">
          <cell r="A1357">
            <v>1250404</v>
          </cell>
          <cell r="T1357">
            <v>0</v>
          </cell>
          <cell r="U1357">
            <v>0</v>
          </cell>
        </row>
        <row r="1358">
          <cell r="A1358">
            <v>1250405</v>
          </cell>
          <cell r="T1358">
            <v>0</v>
          </cell>
          <cell r="U1358">
            <v>0</v>
          </cell>
        </row>
        <row r="1359">
          <cell r="A1359">
            <v>1250406</v>
          </cell>
          <cell r="T1359">
            <v>0</v>
          </cell>
          <cell r="U1359">
            <v>0</v>
          </cell>
        </row>
        <row r="1360">
          <cell r="A1360">
            <v>1250407</v>
          </cell>
          <cell r="T1360">
            <v>0</v>
          </cell>
          <cell r="U1360">
            <v>0</v>
          </cell>
        </row>
        <row r="1361">
          <cell r="A1361">
            <v>1250408</v>
          </cell>
          <cell r="T1361">
            <v>0</v>
          </cell>
          <cell r="U1361">
            <v>0</v>
          </cell>
        </row>
        <row r="1362">
          <cell r="A1362">
            <v>1250409</v>
          </cell>
          <cell r="T1362">
            <v>0</v>
          </cell>
          <cell r="U1362">
            <v>0</v>
          </cell>
        </row>
        <row r="1363">
          <cell r="A1363">
            <v>1250410</v>
          </cell>
          <cell r="T1363">
            <v>0</v>
          </cell>
          <cell r="U1363">
            <v>0</v>
          </cell>
        </row>
        <row r="1364">
          <cell r="A1364">
            <v>1250501</v>
          </cell>
          <cell r="T1364">
            <v>0</v>
          </cell>
          <cell r="U1364">
            <v>0</v>
          </cell>
        </row>
        <row r="1365">
          <cell r="A1365">
            <v>1250502</v>
          </cell>
          <cell r="T1365">
            <v>0</v>
          </cell>
          <cell r="U1365">
            <v>0</v>
          </cell>
        </row>
        <row r="1366">
          <cell r="A1366">
            <v>1250503</v>
          </cell>
          <cell r="T1366">
            <v>0</v>
          </cell>
          <cell r="U1366">
            <v>0</v>
          </cell>
        </row>
        <row r="1367">
          <cell r="A1367">
            <v>1250504</v>
          </cell>
          <cell r="T1367">
            <v>0</v>
          </cell>
          <cell r="U1367">
            <v>0</v>
          </cell>
        </row>
        <row r="1368">
          <cell r="A1368">
            <v>1250505</v>
          </cell>
          <cell r="T1368">
            <v>0</v>
          </cell>
          <cell r="U1368">
            <v>0</v>
          </cell>
        </row>
        <row r="1369">
          <cell r="A1369">
            <v>1250506</v>
          </cell>
          <cell r="T1369">
            <v>0</v>
          </cell>
          <cell r="U1369">
            <v>0</v>
          </cell>
        </row>
        <row r="1370">
          <cell r="A1370">
            <v>1250507</v>
          </cell>
          <cell r="T1370">
            <v>0</v>
          </cell>
          <cell r="U1370">
            <v>0</v>
          </cell>
        </row>
        <row r="1371">
          <cell r="A1371">
            <v>1250508</v>
          </cell>
          <cell r="T1371">
            <v>0</v>
          </cell>
          <cell r="U1371">
            <v>0</v>
          </cell>
        </row>
        <row r="1372">
          <cell r="A1372">
            <v>1250509</v>
          </cell>
          <cell r="T1372">
            <v>0</v>
          </cell>
          <cell r="U1372">
            <v>0</v>
          </cell>
        </row>
        <row r="1373">
          <cell r="A1373">
            <v>1250510</v>
          </cell>
          <cell r="T1373">
            <v>0</v>
          </cell>
          <cell r="U1373">
            <v>0</v>
          </cell>
        </row>
        <row r="1374">
          <cell r="A1374">
            <v>1260201</v>
          </cell>
          <cell r="T1374">
            <v>0</v>
          </cell>
          <cell r="U1374">
            <v>0</v>
          </cell>
        </row>
        <row r="1375">
          <cell r="A1375">
            <v>1260202</v>
          </cell>
          <cell r="T1375">
            <v>0</v>
          </cell>
          <cell r="U1375">
            <v>0</v>
          </cell>
        </row>
        <row r="1376">
          <cell r="A1376">
            <v>1260203</v>
          </cell>
          <cell r="T1376">
            <v>0</v>
          </cell>
          <cell r="U1376">
            <v>0</v>
          </cell>
        </row>
        <row r="1377">
          <cell r="A1377">
            <v>1260204</v>
          </cell>
          <cell r="T1377">
            <v>0</v>
          </cell>
          <cell r="U1377">
            <v>0</v>
          </cell>
        </row>
        <row r="1378">
          <cell r="A1378">
            <v>1260205</v>
          </cell>
          <cell r="T1378">
            <v>0</v>
          </cell>
          <cell r="U1378">
            <v>0</v>
          </cell>
        </row>
        <row r="1379">
          <cell r="A1379">
            <v>1260206</v>
          </cell>
          <cell r="T1379">
            <v>0</v>
          </cell>
          <cell r="U1379">
            <v>0</v>
          </cell>
        </row>
        <row r="1380">
          <cell r="A1380">
            <v>1260207</v>
          </cell>
          <cell r="T1380">
            <v>0</v>
          </cell>
          <cell r="U1380">
            <v>0</v>
          </cell>
        </row>
        <row r="1381">
          <cell r="A1381">
            <v>1260208</v>
          </cell>
          <cell r="T1381">
            <v>0</v>
          </cell>
          <cell r="U1381">
            <v>0</v>
          </cell>
        </row>
        <row r="1382">
          <cell r="A1382">
            <v>1260209</v>
          </cell>
          <cell r="T1382">
            <v>0</v>
          </cell>
          <cell r="U1382">
            <v>0</v>
          </cell>
        </row>
        <row r="1383">
          <cell r="A1383">
            <v>1260210</v>
          </cell>
          <cell r="T1383">
            <v>0</v>
          </cell>
          <cell r="U1383">
            <v>0</v>
          </cell>
        </row>
        <row r="1384">
          <cell r="A1384">
            <v>1260301</v>
          </cell>
          <cell r="T1384">
            <v>0</v>
          </cell>
          <cell r="U1384">
            <v>0</v>
          </cell>
        </row>
        <row r="1385">
          <cell r="A1385">
            <v>1260302</v>
          </cell>
          <cell r="T1385">
            <v>0</v>
          </cell>
          <cell r="U1385">
            <v>0</v>
          </cell>
        </row>
        <row r="1386">
          <cell r="A1386">
            <v>1260303</v>
          </cell>
          <cell r="T1386">
            <v>0</v>
          </cell>
          <cell r="U1386">
            <v>0</v>
          </cell>
        </row>
        <row r="1387">
          <cell r="A1387">
            <v>1260304</v>
          </cell>
          <cell r="T1387">
            <v>0</v>
          </cell>
          <cell r="U1387">
            <v>0</v>
          </cell>
        </row>
        <row r="1388">
          <cell r="A1388">
            <v>1260305</v>
          </cell>
          <cell r="T1388">
            <v>0</v>
          </cell>
          <cell r="U1388">
            <v>0</v>
          </cell>
        </row>
        <row r="1389">
          <cell r="A1389">
            <v>1260306</v>
          </cell>
          <cell r="T1389">
            <v>0</v>
          </cell>
          <cell r="U1389">
            <v>0</v>
          </cell>
        </row>
        <row r="1390">
          <cell r="A1390">
            <v>1260307</v>
          </cell>
          <cell r="T1390">
            <v>0</v>
          </cell>
          <cell r="U1390">
            <v>0</v>
          </cell>
        </row>
        <row r="1391">
          <cell r="A1391">
            <v>1260308</v>
          </cell>
          <cell r="T1391">
            <v>0</v>
          </cell>
          <cell r="U1391">
            <v>0</v>
          </cell>
        </row>
        <row r="1392">
          <cell r="A1392">
            <v>1260309</v>
          </cell>
          <cell r="T1392">
            <v>0</v>
          </cell>
          <cell r="U1392">
            <v>0</v>
          </cell>
        </row>
        <row r="1393">
          <cell r="A1393">
            <v>1260310</v>
          </cell>
          <cell r="T1393">
            <v>0</v>
          </cell>
          <cell r="U1393">
            <v>0</v>
          </cell>
        </row>
        <row r="1394">
          <cell r="A1394">
            <v>1260401</v>
          </cell>
          <cell r="T1394">
            <v>0</v>
          </cell>
          <cell r="U1394">
            <v>0</v>
          </cell>
        </row>
        <row r="1395">
          <cell r="A1395">
            <v>1260402</v>
          </cell>
          <cell r="T1395">
            <v>0</v>
          </cell>
          <cell r="U1395">
            <v>0</v>
          </cell>
        </row>
        <row r="1396">
          <cell r="A1396">
            <v>1260403</v>
          </cell>
          <cell r="T1396">
            <v>0</v>
          </cell>
          <cell r="U1396">
            <v>0</v>
          </cell>
        </row>
        <row r="1397">
          <cell r="A1397">
            <v>1260404</v>
          </cell>
          <cell r="T1397">
            <v>0</v>
          </cell>
          <cell r="U1397">
            <v>0</v>
          </cell>
        </row>
        <row r="1398">
          <cell r="A1398">
            <v>1260405</v>
          </cell>
          <cell r="T1398">
            <v>0</v>
          </cell>
          <cell r="U1398">
            <v>0</v>
          </cell>
        </row>
        <row r="1399">
          <cell r="A1399">
            <v>1260406</v>
          </cell>
          <cell r="T1399">
            <v>0</v>
          </cell>
          <cell r="U1399">
            <v>0</v>
          </cell>
        </row>
        <row r="1400">
          <cell r="A1400">
            <v>1260407</v>
          </cell>
          <cell r="T1400">
            <v>0</v>
          </cell>
          <cell r="U1400">
            <v>0</v>
          </cell>
        </row>
        <row r="1401">
          <cell r="A1401">
            <v>1260408</v>
          </cell>
          <cell r="T1401">
            <v>0</v>
          </cell>
          <cell r="U1401">
            <v>0</v>
          </cell>
        </row>
        <row r="1402">
          <cell r="A1402">
            <v>1260409</v>
          </cell>
          <cell r="T1402">
            <v>0</v>
          </cell>
          <cell r="U1402">
            <v>0</v>
          </cell>
        </row>
        <row r="1403">
          <cell r="A1403">
            <v>1260410</v>
          </cell>
          <cell r="T1403">
            <v>0</v>
          </cell>
          <cell r="U1403">
            <v>0</v>
          </cell>
        </row>
        <row r="1404">
          <cell r="A1404">
            <v>1260501</v>
          </cell>
          <cell r="T1404">
            <v>0</v>
          </cell>
          <cell r="U1404">
            <v>0</v>
          </cell>
        </row>
        <row r="1405">
          <cell r="A1405">
            <v>1260502</v>
          </cell>
          <cell r="T1405">
            <v>0</v>
          </cell>
          <cell r="U1405">
            <v>0</v>
          </cell>
        </row>
        <row r="1406">
          <cell r="A1406">
            <v>1260503</v>
          </cell>
          <cell r="T1406">
            <v>0</v>
          </cell>
          <cell r="U1406">
            <v>0</v>
          </cell>
        </row>
        <row r="1407">
          <cell r="A1407">
            <v>1260504</v>
          </cell>
          <cell r="T1407">
            <v>0</v>
          </cell>
          <cell r="U1407">
            <v>0</v>
          </cell>
        </row>
        <row r="1408">
          <cell r="A1408">
            <v>1260505</v>
          </cell>
          <cell r="T1408">
            <v>0</v>
          </cell>
          <cell r="U1408">
            <v>0</v>
          </cell>
        </row>
        <row r="1409">
          <cell r="A1409">
            <v>1260506</v>
          </cell>
          <cell r="T1409">
            <v>0</v>
          </cell>
          <cell r="U1409">
            <v>0</v>
          </cell>
        </row>
        <row r="1410">
          <cell r="A1410">
            <v>1260507</v>
          </cell>
          <cell r="T1410">
            <v>0</v>
          </cell>
          <cell r="U1410">
            <v>0</v>
          </cell>
        </row>
        <row r="1411">
          <cell r="A1411">
            <v>1260508</v>
          </cell>
          <cell r="T1411">
            <v>0</v>
          </cell>
          <cell r="U1411">
            <v>0</v>
          </cell>
        </row>
        <row r="1412">
          <cell r="A1412">
            <v>1260509</v>
          </cell>
          <cell r="T1412">
            <v>0</v>
          </cell>
          <cell r="U1412">
            <v>0</v>
          </cell>
        </row>
        <row r="1413">
          <cell r="A1413">
            <v>1260510</v>
          </cell>
          <cell r="T1413">
            <v>0</v>
          </cell>
          <cell r="U1413">
            <v>0</v>
          </cell>
        </row>
        <row r="1414">
          <cell r="A1414">
            <v>1270201</v>
          </cell>
          <cell r="T1414">
            <v>0</v>
          </cell>
          <cell r="U1414">
            <v>0</v>
          </cell>
        </row>
        <row r="1415">
          <cell r="A1415">
            <v>1270202</v>
          </cell>
          <cell r="T1415">
            <v>0</v>
          </cell>
          <cell r="U1415">
            <v>0</v>
          </cell>
        </row>
        <row r="1416">
          <cell r="A1416">
            <v>1270203</v>
          </cell>
          <cell r="T1416">
            <v>0</v>
          </cell>
          <cell r="U1416">
            <v>0</v>
          </cell>
        </row>
        <row r="1417">
          <cell r="A1417">
            <v>1270204</v>
          </cell>
          <cell r="T1417">
            <v>0</v>
          </cell>
          <cell r="U1417">
            <v>0</v>
          </cell>
        </row>
        <row r="1418">
          <cell r="A1418">
            <v>1270205</v>
          </cell>
          <cell r="T1418">
            <v>0</v>
          </cell>
          <cell r="U1418">
            <v>0</v>
          </cell>
        </row>
        <row r="1419">
          <cell r="A1419">
            <v>1270206</v>
          </cell>
          <cell r="T1419">
            <v>0</v>
          </cell>
          <cell r="U1419">
            <v>0</v>
          </cell>
        </row>
        <row r="1420">
          <cell r="A1420">
            <v>1270207</v>
          </cell>
          <cell r="T1420">
            <v>0</v>
          </cell>
          <cell r="U1420">
            <v>0</v>
          </cell>
        </row>
        <row r="1421">
          <cell r="A1421">
            <v>1270208</v>
          </cell>
          <cell r="T1421">
            <v>0</v>
          </cell>
          <cell r="U1421">
            <v>0</v>
          </cell>
        </row>
        <row r="1422">
          <cell r="A1422">
            <v>1270209</v>
          </cell>
          <cell r="T1422">
            <v>0</v>
          </cell>
          <cell r="U1422">
            <v>0</v>
          </cell>
        </row>
        <row r="1423">
          <cell r="A1423">
            <v>1270210</v>
          </cell>
          <cell r="T1423">
            <v>0</v>
          </cell>
          <cell r="U1423">
            <v>0</v>
          </cell>
        </row>
        <row r="1424">
          <cell r="A1424">
            <v>1270301</v>
          </cell>
          <cell r="T1424">
            <v>0</v>
          </cell>
          <cell r="U1424">
            <v>0</v>
          </cell>
        </row>
        <row r="1425">
          <cell r="A1425">
            <v>1270302</v>
          </cell>
          <cell r="T1425">
            <v>0</v>
          </cell>
          <cell r="U1425">
            <v>0</v>
          </cell>
        </row>
        <row r="1426">
          <cell r="A1426">
            <v>1270303</v>
          </cell>
          <cell r="T1426">
            <v>0</v>
          </cell>
          <cell r="U1426">
            <v>0</v>
          </cell>
        </row>
        <row r="1427">
          <cell r="A1427">
            <v>1270304</v>
          </cell>
          <cell r="T1427">
            <v>0</v>
          </cell>
          <cell r="U1427">
            <v>0</v>
          </cell>
        </row>
        <row r="1428">
          <cell r="A1428">
            <v>1270305</v>
          </cell>
          <cell r="T1428">
            <v>0</v>
          </cell>
          <cell r="U1428">
            <v>0</v>
          </cell>
        </row>
        <row r="1429">
          <cell r="A1429">
            <v>1270306</v>
          </cell>
          <cell r="T1429">
            <v>0</v>
          </cell>
          <cell r="U1429">
            <v>0</v>
          </cell>
        </row>
        <row r="1430">
          <cell r="A1430">
            <v>1270307</v>
          </cell>
          <cell r="T1430">
            <v>0</v>
          </cell>
          <cell r="U1430">
            <v>0</v>
          </cell>
        </row>
        <row r="1431">
          <cell r="A1431">
            <v>1270308</v>
          </cell>
          <cell r="T1431">
            <v>0</v>
          </cell>
          <cell r="U1431">
            <v>0</v>
          </cell>
        </row>
        <row r="1432">
          <cell r="A1432">
            <v>1270309</v>
          </cell>
          <cell r="T1432">
            <v>0</v>
          </cell>
          <cell r="U1432">
            <v>0</v>
          </cell>
        </row>
        <row r="1433">
          <cell r="A1433">
            <v>1270310</v>
          </cell>
          <cell r="T1433">
            <v>0</v>
          </cell>
          <cell r="U1433">
            <v>0</v>
          </cell>
        </row>
        <row r="1434">
          <cell r="A1434">
            <v>1270401</v>
          </cell>
          <cell r="T1434">
            <v>0</v>
          </cell>
          <cell r="U1434">
            <v>0</v>
          </cell>
        </row>
        <row r="1435">
          <cell r="A1435">
            <v>1270402</v>
          </cell>
          <cell r="T1435">
            <v>0</v>
          </cell>
          <cell r="U1435">
            <v>0</v>
          </cell>
        </row>
        <row r="1436">
          <cell r="A1436">
            <v>1270403</v>
          </cell>
          <cell r="T1436">
            <v>0</v>
          </cell>
          <cell r="U1436">
            <v>0</v>
          </cell>
        </row>
        <row r="1437">
          <cell r="A1437">
            <v>1270404</v>
          </cell>
          <cell r="T1437">
            <v>0</v>
          </cell>
          <cell r="U1437">
            <v>0</v>
          </cell>
        </row>
        <row r="1438">
          <cell r="A1438">
            <v>1270405</v>
          </cell>
          <cell r="T1438">
            <v>0</v>
          </cell>
          <cell r="U1438">
            <v>0</v>
          </cell>
        </row>
        <row r="1439">
          <cell r="A1439">
            <v>1270406</v>
          </cell>
          <cell r="T1439">
            <v>0</v>
          </cell>
          <cell r="U1439">
            <v>0</v>
          </cell>
        </row>
        <row r="1440">
          <cell r="A1440">
            <v>1270407</v>
          </cell>
          <cell r="T1440">
            <v>0</v>
          </cell>
          <cell r="U1440">
            <v>0</v>
          </cell>
        </row>
        <row r="1441">
          <cell r="A1441">
            <v>1270408</v>
          </cell>
          <cell r="T1441">
            <v>0</v>
          </cell>
          <cell r="U1441">
            <v>0</v>
          </cell>
        </row>
        <row r="1442">
          <cell r="A1442">
            <v>1270409</v>
          </cell>
          <cell r="T1442">
            <v>0</v>
          </cell>
          <cell r="U1442">
            <v>0</v>
          </cell>
        </row>
        <row r="1443">
          <cell r="A1443">
            <v>1270410</v>
          </cell>
          <cell r="T1443">
            <v>0</v>
          </cell>
          <cell r="U1443">
            <v>0</v>
          </cell>
        </row>
        <row r="1444">
          <cell r="A1444">
            <v>1270501</v>
          </cell>
          <cell r="T1444">
            <v>0</v>
          </cell>
          <cell r="U1444">
            <v>0</v>
          </cell>
        </row>
        <row r="1445">
          <cell r="A1445">
            <v>1270502</v>
          </cell>
          <cell r="T1445">
            <v>0</v>
          </cell>
          <cell r="U1445">
            <v>0</v>
          </cell>
        </row>
        <row r="1446">
          <cell r="A1446">
            <v>1270503</v>
          </cell>
          <cell r="T1446">
            <v>0</v>
          </cell>
          <cell r="U1446">
            <v>0</v>
          </cell>
        </row>
        <row r="1447">
          <cell r="A1447">
            <v>1270504</v>
          </cell>
          <cell r="T1447">
            <v>0</v>
          </cell>
          <cell r="U1447">
            <v>0</v>
          </cell>
        </row>
        <row r="1448">
          <cell r="A1448">
            <v>1270505</v>
          </cell>
          <cell r="T1448">
            <v>0</v>
          </cell>
          <cell r="U1448">
            <v>0</v>
          </cell>
        </row>
        <row r="1449">
          <cell r="A1449">
            <v>1270506</v>
          </cell>
          <cell r="T1449">
            <v>0</v>
          </cell>
          <cell r="U1449">
            <v>0</v>
          </cell>
        </row>
        <row r="1450">
          <cell r="A1450">
            <v>1270507</v>
          </cell>
          <cell r="T1450">
            <v>0</v>
          </cell>
          <cell r="U1450">
            <v>0</v>
          </cell>
        </row>
        <row r="1451">
          <cell r="A1451">
            <v>1270508</v>
          </cell>
          <cell r="T1451">
            <v>0</v>
          </cell>
          <cell r="U1451">
            <v>0</v>
          </cell>
        </row>
        <row r="1452">
          <cell r="A1452">
            <v>1270509</v>
          </cell>
          <cell r="T1452">
            <v>0</v>
          </cell>
          <cell r="U1452">
            <v>0</v>
          </cell>
        </row>
        <row r="1453">
          <cell r="A1453">
            <v>1270510</v>
          </cell>
          <cell r="T1453">
            <v>0</v>
          </cell>
          <cell r="U1453">
            <v>0</v>
          </cell>
        </row>
        <row r="1454">
          <cell r="A1454">
            <v>1280201</v>
          </cell>
          <cell r="T1454">
            <v>0</v>
          </cell>
          <cell r="U1454">
            <v>0</v>
          </cell>
        </row>
        <row r="1455">
          <cell r="A1455">
            <v>1280202</v>
          </cell>
          <cell r="T1455">
            <v>0</v>
          </cell>
          <cell r="U1455">
            <v>0</v>
          </cell>
        </row>
        <row r="1456">
          <cell r="A1456">
            <v>1280203</v>
          </cell>
          <cell r="T1456">
            <v>0</v>
          </cell>
          <cell r="U1456">
            <v>0</v>
          </cell>
        </row>
        <row r="1457">
          <cell r="A1457">
            <v>1280204</v>
          </cell>
          <cell r="T1457">
            <v>0</v>
          </cell>
          <cell r="U1457">
            <v>0</v>
          </cell>
        </row>
        <row r="1458">
          <cell r="A1458">
            <v>1280205</v>
          </cell>
          <cell r="T1458">
            <v>0</v>
          </cell>
          <cell r="U1458">
            <v>0</v>
          </cell>
        </row>
        <row r="1459">
          <cell r="A1459">
            <v>1280206</v>
          </cell>
          <cell r="T1459">
            <v>0</v>
          </cell>
          <cell r="U1459">
            <v>0</v>
          </cell>
        </row>
        <row r="1460">
          <cell r="A1460">
            <v>1280207</v>
          </cell>
          <cell r="T1460">
            <v>0</v>
          </cell>
          <cell r="U1460">
            <v>0</v>
          </cell>
        </row>
        <row r="1461">
          <cell r="A1461">
            <v>1280208</v>
          </cell>
          <cell r="T1461">
            <v>0</v>
          </cell>
          <cell r="U1461">
            <v>0</v>
          </cell>
        </row>
        <row r="1462">
          <cell r="A1462">
            <v>1280209</v>
          </cell>
          <cell r="T1462">
            <v>0</v>
          </cell>
          <cell r="U1462">
            <v>0</v>
          </cell>
        </row>
        <row r="1463">
          <cell r="A1463">
            <v>1280210</v>
          </cell>
          <cell r="T1463">
            <v>0</v>
          </cell>
          <cell r="U1463">
            <v>0</v>
          </cell>
        </row>
        <row r="1464">
          <cell r="A1464">
            <v>1280301</v>
          </cell>
          <cell r="T1464">
            <v>0</v>
          </cell>
          <cell r="U1464">
            <v>0</v>
          </cell>
        </row>
        <row r="1465">
          <cell r="A1465">
            <v>1280302</v>
          </cell>
          <cell r="T1465">
            <v>0</v>
          </cell>
          <cell r="U1465">
            <v>0</v>
          </cell>
        </row>
        <row r="1466">
          <cell r="A1466">
            <v>1280303</v>
          </cell>
          <cell r="T1466">
            <v>0</v>
          </cell>
          <cell r="U1466">
            <v>0</v>
          </cell>
        </row>
        <row r="1467">
          <cell r="A1467">
            <v>1280304</v>
          </cell>
          <cell r="T1467">
            <v>0</v>
          </cell>
          <cell r="U1467">
            <v>0</v>
          </cell>
        </row>
        <row r="1468">
          <cell r="A1468">
            <v>1280305</v>
          </cell>
          <cell r="T1468">
            <v>0</v>
          </cell>
          <cell r="U1468">
            <v>0</v>
          </cell>
        </row>
        <row r="1469">
          <cell r="A1469">
            <v>1280306</v>
          </cell>
          <cell r="T1469">
            <v>0</v>
          </cell>
          <cell r="U1469">
            <v>0</v>
          </cell>
        </row>
        <row r="1470">
          <cell r="A1470">
            <v>1280307</v>
          </cell>
          <cell r="T1470">
            <v>0</v>
          </cell>
          <cell r="U1470">
            <v>0</v>
          </cell>
        </row>
        <row r="1471">
          <cell r="A1471">
            <v>1280308</v>
          </cell>
          <cell r="T1471">
            <v>0</v>
          </cell>
          <cell r="U1471">
            <v>0</v>
          </cell>
        </row>
        <row r="1472">
          <cell r="A1472">
            <v>1280309</v>
          </cell>
          <cell r="T1472">
            <v>0</v>
          </cell>
          <cell r="U1472">
            <v>0</v>
          </cell>
        </row>
        <row r="1473">
          <cell r="A1473">
            <v>1280310</v>
          </cell>
          <cell r="T1473">
            <v>0</v>
          </cell>
          <cell r="U1473">
            <v>0</v>
          </cell>
        </row>
        <row r="1474">
          <cell r="A1474">
            <v>1280401</v>
          </cell>
          <cell r="T1474">
            <v>0</v>
          </cell>
          <cell r="U1474">
            <v>0</v>
          </cell>
        </row>
        <row r="1475">
          <cell r="A1475">
            <v>1280402</v>
          </cell>
          <cell r="T1475">
            <v>0</v>
          </cell>
          <cell r="U1475">
            <v>0</v>
          </cell>
        </row>
        <row r="1476">
          <cell r="A1476">
            <v>1280403</v>
          </cell>
          <cell r="T1476">
            <v>0</v>
          </cell>
          <cell r="U1476">
            <v>0</v>
          </cell>
        </row>
        <row r="1477">
          <cell r="A1477">
            <v>1280404</v>
          </cell>
          <cell r="T1477">
            <v>0</v>
          </cell>
          <cell r="U1477">
            <v>0</v>
          </cell>
        </row>
        <row r="1478">
          <cell r="A1478">
            <v>1280405</v>
          </cell>
          <cell r="T1478">
            <v>0</v>
          </cell>
          <cell r="U1478">
            <v>0</v>
          </cell>
        </row>
        <row r="1479">
          <cell r="A1479">
            <v>1280406</v>
          </cell>
          <cell r="T1479">
            <v>0</v>
          </cell>
          <cell r="U1479">
            <v>0</v>
          </cell>
        </row>
        <row r="1480">
          <cell r="A1480">
            <v>1280407</v>
          </cell>
          <cell r="T1480">
            <v>0</v>
          </cell>
          <cell r="U1480">
            <v>0</v>
          </cell>
        </row>
        <row r="1481">
          <cell r="A1481">
            <v>1280408</v>
          </cell>
          <cell r="T1481">
            <v>0</v>
          </cell>
          <cell r="U1481">
            <v>0</v>
          </cell>
        </row>
        <row r="1482">
          <cell r="A1482">
            <v>1280409</v>
          </cell>
          <cell r="T1482">
            <v>0</v>
          </cell>
          <cell r="U1482">
            <v>0</v>
          </cell>
        </row>
        <row r="1483">
          <cell r="A1483">
            <v>1280410</v>
          </cell>
          <cell r="T1483">
            <v>0</v>
          </cell>
          <cell r="U1483">
            <v>0</v>
          </cell>
        </row>
        <row r="1484">
          <cell r="A1484">
            <v>1280501</v>
          </cell>
          <cell r="T1484">
            <v>0</v>
          </cell>
          <cell r="U1484">
            <v>0</v>
          </cell>
        </row>
        <row r="1485">
          <cell r="A1485">
            <v>1280502</v>
          </cell>
          <cell r="T1485">
            <v>0</v>
          </cell>
          <cell r="U1485">
            <v>0</v>
          </cell>
        </row>
        <row r="1486">
          <cell r="A1486">
            <v>1280503</v>
          </cell>
          <cell r="T1486">
            <v>0</v>
          </cell>
          <cell r="U1486">
            <v>0</v>
          </cell>
        </row>
        <row r="1487">
          <cell r="A1487">
            <v>1280504</v>
          </cell>
          <cell r="T1487">
            <v>0</v>
          </cell>
          <cell r="U1487">
            <v>0</v>
          </cell>
        </row>
        <row r="1488">
          <cell r="A1488">
            <v>1280505</v>
          </cell>
          <cell r="T1488">
            <v>0</v>
          </cell>
          <cell r="U1488">
            <v>0</v>
          </cell>
        </row>
        <row r="1489">
          <cell r="A1489">
            <v>1280506</v>
          </cell>
          <cell r="T1489">
            <v>0</v>
          </cell>
          <cell r="U1489">
            <v>0</v>
          </cell>
        </row>
        <row r="1490">
          <cell r="A1490">
            <v>1280507</v>
          </cell>
          <cell r="T1490">
            <v>0</v>
          </cell>
          <cell r="U1490">
            <v>0</v>
          </cell>
        </row>
        <row r="1491">
          <cell r="A1491">
            <v>1280508</v>
          </cell>
          <cell r="T1491">
            <v>0</v>
          </cell>
          <cell r="U1491">
            <v>0</v>
          </cell>
        </row>
        <row r="1492">
          <cell r="A1492">
            <v>1280509</v>
          </cell>
          <cell r="T1492">
            <v>0</v>
          </cell>
          <cell r="U1492">
            <v>0</v>
          </cell>
        </row>
        <row r="1493">
          <cell r="A1493">
            <v>1280510</v>
          </cell>
          <cell r="T1493">
            <v>0</v>
          </cell>
          <cell r="U1493">
            <v>0</v>
          </cell>
        </row>
        <row r="1494">
          <cell r="A1494">
            <v>1290201</v>
          </cell>
          <cell r="T1494">
            <v>0</v>
          </cell>
          <cell r="U1494">
            <v>0</v>
          </cell>
        </row>
        <row r="1495">
          <cell r="A1495">
            <v>1290202</v>
          </cell>
          <cell r="T1495">
            <v>0</v>
          </cell>
          <cell r="U1495">
            <v>0</v>
          </cell>
        </row>
        <row r="1496">
          <cell r="A1496">
            <v>1290203</v>
          </cell>
          <cell r="T1496">
            <v>0</v>
          </cell>
          <cell r="U1496">
            <v>0</v>
          </cell>
        </row>
        <row r="1497">
          <cell r="A1497">
            <v>1290204</v>
          </cell>
          <cell r="T1497">
            <v>0</v>
          </cell>
          <cell r="U1497">
            <v>0</v>
          </cell>
        </row>
        <row r="1498">
          <cell r="A1498">
            <v>1290205</v>
          </cell>
          <cell r="T1498">
            <v>0</v>
          </cell>
          <cell r="U1498">
            <v>0</v>
          </cell>
        </row>
        <row r="1499">
          <cell r="A1499">
            <v>1290206</v>
          </cell>
          <cell r="T1499">
            <v>0</v>
          </cell>
          <cell r="U1499">
            <v>0</v>
          </cell>
        </row>
        <row r="1500">
          <cell r="A1500">
            <v>1290207</v>
          </cell>
          <cell r="T1500">
            <v>0</v>
          </cell>
          <cell r="U1500">
            <v>0</v>
          </cell>
        </row>
        <row r="1501">
          <cell r="A1501">
            <v>1290208</v>
          </cell>
          <cell r="T1501">
            <v>0</v>
          </cell>
          <cell r="U1501">
            <v>0</v>
          </cell>
        </row>
        <row r="1502">
          <cell r="A1502">
            <v>1290209</v>
          </cell>
          <cell r="T1502">
            <v>0</v>
          </cell>
          <cell r="U1502">
            <v>0</v>
          </cell>
        </row>
        <row r="1503">
          <cell r="A1503">
            <v>1290210</v>
          </cell>
          <cell r="T1503">
            <v>0</v>
          </cell>
          <cell r="U1503">
            <v>0</v>
          </cell>
        </row>
        <row r="1504">
          <cell r="A1504">
            <v>1290301</v>
          </cell>
          <cell r="T1504">
            <v>0</v>
          </cell>
          <cell r="U1504">
            <v>0</v>
          </cell>
        </row>
        <row r="1505">
          <cell r="A1505">
            <v>1290302</v>
          </cell>
          <cell r="T1505">
            <v>0</v>
          </cell>
          <cell r="U1505">
            <v>0</v>
          </cell>
        </row>
        <row r="1506">
          <cell r="A1506">
            <v>1290303</v>
          </cell>
          <cell r="T1506">
            <v>0</v>
          </cell>
          <cell r="U1506">
            <v>0</v>
          </cell>
        </row>
        <row r="1507">
          <cell r="A1507">
            <v>1290304</v>
          </cell>
          <cell r="T1507">
            <v>0</v>
          </cell>
          <cell r="U1507">
            <v>0</v>
          </cell>
        </row>
        <row r="1508">
          <cell r="A1508">
            <v>1290305</v>
          </cell>
          <cell r="T1508">
            <v>0</v>
          </cell>
          <cell r="U1508">
            <v>0</v>
          </cell>
        </row>
        <row r="1509">
          <cell r="A1509">
            <v>1290306</v>
          </cell>
          <cell r="T1509">
            <v>0</v>
          </cell>
          <cell r="U1509">
            <v>0</v>
          </cell>
        </row>
        <row r="1510">
          <cell r="A1510">
            <v>1290307</v>
          </cell>
          <cell r="T1510">
            <v>0</v>
          </cell>
          <cell r="U1510">
            <v>0</v>
          </cell>
        </row>
        <row r="1511">
          <cell r="A1511">
            <v>1290308</v>
          </cell>
          <cell r="T1511">
            <v>0</v>
          </cell>
          <cell r="U1511">
            <v>0</v>
          </cell>
        </row>
        <row r="1512">
          <cell r="A1512">
            <v>1290309</v>
          </cell>
          <cell r="T1512">
            <v>0</v>
          </cell>
          <cell r="U1512">
            <v>0</v>
          </cell>
        </row>
        <row r="1513">
          <cell r="A1513">
            <v>1290310</v>
          </cell>
          <cell r="T1513">
            <v>0</v>
          </cell>
          <cell r="U1513">
            <v>0</v>
          </cell>
        </row>
        <row r="1514">
          <cell r="A1514">
            <v>1290401</v>
          </cell>
          <cell r="T1514">
            <v>0</v>
          </cell>
          <cell r="U1514">
            <v>0</v>
          </cell>
        </row>
        <row r="1515">
          <cell r="A1515">
            <v>1290402</v>
          </cell>
          <cell r="T1515">
            <v>0</v>
          </cell>
          <cell r="U1515">
            <v>0</v>
          </cell>
        </row>
        <row r="1516">
          <cell r="A1516">
            <v>1290403</v>
          </cell>
          <cell r="T1516">
            <v>0</v>
          </cell>
          <cell r="U1516">
            <v>0</v>
          </cell>
        </row>
        <row r="1517">
          <cell r="A1517">
            <v>1290404</v>
          </cell>
          <cell r="T1517">
            <v>0</v>
          </cell>
          <cell r="U1517">
            <v>0</v>
          </cell>
        </row>
        <row r="1518">
          <cell r="A1518">
            <v>1290405</v>
          </cell>
          <cell r="T1518">
            <v>0</v>
          </cell>
          <cell r="U1518">
            <v>0</v>
          </cell>
        </row>
        <row r="1519">
          <cell r="A1519">
            <v>1290406</v>
          </cell>
          <cell r="T1519">
            <v>0</v>
          </cell>
          <cell r="U1519">
            <v>0</v>
          </cell>
        </row>
        <row r="1520">
          <cell r="A1520">
            <v>1290407</v>
          </cell>
          <cell r="T1520">
            <v>0</v>
          </cell>
          <cell r="U1520">
            <v>0</v>
          </cell>
        </row>
        <row r="1521">
          <cell r="A1521">
            <v>1290408</v>
          </cell>
          <cell r="T1521">
            <v>0</v>
          </cell>
          <cell r="U1521">
            <v>0</v>
          </cell>
        </row>
        <row r="1522">
          <cell r="A1522">
            <v>1290409</v>
          </cell>
          <cell r="T1522">
            <v>0</v>
          </cell>
          <cell r="U1522">
            <v>0</v>
          </cell>
        </row>
        <row r="1523">
          <cell r="A1523">
            <v>1290410</v>
          </cell>
          <cell r="T1523">
            <v>0</v>
          </cell>
          <cell r="U1523">
            <v>0</v>
          </cell>
        </row>
        <row r="1524">
          <cell r="A1524">
            <v>1290501</v>
          </cell>
          <cell r="T1524">
            <v>0</v>
          </cell>
          <cell r="U1524">
            <v>0</v>
          </cell>
        </row>
        <row r="1525">
          <cell r="A1525">
            <v>1290502</v>
          </cell>
          <cell r="T1525">
            <v>0</v>
          </cell>
          <cell r="U1525">
            <v>0</v>
          </cell>
        </row>
        <row r="1526">
          <cell r="A1526">
            <v>1290503</v>
          </cell>
          <cell r="T1526">
            <v>0</v>
          </cell>
          <cell r="U1526">
            <v>0</v>
          </cell>
        </row>
        <row r="1527">
          <cell r="A1527">
            <v>1290504</v>
          </cell>
          <cell r="T1527">
            <v>0</v>
          </cell>
          <cell r="U1527">
            <v>0</v>
          </cell>
        </row>
        <row r="1528">
          <cell r="A1528">
            <v>1290505</v>
          </cell>
          <cell r="T1528">
            <v>0</v>
          </cell>
          <cell r="U1528">
            <v>0</v>
          </cell>
        </row>
        <row r="1529">
          <cell r="A1529">
            <v>1290506</v>
          </cell>
          <cell r="T1529">
            <v>0</v>
          </cell>
          <cell r="U1529">
            <v>0</v>
          </cell>
        </row>
        <row r="1530">
          <cell r="A1530">
            <v>1290507</v>
          </cell>
          <cell r="T1530">
            <v>0</v>
          </cell>
          <cell r="U1530">
            <v>0</v>
          </cell>
        </row>
        <row r="1531">
          <cell r="A1531">
            <v>1290508</v>
          </cell>
          <cell r="T1531">
            <v>0</v>
          </cell>
          <cell r="U1531">
            <v>0</v>
          </cell>
        </row>
        <row r="1532">
          <cell r="A1532">
            <v>1290509</v>
          </cell>
          <cell r="T1532">
            <v>0</v>
          </cell>
          <cell r="U1532">
            <v>0</v>
          </cell>
        </row>
        <row r="1533">
          <cell r="A1533">
            <v>1290510</v>
          </cell>
          <cell r="T1533">
            <v>0</v>
          </cell>
          <cell r="U1533">
            <v>0</v>
          </cell>
        </row>
        <row r="1534">
          <cell r="A1534">
            <v>1300201</v>
          </cell>
          <cell r="T1534">
            <v>0</v>
          </cell>
          <cell r="U1534">
            <v>0</v>
          </cell>
        </row>
        <row r="1535">
          <cell r="A1535">
            <v>1300202</v>
          </cell>
          <cell r="T1535">
            <v>0</v>
          </cell>
          <cell r="U1535">
            <v>0</v>
          </cell>
        </row>
        <row r="1536">
          <cell r="A1536">
            <v>1300203</v>
          </cell>
          <cell r="T1536">
            <v>0</v>
          </cell>
          <cell r="U1536">
            <v>0</v>
          </cell>
        </row>
        <row r="1537">
          <cell r="A1537">
            <v>1300204</v>
          </cell>
          <cell r="T1537">
            <v>0</v>
          </cell>
          <cell r="U1537">
            <v>0</v>
          </cell>
        </row>
        <row r="1538">
          <cell r="A1538">
            <v>1300205</v>
          </cell>
          <cell r="T1538">
            <v>0</v>
          </cell>
          <cell r="U1538">
            <v>0</v>
          </cell>
        </row>
        <row r="1539">
          <cell r="A1539">
            <v>1300206</v>
          </cell>
          <cell r="T1539">
            <v>0</v>
          </cell>
          <cell r="U1539">
            <v>0</v>
          </cell>
        </row>
        <row r="1540">
          <cell r="A1540">
            <v>1300207</v>
          </cell>
          <cell r="T1540">
            <v>0</v>
          </cell>
          <cell r="U1540">
            <v>0</v>
          </cell>
        </row>
        <row r="1541">
          <cell r="A1541">
            <v>1300208</v>
          </cell>
          <cell r="T1541">
            <v>0</v>
          </cell>
          <cell r="U1541">
            <v>0</v>
          </cell>
        </row>
        <row r="1542">
          <cell r="A1542">
            <v>1300209</v>
          </cell>
          <cell r="T1542">
            <v>0</v>
          </cell>
          <cell r="U1542">
            <v>0</v>
          </cell>
        </row>
        <row r="1543">
          <cell r="A1543">
            <v>1300210</v>
          </cell>
          <cell r="T1543">
            <v>0</v>
          </cell>
          <cell r="U1543">
            <v>0</v>
          </cell>
        </row>
        <row r="1544">
          <cell r="A1544">
            <v>1300301</v>
          </cell>
          <cell r="T1544">
            <v>0</v>
          </cell>
          <cell r="U1544">
            <v>0</v>
          </cell>
        </row>
        <row r="1545">
          <cell r="A1545">
            <v>1300302</v>
          </cell>
          <cell r="T1545">
            <v>0</v>
          </cell>
          <cell r="U1545">
            <v>0</v>
          </cell>
        </row>
        <row r="1546">
          <cell r="A1546">
            <v>1300303</v>
          </cell>
          <cell r="T1546">
            <v>0</v>
          </cell>
          <cell r="U1546">
            <v>0</v>
          </cell>
        </row>
        <row r="1547">
          <cell r="A1547">
            <v>1300304</v>
          </cell>
          <cell r="T1547">
            <v>0</v>
          </cell>
          <cell r="U1547">
            <v>0</v>
          </cell>
        </row>
        <row r="1548">
          <cell r="A1548">
            <v>1300305</v>
          </cell>
          <cell r="T1548">
            <v>0</v>
          </cell>
          <cell r="U1548">
            <v>0</v>
          </cell>
        </row>
        <row r="1549">
          <cell r="A1549">
            <v>1300306</v>
          </cell>
          <cell r="T1549">
            <v>0</v>
          </cell>
          <cell r="U1549">
            <v>0</v>
          </cell>
        </row>
        <row r="1550">
          <cell r="A1550">
            <v>1300307</v>
          </cell>
          <cell r="T1550">
            <v>0</v>
          </cell>
          <cell r="U1550">
            <v>0</v>
          </cell>
        </row>
        <row r="1551">
          <cell r="A1551">
            <v>1300308</v>
          </cell>
          <cell r="T1551">
            <v>0</v>
          </cell>
          <cell r="U1551">
            <v>0</v>
          </cell>
        </row>
        <row r="1552">
          <cell r="A1552">
            <v>1300309</v>
          </cell>
          <cell r="T1552">
            <v>0</v>
          </cell>
          <cell r="U1552">
            <v>0</v>
          </cell>
        </row>
        <row r="1553">
          <cell r="A1553">
            <v>1300310</v>
          </cell>
          <cell r="T1553">
            <v>0</v>
          </cell>
          <cell r="U1553">
            <v>0</v>
          </cell>
        </row>
        <row r="1554">
          <cell r="A1554">
            <v>1300401</v>
          </cell>
          <cell r="T1554">
            <v>0</v>
          </cell>
          <cell r="U1554">
            <v>0</v>
          </cell>
        </row>
        <row r="1555">
          <cell r="A1555">
            <v>1300402</v>
          </cell>
          <cell r="T1555">
            <v>0</v>
          </cell>
          <cell r="U1555">
            <v>0</v>
          </cell>
        </row>
        <row r="1556">
          <cell r="A1556">
            <v>1300403</v>
          </cell>
          <cell r="T1556">
            <v>0</v>
          </cell>
          <cell r="U1556">
            <v>0</v>
          </cell>
        </row>
        <row r="1557">
          <cell r="A1557">
            <v>1300404</v>
          </cell>
          <cell r="T1557">
            <v>0</v>
          </cell>
          <cell r="U1557">
            <v>0</v>
          </cell>
        </row>
        <row r="1558">
          <cell r="A1558">
            <v>1300405</v>
          </cell>
          <cell r="T1558">
            <v>0</v>
          </cell>
          <cell r="U1558">
            <v>0</v>
          </cell>
        </row>
        <row r="1559">
          <cell r="A1559">
            <v>1300406</v>
          </cell>
          <cell r="T1559">
            <v>0</v>
          </cell>
          <cell r="U1559">
            <v>0</v>
          </cell>
        </row>
        <row r="1560">
          <cell r="A1560">
            <v>1300407</v>
          </cell>
          <cell r="T1560">
            <v>0</v>
          </cell>
          <cell r="U1560">
            <v>0</v>
          </cell>
        </row>
        <row r="1561">
          <cell r="A1561">
            <v>1300408</v>
          </cell>
          <cell r="T1561">
            <v>0</v>
          </cell>
          <cell r="U1561">
            <v>0</v>
          </cell>
        </row>
        <row r="1562">
          <cell r="A1562">
            <v>1300409</v>
          </cell>
          <cell r="T1562">
            <v>0</v>
          </cell>
          <cell r="U1562">
            <v>0</v>
          </cell>
        </row>
        <row r="1563">
          <cell r="A1563">
            <v>1300410</v>
          </cell>
          <cell r="T1563">
            <v>0</v>
          </cell>
          <cell r="U1563">
            <v>0</v>
          </cell>
        </row>
        <row r="1564">
          <cell r="A1564">
            <v>1300501</v>
          </cell>
          <cell r="T1564">
            <v>0</v>
          </cell>
          <cell r="U1564">
            <v>0</v>
          </cell>
        </row>
        <row r="1565">
          <cell r="A1565">
            <v>1300502</v>
          </cell>
          <cell r="T1565">
            <v>0</v>
          </cell>
          <cell r="U1565">
            <v>0</v>
          </cell>
        </row>
        <row r="1566">
          <cell r="A1566">
            <v>1300503</v>
          </cell>
          <cell r="T1566">
            <v>0</v>
          </cell>
          <cell r="U1566">
            <v>0</v>
          </cell>
        </row>
        <row r="1567">
          <cell r="A1567">
            <v>1300504</v>
          </cell>
          <cell r="T1567">
            <v>0</v>
          </cell>
          <cell r="U1567">
            <v>0</v>
          </cell>
        </row>
        <row r="1568">
          <cell r="A1568">
            <v>1300505</v>
          </cell>
          <cell r="T1568">
            <v>0</v>
          </cell>
          <cell r="U1568">
            <v>0</v>
          </cell>
        </row>
        <row r="1569">
          <cell r="A1569">
            <v>1300506</v>
          </cell>
          <cell r="T1569">
            <v>0</v>
          </cell>
          <cell r="U1569">
            <v>0</v>
          </cell>
        </row>
        <row r="1570">
          <cell r="A1570">
            <v>1300507</v>
          </cell>
          <cell r="T1570">
            <v>0</v>
          </cell>
          <cell r="U1570">
            <v>0</v>
          </cell>
        </row>
        <row r="1571">
          <cell r="A1571">
            <v>1300508</v>
          </cell>
          <cell r="T1571">
            <v>0</v>
          </cell>
          <cell r="U1571">
            <v>0</v>
          </cell>
        </row>
        <row r="1572">
          <cell r="A1572">
            <v>1300509</v>
          </cell>
          <cell r="T1572">
            <v>0</v>
          </cell>
          <cell r="U1572">
            <v>0</v>
          </cell>
        </row>
        <row r="1573">
          <cell r="A1573">
            <v>1300510</v>
          </cell>
          <cell r="T1573">
            <v>0</v>
          </cell>
          <cell r="U1573">
            <v>0</v>
          </cell>
        </row>
        <row r="1574">
          <cell r="A1574">
            <v>1200601</v>
          </cell>
          <cell r="T1574">
            <v>0</v>
          </cell>
          <cell r="U1574">
            <v>0</v>
          </cell>
        </row>
        <row r="1575">
          <cell r="A1575">
            <v>1200602</v>
          </cell>
          <cell r="T1575">
            <v>0</v>
          </cell>
          <cell r="U1575">
            <v>0</v>
          </cell>
        </row>
        <row r="1576">
          <cell r="A1576">
            <v>1200603</v>
          </cell>
          <cell r="T1576">
            <v>0</v>
          </cell>
          <cell r="U1576">
            <v>0</v>
          </cell>
        </row>
        <row r="1577">
          <cell r="A1577">
            <v>1200604</v>
          </cell>
          <cell r="T1577">
            <v>0</v>
          </cell>
          <cell r="U1577">
            <v>0</v>
          </cell>
        </row>
        <row r="1578">
          <cell r="A1578">
            <v>1200605</v>
          </cell>
          <cell r="T1578">
            <v>0</v>
          </cell>
          <cell r="U1578">
            <v>0</v>
          </cell>
        </row>
        <row r="1579">
          <cell r="A1579">
            <v>1200606</v>
          </cell>
          <cell r="T1579">
            <v>0</v>
          </cell>
          <cell r="U1579">
            <v>0</v>
          </cell>
        </row>
        <row r="1580">
          <cell r="A1580">
            <v>1200607</v>
          </cell>
          <cell r="T1580">
            <v>0</v>
          </cell>
          <cell r="U1580">
            <v>0</v>
          </cell>
        </row>
        <row r="1581">
          <cell r="A1581">
            <v>1200608</v>
          </cell>
          <cell r="T1581">
            <v>0</v>
          </cell>
          <cell r="U1581">
            <v>0</v>
          </cell>
        </row>
        <row r="1582">
          <cell r="A1582">
            <v>1200609</v>
          </cell>
          <cell r="T1582">
            <v>0</v>
          </cell>
          <cell r="U1582">
            <v>0</v>
          </cell>
        </row>
        <row r="1583">
          <cell r="A1583">
            <v>1200610</v>
          </cell>
          <cell r="T1583">
            <v>0</v>
          </cell>
          <cell r="U1583">
            <v>0</v>
          </cell>
        </row>
        <row r="1584">
          <cell r="A1584">
            <v>1210601</v>
          </cell>
          <cell r="T1584">
            <v>0</v>
          </cell>
          <cell r="U1584">
            <v>0</v>
          </cell>
        </row>
        <row r="1585">
          <cell r="A1585">
            <v>1210602</v>
          </cell>
          <cell r="T1585">
            <v>0</v>
          </cell>
          <cell r="U1585">
            <v>0</v>
          </cell>
        </row>
        <row r="1586">
          <cell r="A1586">
            <v>1210603</v>
          </cell>
          <cell r="T1586">
            <v>0</v>
          </cell>
          <cell r="U1586">
            <v>0</v>
          </cell>
        </row>
        <row r="1587">
          <cell r="A1587">
            <v>1210604</v>
          </cell>
          <cell r="T1587">
            <v>0</v>
          </cell>
          <cell r="U1587">
            <v>0</v>
          </cell>
        </row>
        <row r="1588">
          <cell r="A1588">
            <v>1210605</v>
          </cell>
          <cell r="T1588">
            <v>0</v>
          </cell>
          <cell r="U1588">
            <v>0</v>
          </cell>
        </row>
        <row r="1589">
          <cell r="A1589">
            <v>1210606</v>
          </cell>
          <cell r="T1589">
            <v>0</v>
          </cell>
          <cell r="U1589">
            <v>0</v>
          </cell>
        </row>
        <row r="1590">
          <cell r="A1590">
            <v>1210607</v>
          </cell>
          <cell r="T1590">
            <v>0</v>
          </cell>
          <cell r="U1590">
            <v>0</v>
          </cell>
        </row>
        <row r="1591">
          <cell r="A1591">
            <v>1210608</v>
          </cell>
          <cell r="T1591">
            <v>0</v>
          </cell>
          <cell r="U1591">
            <v>0</v>
          </cell>
        </row>
        <row r="1592">
          <cell r="A1592">
            <v>1210609</v>
          </cell>
          <cell r="T1592">
            <v>0</v>
          </cell>
          <cell r="U1592">
            <v>0</v>
          </cell>
        </row>
        <row r="1593">
          <cell r="A1593">
            <v>1210610</v>
          </cell>
          <cell r="T1593">
            <v>0</v>
          </cell>
          <cell r="U1593">
            <v>0</v>
          </cell>
        </row>
        <row r="1594">
          <cell r="A1594">
            <v>1220601</v>
          </cell>
          <cell r="T1594">
            <v>0</v>
          </cell>
          <cell r="U1594">
            <v>0</v>
          </cell>
        </row>
        <row r="1595">
          <cell r="A1595">
            <v>1220602</v>
          </cell>
          <cell r="T1595">
            <v>0</v>
          </cell>
          <cell r="U1595">
            <v>0</v>
          </cell>
        </row>
        <row r="1596">
          <cell r="A1596">
            <v>1220603</v>
          </cell>
          <cell r="T1596">
            <v>0</v>
          </cell>
          <cell r="U1596">
            <v>0</v>
          </cell>
        </row>
        <row r="1597">
          <cell r="A1597">
            <v>1220604</v>
          </cell>
          <cell r="T1597">
            <v>0</v>
          </cell>
          <cell r="U1597">
            <v>0</v>
          </cell>
        </row>
        <row r="1598">
          <cell r="A1598">
            <v>1220605</v>
          </cell>
          <cell r="T1598">
            <v>0</v>
          </cell>
          <cell r="U1598">
            <v>0</v>
          </cell>
        </row>
        <row r="1599">
          <cell r="A1599">
            <v>1220606</v>
          </cell>
          <cell r="T1599">
            <v>0</v>
          </cell>
          <cell r="U1599">
            <v>0</v>
          </cell>
        </row>
        <row r="1600">
          <cell r="A1600">
            <v>1220607</v>
          </cell>
          <cell r="T1600">
            <v>0</v>
          </cell>
          <cell r="U1600">
            <v>0</v>
          </cell>
        </row>
        <row r="1601">
          <cell r="A1601">
            <v>1220608</v>
          </cell>
          <cell r="T1601">
            <v>0</v>
          </cell>
          <cell r="U1601">
            <v>0</v>
          </cell>
        </row>
        <row r="1602">
          <cell r="A1602">
            <v>1220609</v>
          </cell>
          <cell r="T1602">
            <v>0</v>
          </cell>
          <cell r="U1602">
            <v>0</v>
          </cell>
        </row>
        <row r="1603">
          <cell r="A1603">
            <v>1220610</v>
          </cell>
          <cell r="T1603">
            <v>0</v>
          </cell>
          <cell r="U1603">
            <v>0</v>
          </cell>
        </row>
        <row r="1604">
          <cell r="A1604">
            <v>1230601</v>
          </cell>
          <cell r="T1604">
            <v>0</v>
          </cell>
          <cell r="U1604">
            <v>0</v>
          </cell>
        </row>
        <row r="1605">
          <cell r="A1605">
            <v>1230602</v>
          </cell>
          <cell r="T1605">
            <v>0</v>
          </cell>
          <cell r="U1605">
            <v>0</v>
          </cell>
        </row>
        <row r="1606">
          <cell r="A1606">
            <v>1230603</v>
          </cell>
          <cell r="T1606">
            <v>0</v>
          </cell>
          <cell r="U1606">
            <v>0</v>
          </cell>
        </row>
        <row r="1607">
          <cell r="A1607">
            <v>1230604</v>
          </cell>
          <cell r="T1607">
            <v>0</v>
          </cell>
          <cell r="U1607">
            <v>0</v>
          </cell>
        </row>
        <row r="1608">
          <cell r="A1608">
            <v>1230605</v>
          </cell>
          <cell r="T1608">
            <v>0</v>
          </cell>
          <cell r="U1608">
            <v>0</v>
          </cell>
        </row>
        <row r="1609">
          <cell r="A1609">
            <v>1230606</v>
          </cell>
          <cell r="T1609">
            <v>0</v>
          </cell>
          <cell r="U1609">
            <v>0</v>
          </cell>
        </row>
        <row r="1610">
          <cell r="A1610">
            <v>1230607</v>
          </cell>
          <cell r="T1610">
            <v>0</v>
          </cell>
          <cell r="U1610">
            <v>0</v>
          </cell>
        </row>
        <row r="1611">
          <cell r="A1611">
            <v>1230608</v>
          </cell>
          <cell r="T1611">
            <v>0</v>
          </cell>
          <cell r="U1611">
            <v>0</v>
          </cell>
        </row>
        <row r="1612">
          <cell r="A1612">
            <v>1230609</v>
          </cell>
          <cell r="T1612">
            <v>0</v>
          </cell>
          <cell r="U1612">
            <v>0</v>
          </cell>
        </row>
        <row r="1613">
          <cell r="A1613">
            <v>1230610</v>
          </cell>
          <cell r="T1613">
            <v>0</v>
          </cell>
          <cell r="U1613">
            <v>0</v>
          </cell>
        </row>
        <row r="1614">
          <cell r="A1614">
            <v>1240601</v>
          </cell>
          <cell r="T1614">
            <v>0</v>
          </cell>
          <cell r="U1614">
            <v>0</v>
          </cell>
        </row>
        <row r="1615">
          <cell r="A1615">
            <v>1240602</v>
          </cell>
          <cell r="T1615">
            <v>0</v>
          </cell>
          <cell r="U1615">
            <v>0</v>
          </cell>
        </row>
        <row r="1616">
          <cell r="A1616">
            <v>1240603</v>
          </cell>
          <cell r="T1616">
            <v>0</v>
          </cell>
          <cell r="U1616">
            <v>0</v>
          </cell>
        </row>
        <row r="1617">
          <cell r="A1617">
            <v>1240604</v>
          </cell>
          <cell r="T1617">
            <v>0</v>
          </cell>
          <cell r="U1617">
            <v>0</v>
          </cell>
        </row>
        <row r="1618">
          <cell r="A1618">
            <v>1240605</v>
          </cell>
          <cell r="T1618">
            <v>0</v>
          </cell>
          <cell r="U1618">
            <v>0</v>
          </cell>
        </row>
        <row r="1619">
          <cell r="A1619">
            <v>1240606</v>
          </cell>
          <cell r="T1619">
            <v>0</v>
          </cell>
          <cell r="U1619">
            <v>0</v>
          </cell>
        </row>
        <row r="1620">
          <cell r="A1620">
            <v>1240607</v>
          </cell>
          <cell r="T1620">
            <v>0</v>
          </cell>
          <cell r="U1620">
            <v>0</v>
          </cell>
        </row>
        <row r="1621">
          <cell r="A1621">
            <v>1240608</v>
          </cell>
          <cell r="T1621">
            <v>0</v>
          </cell>
          <cell r="U1621">
            <v>0</v>
          </cell>
        </row>
        <row r="1622">
          <cell r="A1622">
            <v>1240609</v>
          </cell>
          <cell r="T1622">
            <v>0</v>
          </cell>
          <cell r="U1622">
            <v>0</v>
          </cell>
        </row>
        <row r="1623">
          <cell r="A1623">
            <v>1240610</v>
          </cell>
          <cell r="T1623">
            <v>0</v>
          </cell>
          <cell r="U1623">
            <v>0</v>
          </cell>
        </row>
        <row r="1624">
          <cell r="A1624">
            <v>1250601</v>
          </cell>
          <cell r="T1624">
            <v>0</v>
          </cell>
          <cell r="U1624">
            <v>0</v>
          </cell>
        </row>
        <row r="1625">
          <cell r="A1625">
            <v>1250602</v>
          </cell>
          <cell r="T1625">
            <v>0</v>
          </cell>
          <cell r="U1625">
            <v>0</v>
          </cell>
        </row>
        <row r="1626">
          <cell r="A1626">
            <v>1250603</v>
          </cell>
          <cell r="T1626">
            <v>0</v>
          </cell>
          <cell r="U1626">
            <v>0</v>
          </cell>
        </row>
        <row r="1627">
          <cell r="A1627">
            <v>1250604</v>
          </cell>
          <cell r="T1627">
            <v>0</v>
          </cell>
          <cell r="U1627">
            <v>0</v>
          </cell>
        </row>
        <row r="1628">
          <cell r="A1628">
            <v>1250605</v>
          </cell>
          <cell r="T1628">
            <v>0</v>
          </cell>
          <cell r="U1628">
            <v>0</v>
          </cell>
        </row>
        <row r="1629">
          <cell r="A1629">
            <v>1250606</v>
          </cell>
          <cell r="T1629">
            <v>0</v>
          </cell>
          <cell r="U1629">
            <v>0</v>
          </cell>
        </row>
        <row r="1630">
          <cell r="A1630">
            <v>1250607</v>
          </cell>
          <cell r="T1630">
            <v>0</v>
          </cell>
          <cell r="U1630">
            <v>0</v>
          </cell>
        </row>
        <row r="1631">
          <cell r="A1631">
            <v>1250608</v>
          </cell>
          <cell r="T1631">
            <v>0</v>
          </cell>
          <cell r="U1631">
            <v>0</v>
          </cell>
        </row>
        <row r="1632">
          <cell r="A1632">
            <v>1250609</v>
          </cell>
          <cell r="T1632">
            <v>0</v>
          </cell>
          <cell r="U1632">
            <v>0</v>
          </cell>
        </row>
        <row r="1633">
          <cell r="A1633">
            <v>1250610</v>
          </cell>
          <cell r="T1633">
            <v>0</v>
          </cell>
          <cell r="U1633">
            <v>0</v>
          </cell>
        </row>
        <row r="1634">
          <cell r="A1634">
            <v>1260601</v>
          </cell>
          <cell r="T1634">
            <v>0</v>
          </cell>
          <cell r="U1634">
            <v>0</v>
          </cell>
        </row>
        <row r="1635">
          <cell r="A1635">
            <v>1260602</v>
          </cell>
          <cell r="T1635">
            <v>0</v>
          </cell>
          <cell r="U1635">
            <v>0</v>
          </cell>
        </row>
        <row r="1636">
          <cell r="A1636">
            <v>1260603</v>
          </cell>
          <cell r="T1636">
            <v>0</v>
          </cell>
          <cell r="U1636">
            <v>0</v>
          </cell>
        </row>
        <row r="1637">
          <cell r="A1637">
            <v>1260604</v>
          </cell>
          <cell r="T1637">
            <v>0</v>
          </cell>
          <cell r="U1637">
            <v>0</v>
          </cell>
        </row>
        <row r="1638">
          <cell r="A1638">
            <v>1260605</v>
          </cell>
          <cell r="T1638">
            <v>0</v>
          </cell>
          <cell r="U1638">
            <v>0</v>
          </cell>
        </row>
        <row r="1639">
          <cell r="A1639">
            <v>1260606</v>
          </cell>
          <cell r="T1639">
            <v>0</v>
          </cell>
          <cell r="U1639">
            <v>0</v>
          </cell>
        </row>
        <row r="1640">
          <cell r="A1640">
            <v>1260607</v>
          </cell>
          <cell r="T1640">
            <v>0</v>
          </cell>
          <cell r="U1640">
            <v>0</v>
          </cell>
        </row>
        <row r="1641">
          <cell r="A1641">
            <v>1260608</v>
          </cell>
          <cell r="T1641">
            <v>0</v>
          </cell>
          <cell r="U1641">
            <v>0</v>
          </cell>
        </row>
        <row r="1642">
          <cell r="A1642">
            <v>1260609</v>
          </cell>
          <cell r="T1642">
            <v>0</v>
          </cell>
          <cell r="U1642">
            <v>0</v>
          </cell>
        </row>
        <row r="1643">
          <cell r="A1643">
            <v>1260610</v>
          </cell>
          <cell r="T1643">
            <v>0</v>
          </cell>
          <cell r="U1643">
            <v>0</v>
          </cell>
        </row>
        <row r="1644">
          <cell r="A1644">
            <v>1270601</v>
          </cell>
          <cell r="T1644">
            <v>0</v>
          </cell>
          <cell r="U1644">
            <v>0</v>
          </cell>
        </row>
        <row r="1645">
          <cell r="A1645">
            <v>1270602</v>
          </cell>
          <cell r="T1645">
            <v>0</v>
          </cell>
          <cell r="U1645">
            <v>0</v>
          </cell>
        </row>
        <row r="1646">
          <cell r="A1646">
            <v>1270603</v>
          </cell>
          <cell r="T1646">
            <v>0</v>
          </cell>
          <cell r="U1646">
            <v>0</v>
          </cell>
        </row>
        <row r="1647">
          <cell r="A1647">
            <v>1270604</v>
          </cell>
          <cell r="T1647">
            <v>0</v>
          </cell>
          <cell r="U1647">
            <v>0</v>
          </cell>
        </row>
        <row r="1648">
          <cell r="A1648">
            <v>1270605</v>
          </cell>
          <cell r="T1648">
            <v>0</v>
          </cell>
          <cell r="U1648">
            <v>0</v>
          </cell>
        </row>
        <row r="1649">
          <cell r="A1649">
            <v>1270606</v>
          </cell>
          <cell r="T1649">
            <v>0</v>
          </cell>
          <cell r="U1649">
            <v>0</v>
          </cell>
        </row>
        <row r="1650">
          <cell r="A1650">
            <v>1270607</v>
          </cell>
          <cell r="T1650">
            <v>0</v>
          </cell>
          <cell r="U1650">
            <v>0</v>
          </cell>
        </row>
        <row r="1651">
          <cell r="A1651">
            <v>1270608</v>
          </cell>
          <cell r="T1651">
            <v>0</v>
          </cell>
          <cell r="U1651">
            <v>0</v>
          </cell>
        </row>
        <row r="1652">
          <cell r="A1652">
            <v>1270609</v>
          </cell>
          <cell r="T1652">
            <v>0</v>
          </cell>
          <cell r="U1652">
            <v>0</v>
          </cell>
        </row>
        <row r="1653">
          <cell r="A1653">
            <v>1270610</v>
          </cell>
          <cell r="T1653">
            <v>0</v>
          </cell>
          <cell r="U1653">
            <v>0</v>
          </cell>
        </row>
        <row r="1654">
          <cell r="A1654">
            <v>1280601</v>
          </cell>
          <cell r="T1654">
            <v>0</v>
          </cell>
          <cell r="U1654">
            <v>0</v>
          </cell>
        </row>
        <row r="1655">
          <cell r="A1655">
            <v>1280602</v>
          </cell>
          <cell r="T1655">
            <v>0</v>
          </cell>
          <cell r="U1655">
            <v>0</v>
          </cell>
        </row>
        <row r="1656">
          <cell r="A1656">
            <v>1280603</v>
          </cell>
          <cell r="T1656">
            <v>0</v>
          </cell>
          <cell r="U1656">
            <v>0</v>
          </cell>
        </row>
        <row r="1657">
          <cell r="A1657">
            <v>1280604</v>
          </cell>
          <cell r="T1657">
            <v>0</v>
          </cell>
          <cell r="U1657">
            <v>0</v>
          </cell>
        </row>
        <row r="1658">
          <cell r="A1658">
            <v>1280605</v>
          </cell>
          <cell r="T1658">
            <v>0</v>
          </cell>
          <cell r="U1658">
            <v>0</v>
          </cell>
        </row>
        <row r="1659">
          <cell r="A1659">
            <v>1280606</v>
          </cell>
          <cell r="T1659">
            <v>0</v>
          </cell>
          <cell r="U1659">
            <v>0</v>
          </cell>
        </row>
        <row r="1660">
          <cell r="A1660">
            <v>1280607</v>
          </cell>
          <cell r="T1660">
            <v>0</v>
          </cell>
          <cell r="U1660">
            <v>0</v>
          </cell>
        </row>
        <row r="1661">
          <cell r="A1661">
            <v>1280608</v>
          </cell>
          <cell r="T1661">
            <v>0</v>
          </cell>
          <cell r="U1661">
            <v>0</v>
          </cell>
        </row>
        <row r="1662">
          <cell r="A1662">
            <v>1280609</v>
          </cell>
          <cell r="T1662">
            <v>0</v>
          </cell>
          <cell r="U1662">
            <v>0</v>
          </cell>
        </row>
        <row r="1663">
          <cell r="A1663">
            <v>1280610</v>
          </cell>
          <cell r="T1663">
            <v>0</v>
          </cell>
          <cell r="U1663">
            <v>0</v>
          </cell>
        </row>
        <row r="1664">
          <cell r="A1664">
            <v>1290601</v>
          </cell>
          <cell r="T1664">
            <v>0</v>
          </cell>
          <cell r="U1664">
            <v>0</v>
          </cell>
        </row>
        <row r="1665">
          <cell r="A1665">
            <v>1290602</v>
          </cell>
          <cell r="T1665">
            <v>0</v>
          </cell>
          <cell r="U1665">
            <v>0</v>
          </cell>
        </row>
        <row r="1666">
          <cell r="A1666">
            <v>1290603</v>
          </cell>
          <cell r="T1666">
            <v>0</v>
          </cell>
          <cell r="U1666">
            <v>0</v>
          </cell>
        </row>
        <row r="1667">
          <cell r="A1667">
            <v>1290604</v>
          </cell>
          <cell r="T1667">
            <v>0</v>
          </cell>
          <cell r="U1667">
            <v>0</v>
          </cell>
        </row>
        <row r="1668">
          <cell r="A1668">
            <v>1290605</v>
          </cell>
          <cell r="T1668">
            <v>0</v>
          </cell>
          <cell r="U1668">
            <v>0</v>
          </cell>
        </row>
        <row r="1669">
          <cell r="A1669">
            <v>1290606</v>
          </cell>
          <cell r="T1669">
            <v>0</v>
          </cell>
          <cell r="U1669">
            <v>0</v>
          </cell>
        </row>
        <row r="1670">
          <cell r="A1670">
            <v>1290607</v>
          </cell>
          <cell r="T1670">
            <v>0</v>
          </cell>
          <cell r="U1670">
            <v>0</v>
          </cell>
        </row>
        <row r="1671">
          <cell r="A1671">
            <v>1290608</v>
          </cell>
          <cell r="T1671">
            <v>0</v>
          </cell>
          <cell r="U1671">
            <v>0</v>
          </cell>
        </row>
        <row r="1672">
          <cell r="A1672">
            <v>1290609</v>
          </cell>
          <cell r="T1672">
            <v>0</v>
          </cell>
          <cell r="U1672">
            <v>0</v>
          </cell>
        </row>
        <row r="1673">
          <cell r="A1673">
            <v>1290610</v>
          </cell>
          <cell r="T1673">
            <v>0</v>
          </cell>
          <cell r="U1673">
            <v>0</v>
          </cell>
        </row>
        <row r="1674">
          <cell r="A1674">
            <v>1300601</v>
          </cell>
          <cell r="T1674">
            <v>0</v>
          </cell>
          <cell r="U1674">
            <v>0</v>
          </cell>
        </row>
        <row r="1675">
          <cell r="A1675">
            <v>1300602</v>
          </cell>
          <cell r="T1675">
            <v>0</v>
          </cell>
          <cell r="U1675">
            <v>0</v>
          </cell>
        </row>
        <row r="1676">
          <cell r="A1676">
            <v>1300603</v>
          </cell>
          <cell r="T1676">
            <v>0</v>
          </cell>
          <cell r="U1676">
            <v>0</v>
          </cell>
        </row>
        <row r="1677">
          <cell r="A1677">
            <v>1300604</v>
          </cell>
          <cell r="T1677">
            <v>0</v>
          </cell>
          <cell r="U1677">
            <v>0</v>
          </cell>
        </row>
        <row r="1678">
          <cell r="A1678">
            <v>1300605</v>
          </cell>
          <cell r="T1678">
            <v>0</v>
          </cell>
          <cell r="U1678">
            <v>0</v>
          </cell>
        </row>
        <row r="1679">
          <cell r="A1679">
            <v>1300606</v>
          </cell>
          <cell r="T1679">
            <v>0</v>
          </cell>
          <cell r="U1679">
            <v>0</v>
          </cell>
        </row>
        <row r="1680">
          <cell r="A1680">
            <v>1300607</v>
          </cell>
          <cell r="T1680">
            <v>0</v>
          </cell>
          <cell r="U1680">
            <v>0</v>
          </cell>
        </row>
        <row r="1681">
          <cell r="A1681">
            <v>1300608</v>
          </cell>
          <cell r="T1681">
            <v>0</v>
          </cell>
          <cell r="U1681">
            <v>0</v>
          </cell>
        </row>
        <row r="1682">
          <cell r="A1682">
            <v>1300609</v>
          </cell>
          <cell r="T1682">
            <v>0</v>
          </cell>
          <cell r="U1682">
            <v>0</v>
          </cell>
        </row>
        <row r="1683">
          <cell r="A1683">
            <v>1300610</v>
          </cell>
          <cell r="T1683">
            <v>0</v>
          </cell>
          <cell r="U1683">
            <v>0</v>
          </cell>
        </row>
        <row r="1684">
          <cell r="A1684">
            <v>3001201</v>
          </cell>
          <cell r="T1684">
            <v>0</v>
          </cell>
          <cell r="U1684">
            <v>0</v>
          </cell>
        </row>
        <row r="1685">
          <cell r="A1685">
            <v>3001202</v>
          </cell>
          <cell r="T1685">
            <v>0</v>
          </cell>
          <cell r="U1685">
            <v>0</v>
          </cell>
        </row>
        <row r="1686">
          <cell r="A1686">
            <v>3001203</v>
          </cell>
          <cell r="T1686">
            <v>0</v>
          </cell>
          <cell r="U1686">
            <v>0</v>
          </cell>
        </row>
        <row r="1687">
          <cell r="A1687">
            <v>3001206</v>
          </cell>
          <cell r="T1687">
            <v>0</v>
          </cell>
          <cell r="U1687">
            <v>0</v>
          </cell>
        </row>
        <row r="1688">
          <cell r="A1688">
            <v>3001207</v>
          </cell>
          <cell r="T1688">
            <v>0</v>
          </cell>
          <cell r="U1688">
            <v>0</v>
          </cell>
        </row>
        <row r="1689">
          <cell r="A1689">
            <v>3001208</v>
          </cell>
          <cell r="T1689">
            <v>0</v>
          </cell>
          <cell r="U1689">
            <v>0</v>
          </cell>
        </row>
        <row r="1690">
          <cell r="A1690">
            <v>3001209</v>
          </cell>
          <cell r="T1690">
            <v>0</v>
          </cell>
          <cell r="U1690">
            <v>0</v>
          </cell>
        </row>
        <row r="1691">
          <cell r="A1691">
            <v>3001210</v>
          </cell>
          <cell r="T1691">
            <v>0</v>
          </cell>
          <cell r="U1691">
            <v>0</v>
          </cell>
        </row>
        <row r="1692">
          <cell r="A1692">
            <v>3001301</v>
          </cell>
          <cell r="T1692">
            <v>0</v>
          </cell>
          <cell r="U1692">
            <v>0</v>
          </cell>
        </row>
        <row r="1693">
          <cell r="A1693">
            <v>3001302</v>
          </cell>
          <cell r="T1693">
            <v>0</v>
          </cell>
          <cell r="U1693">
            <v>0</v>
          </cell>
        </row>
        <row r="1694">
          <cell r="A1694">
            <v>3001303</v>
          </cell>
          <cell r="T1694">
            <v>0</v>
          </cell>
          <cell r="U1694">
            <v>0</v>
          </cell>
        </row>
        <row r="1695">
          <cell r="A1695">
            <v>3001306</v>
          </cell>
          <cell r="T1695">
            <v>0</v>
          </cell>
          <cell r="U1695">
            <v>0</v>
          </cell>
        </row>
        <row r="1696">
          <cell r="A1696">
            <v>3001307</v>
          </cell>
          <cell r="T1696">
            <v>0</v>
          </cell>
          <cell r="U1696">
            <v>0</v>
          </cell>
        </row>
        <row r="1697">
          <cell r="A1697">
            <v>3001308</v>
          </cell>
          <cell r="T1697">
            <v>0</v>
          </cell>
          <cell r="U1697">
            <v>0</v>
          </cell>
        </row>
        <row r="1698">
          <cell r="A1698">
            <v>3001309</v>
          </cell>
          <cell r="T1698">
            <v>0</v>
          </cell>
          <cell r="U1698">
            <v>0</v>
          </cell>
        </row>
        <row r="1699">
          <cell r="A1699">
            <v>3001310</v>
          </cell>
          <cell r="T1699">
            <v>0</v>
          </cell>
          <cell r="U1699">
            <v>0</v>
          </cell>
        </row>
        <row r="1700">
          <cell r="A1700">
            <v>3001401</v>
          </cell>
          <cell r="T1700">
            <v>0</v>
          </cell>
          <cell r="U1700">
            <v>0</v>
          </cell>
        </row>
        <row r="1701">
          <cell r="A1701">
            <v>3001402</v>
          </cell>
          <cell r="T1701">
            <v>0</v>
          </cell>
          <cell r="U1701">
            <v>0</v>
          </cell>
        </row>
        <row r="1702">
          <cell r="A1702">
            <v>3001403</v>
          </cell>
          <cell r="T1702">
            <v>0</v>
          </cell>
          <cell r="U1702">
            <v>0</v>
          </cell>
        </row>
        <row r="1703">
          <cell r="A1703">
            <v>3001406</v>
          </cell>
          <cell r="T1703">
            <v>0</v>
          </cell>
          <cell r="U1703">
            <v>0</v>
          </cell>
        </row>
        <row r="1704">
          <cell r="A1704">
            <v>3001407</v>
          </cell>
          <cell r="T1704">
            <v>0</v>
          </cell>
          <cell r="U1704">
            <v>0</v>
          </cell>
        </row>
        <row r="1705">
          <cell r="A1705">
            <v>3001408</v>
          </cell>
          <cell r="T1705">
            <v>0</v>
          </cell>
          <cell r="U1705">
            <v>0</v>
          </cell>
        </row>
        <row r="1706">
          <cell r="A1706">
            <v>3001409</v>
          </cell>
          <cell r="T1706">
            <v>0</v>
          </cell>
          <cell r="U1706">
            <v>0</v>
          </cell>
        </row>
        <row r="1707">
          <cell r="A1707">
            <v>3001410</v>
          </cell>
          <cell r="T1707">
            <v>0</v>
          </cell>
          <cell r="U1707">
            <v>0</v>
          </cell>
        </row>
        <row r="1708">
          <cell r="A1708">
            <v>3001501</v>
          </cell>
          <cell r="T1708">
            <v>0</v>
          </cell>
          <cell r="U1708">
            <v>0</v>
          </cell>
        </row>
        <row r="1709">
          <cell r="A1709">
            <v>3001502</v>
          </cell>
          <cell r="T1709">
            <v>0</v>
          </cell>
          <cell r="U1709">
            <v>0</v>
          </cell>
        </row>
        <row r="1710">
          <cell r="A1710">
            <v>3001503</v>
          </cell>
          <cell r="T1710">
            <v>0</v>
          </cell>
          <cell r="U1710">
            <v>0</v>
          </cell>
        </row>
        <row r="1711">
          <cell r="A1711">
            <v>3001506</v>
          </cell>
          <cell r="T1711">
            <v>0</v>
          </cell>
          <cell r="U1711">
            <v>0</v>
          </cell>
        </row>
        <row r="1712">
          <cell r="A1712">
            <v>3001507</v>
          </cell>
          <cell r="T1712">
            <v>0</v>
          </cell>
          <cell r="U1712">
            <v>0</v>
          </cell>
        </row>
        <row r="1713">
          <cell r="A1713">
            <v>3001508</v>
          </cell>
          <cell r="T1713">
            <v>0</v>
          </cell>
          <cell r="U1713">
            <v>0</v>
          </cell>
        </row>
        <row r="1714">
          <cell r="A1714">
            <v>3001509</v>
          </cell>
          <cell r="T1714">
            <v>0</v>
          </cell>
          <cell r="U1714">
            <v>0</v>
          </cell>
        </row>
        <row r="1715">
          <cell r="A1715">
            <v>3001510</v>
          </cell>
          <cell r="T1715">
            <v>0</v>
          </cell>
          <cell r="U1715">
            <v>0</v>
          </cell>
        </row>
        <row r="1716">
          <cell r="A1716">
            <v>3025201</v>
          </cell>
          <cell r="T1716">
            <v>0</v>
          </cell>
          <cell r="U1716">
            <v>0</v>
          </cell>
        </row>
        <row r="1717">
          <cell r="A1717">
            <v>3025202</v>
          </cell>
          <cell r="T1717">
            <v>0</v>
          </cell>
          <cell r="U1717">
            <v>0</v>
          </cell>
        </row>
        <row r="1718">
          <cell r="A1718">
            <v>3025203</v>
          </cell>
          <cell r="T1718">
            <v>0</v>
          </cell>
          <cell r="U1718">
            <v>0</v>
          </cell>
        </row>
        <row r="1719">
          <cell r="A1719">
            <v>3025206</v>
          </cell>
          <cell r="T1719">
            <v>0</v>
          </cell>
          <cell r="U1719">
            <v>0</v>
          </cell>
        </row>
        <row r="1720">
          <cell r="A1720">
            <v>3025207</v>
          </cell>
          <cell r="T1720">
            <v>0</v>
          </cell>
          <cell r="U1720">
            <v>0</v>
          </cell>
        </row>
        <row r="1721">
          <cell r="A1721">
            <v>3025208</v>
          </cell>
          <cell r="T1721">
            <v>0</v>
          </cell>
          <cell r="U1721">
            <v>0</v>
          </cell>
        </row>
        <row r="1722">
          <cell r="A1722">
            <v>3025209</v>
          </cell>
          <cell r="T1722">
            <v>0</v>
          </cell>
          <cell r="U1722">
            <v>0</v>
          </cell>
        </row>
        <row r="1723">
          <cell r="A1723">
            <v>3025210</v>
          </cell>
          <cell r="T1723">
            <v>0</v>
          </cell>
          <cell r="U1723">
            <v>0</v>
          </cell>
        </row>
        <row r="1724">
          <cell r="A1724">
            <v>3025301</v>
          </cell>
          <cell r="T1724">
            <v>0</v>
          </cell>
          <cell r="U1724">
            <v>0</v>
          </cell>
        </row>
        <row r="1725">
          <cell r="A1725">
            <v>3025302</v>
          </cell>
          <cell r="T1725">
            <v>0</v>
          </cell>
          <cell r="U1725">
            <v>0</v>
          </cell>
        </row>
        <row r="1726">
          <cell r="A1726">
            <v>3025303</v>
          </cell>
          <cell r="T1726">
            <v>0</v>
          </cell>
          <cell r="U1726">
            <v>0</v>
          </cell>
        </row>
        <row r="1727">
          <cell r="A1727">
            <v>3025306</v>
          </cell>
          <cell r="T1727">
            <v>0</v>
          </cell>
          <cell r="U1727">
            <v>0</v>
          </cell>
        </row>
        <row r="1728">
          <cell r="A1728">
            <v>3025307</v>
          </cell>
          <cell r="T1728">
            <v>0</v>
          </cell>
          <cell r="U1728">
            <v>0</v>
          </cell>
        </row>
        <row r="1729">
          <cell r="A1729">
            <v>3025308</v>
          </cell>
          <cell r="T1729">
            <v>0</v>
          </cell>
          <cell r="U1729">
            <v>0</v>
          </cell>
        </row>
        <row r="1730">
          <cell r="A1730">
            <v>3025309</v>
          </cell>
          <cell r="T1730">
            <v>0</v>
          </cell>
          <cell r="U1730">
            <v>0</v>
          </cell>
        </row>
        <row r="1731">
          <cell r="A1731">
            <v>3025310</v>
          </cell>
          <cell r="T1731">
            <v>0</v>
          </cell>
          <cell r="U1731">
            <v>0</v>
          </cell>
        </row>
        <row r="1732">
          <cell r="A1732">
            <v>3025401</v>
          </cell>
          <cell r="T1732">
            <v>0</v>
          </cell>
          <cell r="U1732">
            <v>0</v>
          </cell>
        </row>
        <row r="1733">
          <cell r="A1733">
            <v>3025402</v>
          </cell>
          <cell r="T1733">
            <v>0</v>
          </cell>
          <cell r="U1733">
            <v>0</v>
          </cell>
        </row>
        <row r="1734">
          <cell r="A1734">
            <v>3025403</v>
          </cell>
          <cell r="T1734">
            <v>0</v>
          </cell>
          <cell r="U1734">
            <v>0</v>
          </cell>
        </row>
        <row r="1735">
          <cell r="A1735">
            <v>3025406</v>
          </cell>
          <cell r="T1735">
            <v>0</v>
          </cell>
          <cell r="U1735">
            <v>0</v>
          </cell>
        </row>
        <row r="1736">
          <cell r="A1736">
            <v>3025407</v>
          </cell>
          <cell r="T1736">
            <v>0</v>
          </cell>
          <cell r="U1736">
            <v>0</v>
          </cell>
        </row>
        <row r="1737">
          <cell r="A1737">
            <v>3025408</v>
          </cell>
          <cell r="T1737">
            <v>0</v>
          </cell>
          <cell r="U1737">
            <v>0</v>
          </cell>
        </row>
        <row r="1738">
          <cell r="A1738">
            <v>3025409</v>
          </cell>
          <cell r="T1738">
            <v>0</v>
          </cell>
          <cell r="U1738">
            <v>0</v>
          </cell>
        </row>
        <row r="1739">
          <cell r="A1739">
            <v>3025410</v>
          </cell>
          <cell r="T1739">
            <v>0</v>
          </cell>
          <cell r="U1739">
            <v>0</v>
          </cell>
        </row>
        <row r="1740">
          <cell r="A1740">
            <v>3025501</v>
          </cell>
          <cell r="T1740">
            <v>0</v>
          </cell>
          <cell r="U1740">
            <v>0</v>
          </cell>
        </row>
        <row r="1741">
          <cell r="A1741">
            <v>3025502</v>
          </cell>
          <cell r="T1741">
            <v>0</v>
          </cell>
          <cell r="U1741">
            <v>0</v>
          </cell>
        </row>
        <row r="1742">
          <cell r="A1742">
            <v>3025503</v>
          </cell>
          <cell r="T1742">
            <v>0</v>
          </cell>
          <cell r="U1742">
            <v>0</v>
          </cell>
        </row>
        <row r="1743">
          <cell r="A1743">
            <v>3025506</v>
          </cell>
          <cell r="T1743">
            <v>0</v>
          </cell>
          <cell r="U1743">
            <v>0</v>
          </cell>
        </row>
        <row r="1744">
          <cell r="A1744">
            <v>3025507</v>
          </cell>
          <cell r="T1744">
            <v>0</v>
          </cell>
          <cell r="U1744">
            <v>0</v>
          </cell>
        </row>
        <row r="1745">
          <cell r="A1745">
            <v>3025508</v>
          </cell>
          <cell r="T1745">
            <v>0</v>
          </cell>
          <cell r="U1745">
            <v>0</v>
          </cell>
        </row>
        <row r="1746">
          <cell r="A1746">
            <v>3025509</v>
          </cell>
          <cell r="T1746">
            <v>0</v>
          </cell>
          <cell r="U1746">
            <v>0</v>
          </cell>
        </row>
        <row r="1747">
          <cell r="A1747">
            <v>3025510</v>
          </cell>
          <cell r="T1747">
            <v>0</v>
          </cell>
          <cell r="U1747">
            <v>0</v>
          </cell>
        </row>
        <row r="1748">
          <cell r="A1748">
            <v>3050201</v>
          </cell>
          <cell r="T1748">
            <v>0</v>
          </cell>
          <cell r="U1748">
            <v>0</v>
          </cell>
        </row>
        <row r="1749">
          <cell r="A1749">
            <v>3050202</v>
          </cell>
          <cell r="T1749">
            <v>0</v>
          </cell>
          <cell r="U1749">
            <v>0</v>
          </cell>
        </row>
        <row r="1750">
          <cell r="A1750">
            <v>3050203</v>
          </cell>
          <cell r="T1750">
            <v>0</v>
          </cell>
          <cell r="U1750">
            <v>0</v>
          </cell>
        </row>
        <row r="1751">
          <cell r="A1751">
            <v>3050206</v>
          </cell>
          <cell r="T1751">
            <v>0</v>
          </cell>
          <cell r="U1751">
            <v>0</v>
          </cell>
        </row>
        <row r="1752">
          <cell r="A1752">
            <v>3050207</v>
          </cell>
          <cell r="T1752">
            <v>0</v>
          </cell>
          <cell r="U1752">
            <v>0</v>
          </cell>
        </row>
        <row r="1753">
          <cell r="A1753">
            <v>3050208</v>
          </cell>
          <cell r="T1753">
            <v>0</v>
          </cell>
          <cell r="U1753">
            <v>0</v>
          </cell>
        </row>
        <row r="1754">
          <cell r="A1754">
            <v>3050209</v>
          </cell>
          <cell r="T1754">
            <v>0</v>
          </cell>
          <cell r="U1754">
            <v>0</v>
          </cell>
        </row>
        <row r="1755">
          <cell r="A1755">
            <v>3050210</v>
          </cell>
          <cell r="T1755">
            <v>0</v>
          </cell>
          <cell r="U1755">
            <v>0</v>
          </cell>
        </row>
        <row r="1756">
          <cell r="A1756">
            <v>3050301</v>
          </cell>
          <cell r="T1756">
            <v>0</v>
          </cell>
          <cell r="U1756">
            <v>0</v>
          </cell>
        </row>
        <row r="1757">
          <cell r="A1757">
            <v>3050302</v>
          </cell>
          <cell r="T1757">
            <v>0</v>
          </cell>
          <cell r="U1757">
            <v>0</v>
          </cell>
        </row>
        <row r="1758">
          <cell r="A1758">
            <v>3050303</v>
          </cell>
          <cell r="T1758">
            <v>0</v>
          </cell>
          <cell r="U1758">
            <v>0</v>
          </cell>
        </row>
        <row r="1759">
          <cell r="A1759">
            <v>3050306</v>
          </cell>
          <cell r="T1759">
            <v>0</v>
          </cell>
          <cell r="U1759">
            <v>0</v>
          </cell>
        </row>
        <row r="1760">
          <cell r="A1760">
            <v>3050307</v>
          </cell>
          <cell r="T1760">
            <v>0</v>
          </cell>
          <cell r="U1760">
            <v>0</v>
          </cell>
        </row>
        <row r="1761">
          <cell r="A1761">
            <v>3050308</v>
          </cell>
          <cell r="T1761">
            <v>0</v>
          </cell>
          <cell r="U1761">
            <v>0</v>
          </cell>
        </row>
        <row r="1762">
          <cell r="A1762">
            <v>3050309</v>
          </cell>
          <cell r="T1762">
            <v>0</v>
          </cell>
          <cell r="U1762">
            <v>0</v>
          </cell>
        </row>
        <row r="1763">
          <cell r="A1763">
            <v>3050310</v>
          </cell>
          <cell r="T1763">
            <v>0</v>
          </cell>
          <cell r="U1763">
            <v>0</v>
          </cell>
        </row>
        <row r="1764">
          <cell r="A1764">
            <v>3050401</v>
          </cell>
          <cell r="T1764">
            <v>0</v>
          </cell>
          <cell r="U1764">
            <v>0</v>
          </cell>
        </row>
        <row r="1765">
          <cell r="A1765">
            <v>3050402</v>
          </cell>
          <cell r="T1765">
            <v>0</v>
          </cell>
          <cell r="U1765">
            <v>0</v>
          </cell>
        </row>
        <row r="1766">
          <cell r="A1766">
            <v>3050403</v>
          </cell>
          <cell r="T1766">
            <v>0</v>
          </cell>
          <cell r="U1766">
            <v>0</v>
          </cell>
        </row>
        <row r="1767">
          <cell r="A1767">
            <v>3050406</v>
          </cell>
          <cell r="T1767">
            <v>0</v>
          </cell>
          <cell r="U1767">
            <v>0</v>
          </cell>
        </row>
        <row r="1768">
          <cell r="A1768">
            <v>3050407</v>
          </cell>
          <cell r="T1768">
            <v>0</v>
          </cell>
          <cell r="U1768">
            <v>0</v>
          </cell>
        </row>
        <row r="1769">
          <cell r="A1769">
            <v>3050408</v>
          </cell>
          <cell r="T1769">
            <v>0</v>
          </cell>
          <cell r="U1769">
            <v>0</v>
          </cell>
        </row>
        <row r="1770">
          <cell r="A1770">
            <v>3050409</v>
          </cell>
          <cell r="T1770">
            <v>0</v>
          </cell>
          <cell r="U1770">
            <v>0</v>
          </cell>
        </row>
        <row r="1771">
          <cell r="A1771">
            <v>3050410</v>
          </cell>
          <cell r="T1771">
            <v>0</v>
          </cell>
          <cell r="U1771">
            <v>0</v>
          </cell>
        </row>
        <row r="1772">
          <cell r="A1772">
            <v>3050501</v>
          </cell>
          <cell r="T1772">
            <v>0</v>
          </cell>
          <cell r="U1772">
            <v>0</v>
          </cell>
        </row>
        <row r="1773">
          <cell r="A1773">
            <v>3050502</v>
          </cell>
          <cell r="T1773">
            <v>0</v>
          </cell>
          <cell r="U1773">
            <v>0</v>
          </cell>
        </row>
        <row r="1774">
          <cell r="A1774">
            <v>3050503</v>
          </cell>
          <cell r="T1774">
            <v>0</v>
          </cell>
          <cell r="U1774">
            <v>0</v>
          </cell>
        </row>
        <row r="1775">
          <cell r="A1775">
            <v>3050506</v>
          </cell>
          <cell r="T1775">
            <v>0</v>
          </cell>
          <cell r="U1775">
            <v>0</v>
          </cell>
        </row>
        <row r="1776">
          <cell r="A1776">
            <v>3050507</v>
          </cell>
          <cell r="T1776">
            <v>0</v>
          </cell>
          <cell r="U1776">
            <v>0</v>
          </cell>
        </row>
        <row r="1777">
          <cell r="A1777">
            <v>3050508</v>
          </cell>
          <cell r="T1777">
            <v>0</v>
          </cell>
          <cell r="U1777">
            <v>0</v>
          </cell>
        </row>
        <row r="1778">
          <cell r="A1778">
            <v>3050509</v>
          </cell>
          <cell r="T1778">
            <v>0</v>
          </cell>
          <cell r="U1778">
            <v>0</v>
          </cell>
        </row>
        <row r="1779">
          <cell r="A1779">
            <v>3050510</v>
          </cell>
          <cell r="T1779">
            <v>0</v>
          </cell>
          <cell r="U1779">
            <v>0</v>
          </cell>
        </row>
        <row r="1780">
          <cell r="A1780">
            <v>3075201</v>
          </cell>
          <cell r="T1780">
            <v>0</v>
          </cell>
          <cell r="U1780">
            <v>0</v>
          </cell>
        </row>
        <row r="1781">
          <cell r="A1781">
            <v>3075202</v>
          </cell>
          <cell r="T1781">
            <v>0</v>
          </cell>
          <cell r="U1781">
            <v>0</v>
          </cell>
        </row>
        <row r="1782">
          <cell r="A1782">
            <v>3075203</v>
          </cell>
          <cell r="T1782">
            <v>0</v>
          </cell>
          <cell r="U1782">
            <v>0</v>
          </cell>
        </row>
        <row r="1783">
          <cell r="A1783">
            <v>3075206</v>
          </cell>
          <cell r="T1783">
            <v>0</v>
          </cell>
          <cell r="U1783">
            <v>0</v>
          </cell>
        </row>
        <row r="1784">
          <cell r="A1784">
            <v>3075207</v>
          </cell>
          <cell r="T1784">
            <v>0</v>
          </cell>
          <cell r="U1784">
            <v>0</v>
          </cell>
        </row>
        <row r="1785">
          <cell r="A1785">
            <v>3075208</v>
          </cell>
          <cell r="T1785">
            <v>0</v>
          </cell>
          <cell r="U1785">
            <v>0</v>
          </cell>
        </row>
        <row r="1786">
          <cell r="A1786">
            <v>3075209</v>
          </cell>
          <cell r="T1786">
            <v>0</v>
          </cell>
          <cell r="U1786">
            <v>0</v>
          </cell>
        </row>
        <row r="1787">
          <cell r="A1787">
            <v>3075210</v>
          </cell>
          <cell r="T1787">
            <v>0</v>
          </cell>
          <cell r="U1787">
            <v>0</v>
          </cell>
        </row>
        <row r="1788">
          <cell r="A1788">
            <v>3075301</v>
          </cell>
          <cell r="T1788">
            <v>0</v>
          </cell>
          <cell r="U1788">
            <v>0</v>
          </cell>
        </row>
        <row r="1789">
          <cell r="A1789">
            <v>3075302</v>
          </cell>
          <cell r="T1789">
            <v>0</v>
          </cell>
          <cell r="U1789">
            <v>0</v>
          </cell>
        </row>
        <row r="1790">
          <cell r="A1790">
            <v>3075303</v>
          </cell>
          <cell r="T1790">
            <v>0</v>
          </cell>
          <cell r="U1790">
            <v>0</v>
          </cell>
        </row>
        <row r="1791">
          <cell r="A1791">
            <v>3075306</v>
          </cell>
          <cell r="T1791">
            <v>0</v>
          </cell>
          <cell r="U1791">
            <v>0</v>
          </cell>
        </row>
        <row r="1792">
          <cell r="A1792">
            <v>3075307</v>
          </cell>
          <cell r="T1792">
            <v>0</v>
          </cell>
          <cell r="U1792">
            <v>0</v>
          </cell>
        </row>
        <row r="1793">
          <cell r="A1793">
            <v>3075308</v>
          </cell>
          <cell r="T1793">
            <v>0</v>
          </cell>
          <cell r="U1793">
            <v>0</v>
          </cell>
        </row>
        <row r="1794">
          <cell r="A1794">
            <v>3075309</v>
          </cell>
          <cell r="T1794">
            <v>0</v>
          </cell>
          <cell r="U1794">
            <v>0</v>
          </cell>
        </row>
        <row r="1795">
          <cell r="A1795">
            <v>3075310</v>
          </cell>
          <cell r="T1795">
            <v>0</v>
          </cell>
          <cell r="U1795">
            <v>0</v>
          </cell>
        </row>
        <row r="1796">
          <cell r="A1796">
            <v>3075401</v>
          </cell>
          <cell r="T1796">
            <v>0</v>
          </cell>
          <cell r="U1796">
            <v>0</v>
          </cell>
        </row>
        <row r="1797">
          <cell r="A1797">
            <v>3075402</v>
          </cell>
          <cell r="T1797">
            <v>0</v>
          </cell>
          <cell r="U1797">
            <v>0</v>
          </cell>
        </row>
        <row r="1798">
          <cell r="A1798">
            <v>3075403</v>
          </cell>
          <cell r="T1798">
            <v>0</v>
          </cell>
          <cell r="U1798">
            <v>0</v>
          </cell>
        </row>
        <row r="1799">
          <cell r="A1799">
            <v>3075406</v>
          </cell>
          <cell r="T1799">
            <v>0</v>
          </cell>
          <cell r="U1799">
            <v>0</v>
          </cell>
        </row>
        <row r="1800">
          <cell r="A1800">
            <v>3075407</v>
          </cell>
          <cell r="T1800">
            <v>0</v>
          </cell>
          <cell r="U1800">
            <v>0</v>
          </cell>
        </row>
        <row r="1801">
          <cell r="A1801">
            <v>3075408</v>
          </cell>
          <cell r="T1801">
            <v>0</v>
          </cell>
          <cell r="U1801">
            <v>0</v>
          </cell>
        </row>
        <row r="1802">
          <cell r="A1802">
            <v>3075409</v>
          </cell>
          <cell r="T1802">
            <v>0</v>
          </cell>
          <cell r="U1802">
            <v>0</v>
          </cell>
        </row>
        <row r="1803">
          <cell r="A1803">
            <v>3075410</v>
          </cell>
          <cell r="T1803">
            <v>0</v>
          </cell>
          <cell r="U1803">
            <v>0</v>
          </cell>
        </row>
        <row r="1804">
          <cell r="A1804">
            <v>3075501</v>
          </cell>
          <cell r="T1804">
            <v>0</v>
          </cell>
          <cell r="U1804">
            <v>0</v>
          </cell>
        </row>
        <row r="1805">
          <cell r="A1805">
            <v>3075502</v>
          </cell>
          <cell r="T1805">
            <v>0</v>
          </cell>
          <cell r="U1805">
            <v>0</v>
          </cell>
        </row>
        <row r="1806">
          <cell r="A1806">
            <v>3075503</v>
          </cell>
          <cell r="T1806">
            <v>0</v>
          </cell>
          <cell r="U1806">
            <v>0</v>
          </cell>
        </row>
        <row r="1807">
          <cell r="A1807">
            <v>3075506</v>
          </cell>
          <cell r="T1807">
            <v>0</v>
          </cell>
          <cell r="U1807">
            <v>0</v>
          </cell>
        </row>
        <row r="1808">
          <cell r="A1808">
            <v>3075507</v>
          </cell>
          <cell r="T1808">
            <v>0</v>
          </cell>
          <cell r="U1808">
            <v>0</v>
          </cell>
        </row>
        <row r="1809">
          <cell r="A1809">
            <v>3075508</v>
          </cell>
          <cell r="T1809">
            <v>0</v>
          </cell>
          <cell r="U1809">
            <v>0</v>
          </cell>
        </row>
        <row r="1810">
          <cell r="A1810">
            <v>3075509</v>
          </cell>
          <cell r="T1810">
            <v>0</v>
          </cell>
          <cell r="U1810">
            <v>0</v>
          </cell>
        </row>
        <row r="1811">
          <cell r="A1811">
            <v>3075510</v>
          </cell>
          <cell r="T1811">
            <v>0</v>
          </cell>
          <cell r="U1811">
            <v>0</v>
          </cell>
        </row>
        <row r="1812">
          <cell r="A1812">
            <v>3100201</v>
          </cell>
          <cell r="T1812">
            <v>0</v>
          </cell>
          <cell r="U1812">
            <v>0</v>
          </cell>
        </row>
        <row r="1813">
          <cell r="A1813">
            <v>3100202</v>
          </cell>
          <cell r="T1813">
            <v>0</v>
          </cell>
          <cell r="U1813">
            <v>0</v>
          </cell>
        </row>
        <row r="1814">
          <cell r="A1814">
            <v>3100203</v>
          </cell>
          <cell r="T1814">
            <v>0</v>
          </cell>
          <cell r="U1814">
            <v>0</v>
          </cell>
        </row>
        <row r="1815">
          <cell r="A1815">
            <v>3100206</v>
          </cell>
          <cell r="T1815">
            <v>0</v>
          </cell>
          <cell r="U1815">
            <v>0</v>
          </cell>
        </row>
        <row r="1816">
          <cell r="A1816">
            <v>3100207</v>
          </cell>
          <cell r="T1816">
            <v>0</v>
          </cell>
          <cell r="U1816">
            <v>0</v>
          </cell>
        </row>
        <row r="1817">
          <cell r="A1817">
            <v>3100208</v>
          </cell>
          <cell r="T1817">
            <v>0</v>
          </cell>
          <cell r="U1817">
            <v>0</v>
          </cell>
        </row>
        <row r="1818">
          <cell r="A1818">
            <v>3100209</v>
          </cell>
          <cell r="T1818">
            <v>0</v>
          </cell>
          <cell r="U1818">
            <v>0</v>
          </cell>
        </row>
        <row r="1819">
          <cell r="A1819">
            <v>3100210</v>
          </cell>
          <cell r="T1819">
            <v>0</v>
          </cell>
          <cell r="U1819">
            <v>0</v>
          </cell>
        </row>
        <row r="1820">
          <cell r="A1820">
            <v>3100301</v>
          </cell>
          <cell r="T1820">
            <v>0</v>
          </cell>
          <cell r="U1820">
            <v>0</v>
          </cell>
        </row>
        <row r="1821">
          <cell r="A1821">
            <v>3100302</v>
          </cell>
          <cell r="T1821">
            <v>0</v>
          </cell>
          <cell r="U1821">
            <v>0</v>
          </cell>
        </row>
        <row r="1822">
          <cell r="A1822">
            <v>3100303</v>
          </cell>
          <cell r="T1822">
            <v>0</v>
          </cell>
          <cell r="U1822">
            <v>0</v>
          </cell>
        </row>
        <row r="1823">
          <cell r="A1823">
            <v>3100306</v>
          </cell>
          <cell r="T1823">
            <v>0</v>
          </cell>
          <cell r="U1823">
            <v>0</v>
          </cell>
        </row>
        <row r="1824">
          <cell r="A1824">
            <v>3100307</v>
          </cell>
          <cell r="T1824">
            <v>0</v>
          </cell>
          <cell r="U1824">
            <v>0</v>
          </cell>
        </row>
        <row r="1825">
          <cell r="A1825">
            <v>3100308</v>
          </cell>
          <cell r="T1825">
            <v>0</v>
          </cell>
          <cell r="U1825">
            <v>0</v>
          </cell>
        </row>
        <row r="1826">
          <cell r="A1826">
            <v>3100309</v>
          </cell>
          <cell r="T1826">
            <v>0</v>
          </cell>
          <cell r="U1826">
            <v>0</v>
          </cell>
        </row>
        <row r="1827">
          <cell r="A1827">
            <v>3100310</v>
          </cell>
          <cell r="T1827">
            <v>0</v>
          </cell>
          <cell r="U1827">
            <v>0</v>
          </cell>
        </row>
        <row r="1828">
          <cell r="A1828">
            <v>3100401</v>
          </cell>
          <cell r="T1828">
            <v>0</v>
          </cell>
          <cell r="U1828">
            <v>0</v>
          </cell>
        </row>
        <row r="1829">
          <cell r="A1829">
            <v>3100402</v>
          </cell>
          <cell r="T1829">
            <v>0</v>
          </cell>
          <cell r="U1829">
            <v>0</v>
          </cell>
        </row>
        <row r="1830">
          <cell r="A1830">
            <v>3100403</v>
          </cell>
          <cell r="T1830">
            <v>0</v>
          </cell>
          <cell r="U1830">
            <v>0</v>
          </cell>
        </row>
        <row r="1831">
          <cell r="A1831">
            <v>3100406</v>
          </cell>
          <cell r="T1831">
            <v>0</v>
          </cell>
          <cell r="U1831">
            <v>0</v>
          </cell>
        </row>
        <row r="1832">
          <cell r="A1832">
            <v>3100407</v>
          </cell>
          <cell r="T1832">
            <v>0</v>
          </cell>
          <cell r="U1832">
            <v>0</v>
          </cell>
        </row>
        <row r="1833">
          <cell r="A1833">
            <v>3100408</v>
          </cell>
          <cell r="T1833">
            <v>0</v>
          </cell>
          <cell r="U1833">
            <v>0</v>
          </cell>
        </row>
        <row r="1834">
          <cell r="A1834">
            <v>3100409</v>
          </cell>
          <cell r="T1834">
            <v>0</v>
          </cell>
          <cell r="U1834">
            <v>0</v>
          </cell>
        </row>
        <row r="1835">
          <cell r="A1835">
            <v>3100410</v>
          </cell>
          <cell r="T1835">
            <v>0</v>
          </cell>
          <cell r="U1835">
            <v>0</v>
          </cell>
        </row>
        <row r="1836">
          <cell r="A1836">
            <v>3100501</v>
          </cell>
          <cell r="T1836">
            <v>0</v>
          </cell>
          <cell r="U1836">
            <v>0</v>
          </cell>
        </row>
        <row r="1837">
          <cell r="A1837">
            <v>3100502</v>
          </cell>
          <cell r="T1837">
            <v>0</v>
          </cell>
          <cell r="U1837">
            <v>0</v>
          </cell>
        </row>
        <row r="1838">
          <cell r="A1838">
            <v>3100503</v>
          </cell>
          <cell r="T1838">
            <v>0</v>
          </cell>
          <cell r="U1838">
            <v>0</v>
          </cell>
        </row>
        <row r="1839">
          <cell r="A1839">
            <v>3100506</v>
          </cell>
          <cell r="T1839">
            <v>0</v>
          </cell>
          <cell r="U1839">
            <v>0</v>
          </cell>
        </row>
        <row r="1840">
          <cell r="A1840">
            <v>3100507</v>
          </cell>
          <cell r="T1840">
            <v>0</v>
          </cell>
          <cell r="U1840">
            <v>0</v>
          </cell>
        </row>
        <row r="1841">
          <cell r="A1841">
            <v>3100508</v>
          </cell>
          <cell r="T1841">
            <v>0</v>
          </cell>
          <cell r="U1841">
            <v>0</v>
          </cell>
        </row>
        <row r="1842">
          <cell r="A1842">
            <v>3100509</v>
          </cell>
          <cell r="T1842">
            <v>0</v>
          </cell>
          <cell r="U1842">
            <v>0</v>
          </cell>
        </row>
        <row r="1843">
          <cell r="A1843">
            <v>3100510</v>
          </cell>
          <cell r="T1843">
            <v>0</v>
          </cell>
          <cell r="U1843">
            <v>0</v>
          </cell>
        </row>
        <row r="1844">
          <cell r="A1844">
            <v>3125201</v>
          </cell>
          <cell r="T1844">
            <v>0</v>
          </cell>
          <cell r="U1844">
            <v>0</v>
          </cell>
        </row>
        <row r="1845">
          <cell r="A1845">
            <v>3125202</v>
          </cell>
          <cell r="T1845">
            <v>0</v>
          </cell>
          <cell r="U1845">
            <v>0</v>
          </cell>
        </row>
        <row r="1846">
          <cell r="A1846">
            <v>3125203</v>
          </cell>
          <cell r="T1846">
            <v>0</v>
          </cell>
          <cell r="U1846">
            <v>0</v>
          </cell>
        </row>
        <row r="1847">
          <cell r="A1847">
            <v>3125206</v>
          </cell>
          <cell r="T1847">
            <v>0</v>
          </cell>
          <cell r="U1847">
            <v>0</v>
          </cell>
        </row>
        <row r="1848">
          <cell r="A1848">
            <v>3125207</v>
          </cell>
          <cell r="T1848">
            <v>0</v>
          </cell>
          <cell r="U1848">
            <v>0</v>
          </cell>
        </row>
        <row r="1849">
          <cell r="A1849">
            <v>3125208</v>
          </cell>
          <cell r="T1849">
            <v>0</v>
          </cell>
          <cell r="U1849">
            <v>0</v>
          </cell>
        </row>
        <row r="1850">
          <cell r="A1850">
            <v>3125209</v>
          </cell>
          <cell r="T1850">
            <v>0</v>
          </cell>
          <cell r="U1850">
            <v>0</v>
          </cell>
        </row>
        <row r="1851">
          <cell r="A1851">
            <v>3125210</v>
          </cell>
          <cell r="T1851">
            <v>0</v>
          </cell>
          <cell r="U1851">
            <v>0</v>
          </cell>
        </row>
        <row r="1852">
          <cell r="A1852">
            <v>3125301</v>
          </cell>
          <cell r="T1852">
            <v>0</v>
          </cell>
          <cell r="U1852">
            <v>0</v>
          </cell>
        </row>
        <row r="1853">
          <cell r="A1853">
            <v>3125302</v>
          </cell>
          <cell r="T1853">
            <v>0</v>
          </cell>
          <cell r="U1853">
            <v>0</v>
          </cell>
        </row>
        <row r="1854">
          <cell r="A1854">
            <v>3125303</v>
          </cell>
          <cell r="T1854">
            <v>0</v>
          </cell>
          <cell r="U1854">
            <v>0</v>
          </cell>
        </row>
        <row r="1855">
          <cell r="A1855">
            <v>3125306</v>
          </cell>
          <cell r="T1855">
            <v>0</v>
          </cell>
          <cell r="U1855">
            <v>0</v>
          </cell>
        </row>
        <row r="1856">
          <cell r="A1856">
            <v>3125307</v>
          </cell>
          <cell r="T1856">
            <v>0</v>
          </cell>
          <cell r="U1856">
            <v>0</v>
          </cell>
        </row>
        <row r="1857">
          <cell r="A1857">
            <v>3125308</v>
          </cell>
          <cell r="T1857">
            <v>0</v>
          </cell>
          <cell r="U1857">
            <v>0</v>
          </cell>
        </row>
        <row r="1858">
          <cell r="A1858">
            <v>3125309</v>
          </cell>
          <cell r="T1858">
            <v>0</v>
          </cell>
          <cell r="U1858">
            <v>0</v>
          </cell>
        </row>
        <row r="1859">
          <cell r="A1859">
            <v>3125310</v>
          </cell>
          <cell r="T1859">
            <v>0</v>
          </cell>
          <cell r="U1859">
            <v>0</v>
          </cell>
        </row>
        <row r="1860">
          <cell r="A1860">
            <v>3125401</v>
          </cell>
          <cell r="T1860">
            <v>0</v>
          </cell>
          <cell r="U1860">
            <v>0</v>
          </cell>
        </row>
        <row r="1861">
          <cell r="A1861">
            <v>3125402</v>
          </cell>
          <cell r="T1861">
            <v>0</v>
          </cell>
          <cell r="U1861">
            <v>0</v>
          </cell>
        </row>
        <row r="1862">
          <cell r="A1862">
            <v>3125403</v>
          </cell>
          <cell r="T1862">
            <v>0</v>
          </cell>
          <cell r="U1862">
            <v>0</v>
          </cell>
        </row>
        <row r="1863">
          <cell r="A1863">
            <v>3125406</v>
          </cell>
          <cell r="T1863">
            <v>0</v>
          </cell>
          <cell r="U1863">
            <v>0</v>
          </cell>
        </row>
        <row r="1864">
          <cell r="A1864">
            <v>3125407</v>
          </cell>
          <cell r="T1864">
            <v>0</v>
          </cell>
          <cell r="U1864">
            <v>0</v>
          </cell>
        </row>
        <row r="1865">
          <cell r="A1865">
            <v>3125408</v>
          </cell>
          <cell r="T1865">
            <v>0</v>
          </cell>
          <cell r="U1865">
            <v>0</v>
          </cell>
        </row>
        <row r="1866">
          <cell r="A1866">
            <v>3125409</v>
          </cell>
          <cell r="T1866">
            <v>0</v>
          </cell>
          <cell r="U1866">
            <v>0</v>
          </cell>
        </row>
        <row r="1867">
          <cell r="A1867">
            <v>3125410</v>
          </cell>
          <cell r="T1867">
            <v>0</v>
          </cell>
          <cell r="U1867">
            <v>0</v>
          </cell>
        </row>
        <row r="1868">
          <cell r="A1868">
            <v>3125501</v>
          </cell>
          <cell r="T1868">
            <v>0</v>
          </cell>
          <cell r="U1868">
            <v>0</v>
          </cell>
        </row>
        <row r="1869">
          <cell r="A1869">
            <v>3125502</v>
          </cell>
          <cell r="T1869">
            <v>0</v>
          </cell>
          <cell r="U1869">
            <v>0</v>
          </cell>
        </row>
        <row r="1870">
          <cell r="A1870">
            <v>3125503</v>
          </cell>
          <cell r="T1870">
            <v>0</v>
          </cell>
          <cell r="U1870">
            <v>0</v>
          </cell>
        </row>
        <row r="1871">
          <cell r="A1871">
            <v>3125506</v>
          </cell>
          <cell r="T1871">
            <v>0</v>
          </cell>
          <cell r="U1871">
            <v>0</v>
          </cell>
        </row>
        <row r="1872">
          <cell r="A1872">
            <v>3125507</v>
          </cell>
          <cell r="T1872">
            <v>0</v>
          </cell>
          <cell r="U1872">
            <v>0</v>
          </cell>
        </row>
        <row r="1873">
          <cell r="A1873">
            <v>3125508</v>
          </cell>
          <cell r="T1873">
            <v>0</v>
          </cell>
          <cell r="U1873">
            <v>0</v>
          </cell>
        </row>
        <row r="1874">
          <cell r="A1874">
            <v>3125509</v>
          </cell>
          <cell r="T1874">
            <v>0</v>
          </cell>
          <cell r="U1874">
            <v>0</v>
          </cell>
        </row>
        <row r="1875">
          <cell r="A1875">
            <v>3125510</v>
          </cell>
          <cell r="T1875">
            <v>0</v>
          </cell>
          <cell r="U1875">
            <v>0</v>
          </cell>
        </row>
        <row r="1876">
          <cell r="A1876">
            <v>3150201</v>
          </cell>
          <cell r="T1876">
            <v>0</v>
          </cell>
          <cell r="U1876">
            <v>0</v>
          </cell>
        </row>
        <row r="1877">
          <cell r="A1877">
            <v>3150202</v>
          </cell>
          <cell r="T1877">
            <v>0</v>
          </cell>
          <cell r="U1877">
            <v>0</v>
          </cell>
        </row>
        <row r="1878">
          <cell r="A1878">
            <v>3150203</v>
          </cell>
          <cell r="T1878">
            <v>0</v>
          </cell>
          <cell r="U1878">
            <v>0</v>
          </cell>
        </row>
        <row r="1879">
          <cell r="A1879">
            <v>3150206</v>
          </cell>
          <cell r="T1879">
            <v>0</v>
          </cell>
          <cell r="U1879">
            <v>0</v>
          </cell>
        </row>
        <row r="1880">
          <cell r="A1880">
            <v>3150207</v>
          </cell>
          <cell r="T1880">
            <v>0</v>
          </cell>
          <cell r="U1880">
            <v>0</v>
          </cell>
        </row>
        <row r="1881">
          <cell r="A1881">
            <v>3150208</v>
          </cell>
          <cell r="T1881">
            <v>0</v>
          </cell>
          <cell r="U1881">
            <v>0</v>
          </cell>
        </row>
        <row r="1882">
          <cell r="A1882">
            <v>3150209</v>
          </cell>
          <cell r="T1882">
            <v>0</v>
          </cell>
          <cell r="U1882">
            <v>0</v>
          </cell>
        </row>
        <row r="1883">
          <cell r="A1883">
            <v>3150210</v>
          </cell>
          <cell r="T1883">
            <v>0</v>
          </cell>
          <cell r="U1883">
            <v>0</v>
          </cell>
        </row>
        <row r="1884">
          <cell r="A1884">
            <v>3150301</v>
          </cell>
          <cell r="T1884">
            <v>0</v>
          </cell>
          <cell r="U1884">
            <v>0</v>
          </cell>
        </row>
        <row r="1885">
          <cell r="A1885">
            <v>3150302</v>
          </cell>
          <cell r="T1885">
            <v>0</v>
          </cell>
          <cell r="U1885">
            <v>0</v>
          </cell>
        </row>
        <row r="1886">
          <cell r="A1886">
            <v>3150303</v>
          </cell>
          <cell r="T1886">
            <v>0</v>
          </cell>
          <cell r="U1886">
            <v>0</v>
          </cell>
        </row>
        <row r="1887">
          <cell r="A1887">
            <v>3150306</v>
          </cell>
          <cell r="T1887">
            <v>0</v>
          </cell>
          <cell r="U1887">
            <v>0</v>
          </cell>
        </row>
        <row r="1888">
          <cell r="A1888">
            <v>3150307</v>
          </cell>
          <cell r="T1888">
            <v>0</v>
          </cell>
          <cell r="U1888">
            <v>0</v>
          </cell>
        </row>
        <row r="1889">
          <cell r="A1889">
            <v>3150308</v>
          </cell>
          <cell r="T1889">
            <v>0</v>
          </cell>
          <cell r="U1889">
            <v>0</v>
          </cell>
        </row>
        <row r="1890">
          <cell r="A1890">
            <v>3150309</v>
          </cell>
          <cell r="T1890">
            <v>0</v>
          </cell>
          <cell r="U1890">
            <v>0</v>
          </cell>
        </row>
        <row r="1891">
          <cell r="A1891">
            <v>3150310</v>
          </cell>
          <cell r="T1891">
            <v>0</v>
          </cell>
          <cell r="U1891">
            <v>0</v>
          </cell>
        </row>
        <row r="1892">
          <cell r="A1892">
            <v>3150401</v>
          </cell>
          <cell r="T1892">
            <v>0</v>
          </cell>
          <cell r="U1892">
            <v>0</v>
          </cell>
        </row>
        <row r="1893">
          <cell r="A1893">
            <v>3150402</v>
          </cell>
          <cell r="T1893">
            <v>0</v>
          </cell>
          <cell r="U1893">
            <v>0</v>
          </cell>
        </row>
        <row r="1894">
          <cell r="A1894">
            <v>3150403</v>
          </cell>
          <cell r="T1894">
            <v>0</v>
          </cell>
          <cell r="U1894">
            <v>0</v>
          </cell>
        </row>
        <row r="1895">
          <cell r="A1895">
            <v>3150406</v>
          </cell>
          <cell r="T1895">
            <v>0</v>
          </cell>
          <cell r="U1895">
            <v>0</v>
          </cell>
        </row>
        <row r="1896">
          <cell r="A1896">
            <v>3150407</v>
          </cell>
          <cell r="T1896">
            <v>0</v>
          </cell>
          <cell r="U1896">
            <v>0</v>
          </cell>
        </row>
        <row r="1897">
          <cell r="A1897">
            <v>3150408</v>
          </cell>
          <cell r="T1897">
            <v>0</v>
          </cell>
          <cell r="U1897">
            <v>0</v>
          </cell>
        </row>
        <row r="1898">
          <cell r="A1898">
            <v>3150409</v>
          </cell>
          <cell r="T1898">
            <v>0</v>
          </cell>
          <cell r="U1898">
            <v>0</v>
          </cell>
        </row>
        <row r="1899">
          <cell r="A1899">
            <v>3150410</v>
          </cell>
          <cell r="T1899">
            <v>0</v>
          </cell>
          <cell r="U1899">
            <v>0</v>
          </cell>
        </row>
        <row r="1900">
          <cell r="A1900">
            <v>3150501</v>
          </cell>
          <cell r="T1900">
            <v>0</v>
          </cell>
          <cell r="U1900">
            <v>0</v>
          </cell>
        </row>
        <row r="1901">
          <cell r="A1901">
            <v>3150502</v>
          </cell>
          <cell r="T1901">
            <v>0</v>
          </cell>
          <cell r="U1901">
            <v>0</v>
          </cell>
        </row>
        <row r="1902">
          <cell r="A1902">
            <v>3150503</v>
          </cell>
          <cell r="T1902">
            <v>0</v>
          </cell>
          <cell r="U1902">
            <v>0</v>
          </cell>
        </row>
        <row r="1903">
          <cell r="A1903">
            <v>3150506</v>
          </cell>
          <cell r="T1903">
            <v>0</v>
          </cell>
          <cell r="U1903">
            <v>0</v>
          </cell>
        </row>
        <row r="1904">
          <cell r="A1904">
            <v>3150507</v>
          </cell>
          <cell r="T1904">
            <v>0</v>
          </cell>
          <cell r="U1904">
            <v>0</v>
          </cell>
        </row>
        <row r="1905">
          <cell r="A1905">
            <v>3150508</v>
          </cell>
          <cell r="T1905">
            <v>0</v>
          </cell>
          <cell r="U1905">
            <v>0</v>
          </cell>
        </row>
        <row r="1906">
          <cell r="A1906">
            <v>3150509</v>
          </cell>
          <cell r="T1906">
            <v>0</v>
          </cell>
          <cell r="U1906">
            <v>0</v>
          </cell>
        </row>
        <row r="1907">
          <cell r="A1907">
            <v>3150510</v>
          </cell>
          <cell r="T1907">
            <v>0</v>
          </cell>
          <cell r="U1907">
            <v>0</v>
          </cell>
        </row>
        <row r="1908">
          <cell r="A1908">
            <v>3175201</v>
          </cell>
          <cell r="T1908">
            <v>0</v>
          </cell>
          <cell r="U1908">
            <v>0</v>
          </cell>
        </row>
        <row r="1909">
          <cell r="A1909">
            <v>3175202</v>
          </cell>
          <cell r="T1909">
            <v>0</v>
          </cell>
          <cell r="U1909">
            <v>0</v>
          </cell>
        </row>
        <row r="1910">
          <cell r="A1910">
            <v>3175203</v>
          </cell>
          <cell r="T1910">
            <v>0</v>
          </cell>
          <cell r="U1910">
            <v>0</v>
          </cell>
        </row>
        <row r="1911">
          <cell r="A1911">
            <v>3175206</v>
          </cell>
          <cell r="T1911">
            <v>0</v>
          </cell>
          <cell r="U1911">
            <v>0</v>
          </cell>
        </row>
        <row r="1912">
          <cell r="A1912">
            <v>3175207</v>
          </cell>
          <cell r="T1912">
            <v>0</v>
          </cell>
          <cell r="U1912">
            <v>0</v>
          </cell>
        </row>
        <row r="1913">
          <cell r="A1913">
            <v>3175208</v>
          </cell>
          <cell r="T1913">
            <v>0</v>
          </cell>
          <cell r="U1913">
            <v>0</v>
          </cell>
        </row>
        <row r="1914">
          <cell r="A1914">
            <v>3175209</v>
          </cell>
          <cell r="T1914">
            <v>0</v>
          </cell>
          <cell r="U1914">
            <v>0</v>
          </cell>
        </row>
        <row r="1915">
          <cell r="A1915">
            <v>3175210</v>
          </cell>
          <cell r="T1915">
            <v>0</v>
          </cell>
          <cell r="U1915">
            <v>0</v>
          </cell>
        </row>
        <row r="1916">
          <cell r="A1916">
            <v>3175301</v>
          </cell>
          <cell r="T1916">
            <v>0</v>
          </cell>
          <cell r="U1916">
            <v>0</v>
          </cell>
        </row>
        <row r="1917">
          <cell r="A1917">
            <v>3175302</v>
          </cell>
          <cell r="T1917">
            <v>0</v>
          </cell>
          <cell r="U1917">
            <v>0</v>
          </cell>
        </row>
        <row r="1918">
          <cell r="A1918">
            <v>3175303</v>
          </cell>
          <cell r="T1918">
            <v>0</v>
          </cell>
          <cell r="U1918">
            <v>0</v>
          </cell>
        </row>
        <row r="1919">
          <cell r="A1919">
            <v>3175306</v>
          </cell>
          <cell r="T1919">
            <v>0</v>
          </cell>
          <cell r="U1919">
            <v>0</v>
          </cell>
        </row>
        <row r="1920">
          <cell r="A1920">
            <v>3175307</v>
          </cell>
          <cell r="T1920">
            <v>0</v>
          </cell>
          <cell r="U1920">
            <v>0</v>
          </cell>
        </row>
        <row r="1921">
          <cell r="A1921">
            <v>3175308</v>
          </cell>
          <cell r="T1921">
            <v>0</v>
          </cell>
          <cell r="U1921">
            <v>0</v>
          </cell>
        </row>
        <row r="1922">
          <cell r="A1922">
            <v>3175309</v>
          </cell>
          <cell r="T1922">
            <v>0</v>
          </cell>
          <cell r="U1922">
            <v>0</v>
          </cell>
        </row>
        <row r="1923">
          <cell r="A1923">
            <v>3175310</v>
          </cell>
          <cell r="T1923">
            <v>0</v>
          </cell>
          <cell r="U1923">
            <v>0</v>
          </cell>
        </row>
        <row r="1924">
          <cell r="A1924">
            <v>3175401</v>
          </cell>
          <cell r="T1924">
            <v>0</v>
          </cell>
          <cell r="U1924">
            <v>0</v>
          </cell>
        </row>
        <row r="1925">
          <cell r="A1925">
            <v>3175402</v>
          </cell>
          <cell r="T1925">
            <v>0</v>
          </cell>
          <cell r="U1925">
            <v>0</v>
          </cell>
        </row>
        <row r="1926">
          <cell r="A1926">
            <v>3175403</v>
          </cell>
          <cell r="T1926">
            <v>0</v>
          </cell>
          <cell r="U1926">
            <v>0</v>
          </cell>
        </row>
        <row r="1927">
          <cell r="A1927">
            <v>3175406</v>
          </cell>
          <cell r="T1927">
            <v>0</v>
          </cell>
          <cell r="U1927">
            <v>0</v>
          </cell>
        </row>
        <row r="1928">
          <cell r="A1928">
            <v>3175407</v>
          </cell>
          <cell r="T1928">
            <v>0</v>
          </cell>
          <cell r="U1928">
            <v>0</v>
          </cell>
        </row>
        <row r="1929">
          <cell r="A1929">
            <v>3175408</v>
          </cell>
          <cell r="T1929">
            <v>0</v>
          </cell>
          <cell r="U1929">
            <v>0</v>
          </cell>
        </row>
        <row r="1930">
          <cell r="A1930">
            <v>3175409</v>
          </cell>
          <cell r="T1930">
            <v>0</v>
          </cell>
          <cell r="U1930">
            <v>0</v>
          </cell>
        </row>
        <row r="1931">
          <cell r="A1931">
            <v>3175410</v>
          </cell>
          <cell r="T1931">
            <v>0</v>
          </cell>
          <cell r="U1931">
            <v>0</v>
          </cell>
        </row>
        <row r="1932">
          <cell r="A1932">
            <v>3175501</v>
          </cell>
          <cell r="T1932">
            <v>0</v>
          </cell>
          <cell r="U1932">
            <v>0</v>
          </cell>
        </row>
        <row r="1933">
          <cell r="A1933">
            <v>3175502</v>
          </cell>
          <cell r="T1933">
            <v>0</v>
          </cell>
          <cell r="U1933">
            <v>0</v>
          </cell>
        </row>
        <row r="1934">
          <cell r="A1934">
            <v>3175503</v>
          </cell>
          <cell r="T1934">
            <v>0</v>
          </cell>
          <cell r="U1934">
            <v>0</v>
          </cell>
        </row>
        <row r="1935">
          <cell r="A1935">
            <v>3175506</v>
          </cell>
          <cell r="T1935">
            <v>0</v>
          </cell>
          <cell r="U1935">
            <v>0</v>
          </cell>
        </row>
        <row r="1936">
          <cell r="A1936">
            <v>3175507</v>
          </cell>
          <cell r="T1936">
            <v>0</v>
          </cell>
          <cell r="U1936">
            <v>0</v>
          </cell>
        </row>
        <row r="1937">
          <cell r="A1937">
            <v>3175508</v>
          </cell>
          <cell r="T1937">
            <v>0</v>
          </cell>
          <cell r="U1937">
            <v>0</v>
          </cell>
        </row>
        <row r="1938">
          <cell r="A1938">
            <v>3175509</v>
          </cell>
          <cell r="T1938">
            <v>0</v>
          </cell>
          <cell r="U1938">
            <v>0</v>
          </cell>
        </row>
        <row r="1939">
          <cell r="A1939">
            <v>3175510</v>
          </cell>
          <cell r="T1939">
            <v>0</v>
          </cell>
          <cell r="U1939">
            <v>0</v>
          </cell>
        </row>
        <row r="1940">
          <cell r="A1940">
            <v>3200201</v>
          </cell>
          <cell r="T1940">
            <v>0</v>
          </cell>
          <cell r="U1940">
            <v>0</v>
          </cell>
        </row>
        <row r="1941">
          <cell r="A1941">
            <v>3200202</v>
          </cell>
          <cell r="T1941">
            <v>0</v>
          </cell>
          <cell r="U1941">
            <v>0</v>
          </cell>
        </row>
        <row r="1942">
          <cell r="A1942">
            <v>3200203</v>
          </cell>
          <cell r="T1942">
            <v>0</v>
          </cell>
          <cell r="U1942">
            <v>0</v>
          </cell>
        </row>
        <row r="1943">
          <cell r="A1943">
            <v>3200206</v>
          </cell>
          <cell r="T1943">
            <v>0</v>
          </cell>
          <cell r="U1943">
            <v>0</v>
          </cell>
        </row>
        <row r="1944">
          <cell r="A1944">
            <v>3200207</v>
          </cell>
          <cell r="T1944">
            <v>0</v>
          </cell>
          <cell r="U1944">
            <v>0</v>
          </cell>
        </row>
        <row r="1945">
          <cell r="A1945">
            <v>3200208</v>
          </cell>
          <cell r="T1945">
            <v>0</v>
          </cell>
          <cell r="U1945">
            <v>0</v>
          </cell>
        </row>
        <row r="1946">
          <cell r="A1946">
            <v>3200209</v>
          </cell>
          <cell r="T1946">
            <v>0</v>
          </cell>
          <cell r="U1946">
            <v>0</v>
          </cell>
        </row>
        <row r="1947">
          <cell r="A1947">
            <v>3200210</v>
          </cell>
          <cell r="T1947">
            <v>0</v>
          </cell>
          <cell r="U1947">
            <v>0</v>
          </cell>
        </row>
        <row r="1948">
          <cell r="A1948">
            <v>3200301</v>
          </cell>
          <cell r="T1948">
            <v>0</v>
          </cell>
          <cell r="U1948">
            <v>0</v>
          </cell>
        </row>
        <row r="1949">
          <cell r="A1949">
            <v>3200302</v>
          </cell>
          <cell r="T1949">
            <v>0</v>
          </cell>
          <cell r="U1949">
            <v>0</v>
          </cell>
        </row>
        <row r="1950">
          <cell r="A1950">
            <v>3200303</v>
          </cell>
          <cell r="T1950">
            <v>0</v>
          </cell>
          <cell r="U1950">
            <v>0</v>
          </cell>
        </row>
        <row r="1951">
          <cell r="A1951">
            <v>3200306</v>
          </cell>
          <cell r="T1951">
            <v>0</v>
          </cell>
          <cell r="U1951">
            <v>0</v>
          </cell>
        </row>
        <row r="1952">
          <cell r="A1952">
            <v>3200307</v>
          </cell>
          <cell r="T1952">
            <v>0</v>
          </cell>
          <cell r="U1952">
            <v>0</v>
          </cell>
        </row>
        <row r="1953">
          <cell r="A1953">
            <v>3200308</v>
          </cell>
          <cell r="T1953">
            <v>0</v>
          </cell>
          <cell r="U1953">
            <v>0</v>
          </cell>
        </row>
        <row r="1954">
          <cell r="A1954">
            <v>3200309</v>
          </cell>
          <cell r="T1954">
            <v>0</v>
          </cell>
          <cell r="U1954">
            <v>0</v>
          </cell>
        </row>
        <row r="1955">
          <cell r="A1955">
            <v>3200310</v>
          </cell>
          <cell r="T1955">
            <v>0</v>
          </cell>
          <cell r="U1955">
            <v>0</v>
          </cell>
        </row>
        <row r="1956">
          <cell r="A1956">
            <v>3200401</v>
          </cell>
          <cell r="T1956">
            <v>0</v>
          </cell>
          <cell r="U1956">
            <v>0</v>
          </cell>
        </row>
        <row r="1957">
          <cell r="A1957">
            <v>3200402</v>
          </cell>
          <cell r="T1957">
            <v>0</v>
          </cell>
          <cell r="U1957">
            <v>0</v>
          </cell>
        </row>
        <row r="1958">
          <cell r="A1958">
            <v>3200403</v>
          </cell>
          <cell r="T1958">
            <v>0</v>
          </cell>
          <cell r="U1958">
            <v>0</v>
          </cell>
        </row>
        <row r="1959">
          <cell r="A1959">
            <v>3200406</v>
          </cell>
          <cell r="T1959">
            <v>0</v>
          </cell>
          <cell r="U1959">
            <v>0</v>
          </cell>
        </row>
        <row r="1960">
          <cell r="A1960">
            <v>3200407</v>
          </cell>
          <cell r="T1960">
            <v>0</v>
          </cell>
          <cell r="U1960">
            <v>0</v>
          </cell>
        </row>
        <row r="1961">
          <cell r="A1961">
            <v>3200408</v>
          </cell>
          <cell r="T1961">
            <v>0</v>
          </cell>
          <cell r="U1961">
            <v>0</v>
          </cell>
        </row>
        <row r="1962">
          <cell r="A1962">
            <v>3200409</v>
          </cell>
          <cell r="T1962">
            <v>0</v>
          </cell>
          <cell r="U1962">
            <v>0</v>
          </cell>
        </row>
        <row r="1963">
          <cell r="A1963">
            <v>3200410</v>
          </cell>
          <cell r="T1963">
            <v>0</v>
          </cell>
          <cell r="U1963">
            <v>0</v>
          </cell>
        </row>
        <row r="1964">
          <cell r="A1964">
            <v>3200501</v>
          </cell>
          <cell r="T1964">
            <v>0</v>
          </cell>
          <cell r="U1964">
            <v>0</v>
          </cell>
        </row>
        <row r="1965">
          <cell r="A1965">
            <v>3200502</v>
          </cell>
          <cell r="T1965">
            <v>0</v>
          </cell>
          <cell r="U1965">
            <v>0</v>
          </cell>
        </row>
        <row r="1966">
          <cell r="A1966">
            <v>3200503</v>
          </cell>
          <cell r="T1966">
            <v>0</v>
          </cell>
          <cell r="U1966">
            <v>0</v>
          </cell>
        </row>
        <row r="1967">
          <cell r="A1967">
            <v>3200506</v>
          </cell>
          <cell r="T1967">
            <v>0</v>
          </cell>
          <cell r="U1967">
            <v>0</v>
          </cell>
        </row>
        <row r="1968">
          <cell r="A1968">
            <v>3200507</v>
          </cell>
          <cell r="T1968">
            <v>0</v>
          </cell>
          <cell r="U1968">
            <v>0</v>
          </cell>
        </row>
        <row r="1969">
          <cell r="A1969">
            <v>3200508</v>
          </cell>
          <cell r="T1969">
            <v>0</v>
          </cell>
          <cell r="U1969">
            <v>0</v>
          </cell>
        </row>
        <row r="1970">
          <cell r="A1970">
            <v>3200509</v>
          </cell>
          <cell r="T1970">
            <v>0</v>
          </cell>
          <cell r="U1970">
            <v>0</v>
          </cell>
        </row>
        <row r="1971">
          <cell r="A1971">
            <v>3200510</v>
          </cell>
          <cell r="T1971">
            <v>0</v>
          </cell>
          <cell r="U1971">
            <v>0</v>
          </cell>
        </row>
        <row r="1972">
          <cell r="A1972">
            <v>3210201</v>
          </cell>
          <cell r="T1972">
            <v>0</v>
          </cell>
          <cell r="U1972">
            <v>0</v>
          </cell>
        </row>
        <row r="1973">
          <cell r="A1973">
            <v>3210202</v>
          </cell>
          <cell r="T1973">
            <v>0</v>
          </cell>
          <cell r="U1973">
            <v>0</v>
          </cell>
        </row>
        <row r="1974">
          <cell r="A1974">
            <v>3210203</v>
          </cell>
          <cell r="T1974">
            <v>0</v>
          </cell>
          <cell r="U1974">
            <v>0</v>
          </cell>
        </row>
        <row r="1975">
          <cell r="A1975">
            <v>3210206</v>
          </cell>
          <cell r="T1975">
            <v>0</v>
          </cell>
          <cell r="U1975">
            <v>0</v>
          </cell>
        </row>
        <row r="1976">
          <cell r="A1976">
            <v>3210207</v>
          </cell>
          <cell r="T1976">
            <v>0</v>
          </cell>
          <cell r="U1976">
            <v>0</v>
          </cell>
        </row>
        <row r="1977">
          <cell r="A1977">
            <v>3210208</v>
          </cell>
          <cell r="T1977">
            <v>0</v>
          </cell>
          <cell r="U1977">
            <v>0</v>
          </cell>
        </row>
        <row r="1978">
          <cell r="A1978">
            <v>3210209</v>
          </cell>
          <cell r="T1978">
            <v>0</v>
          </cell>
          <cell r="U1978">
            <v>0</v>
          </cell>
        </row>
        <row r="1979">
          <cell r="A1979">
            <v>3210210</v>
          </cell>
          <cell r="T1979">
            <v>0</v>
          </cell>
          <cell r="U1979">
            <v>0</v>
          </cell>
        </row>
        <row r="1980">
          <cell r="A1980">
            <v>3210301</v>
          </cell>
          <cell r="T1980">
            <v>0</v>
          </cell>
          <cell r="U1980">
            <v>0</v>
          </cell>
        </row>
        <row r="1981">
          <cell r="A1981">
            <v>3210302</v>
          </cell>
          <cell r="T1981">
            <v>0</v>
          </cell>
          <cell r="U1981">
            <v>0</v>
          </cell>
        </row>
        <row r="1982">
          <cell r="A1982">
            <v>3210303</v>
          </cell>
          <cell r="T1982">
            <v>0</v>
          </cell>
          <cell r="U1982">
            <v>0</v>
          </cell>
        </row>
        <row r="1983">
          <cell r="A1983">
            <v>3210306</v>
          </cell>
          <cell r="T1983">
            <v>0</v>
          </cell>
          <cell r="U1983">
            <v>0</v>
          </cell>
        </row>
        <row r="1984">
          <cell r="A1984">
            <v>3210307</v>
          </cell>
          <cell r="T1984">
            <v>0</v>
          </cell>
          <cell r="U1984">
            <v>0</v>
          </cell>
        </row>
        <row r="1985">
          <cell r="A1985">
            <v>3210308</v>
          </cell>
          <cell r="T1985">
            <v>0</v>
          </cell>
          <cell r="U1985">
            <v>0</v>
          </cell>
        </row>
        <row r="1986">
          <cell r="A1986">
            <v>3210309</v>
          </cell>
          <cell r="T1986">
            <v>0</v>
          </cell>
          <cell r="U1986">
            <v>0</v>
          </cell>
        </row>
        <row r="1987">
          <cell r="A1987">
            <v>3210310</v>
          </cell>
          <cell r="T1987">
            <v>0</v>
          </cell>
          <cell r="U1987">
            <v>0</v>
          </cell>
        </row>
        <row r="1988">
          <cell r="A1988">
            <v>3210401</v>
          </cell>
          <cell r="T1988">
            <v>0</v>
          </cell>
          <cell r="U1988">
            <v>0</v>
          </cell>
        </row>
        <row r="1989">
          <cell r="A1989">
            <v>3210402</v>
          </cell>
          <cell r="T1989">
            <v>0</v>
          </cell>
          <cell r="U1989">
            <v>0</v>
          </cell>
        </row>
        <row r="1990">
          <cell r="A1990">
            <v>3210403</v>
          </cell>
          <cell r="T1990">
            <v>0</v>
          </cell>
          <cell r="U1990">
            <v>0</v>
          </cell>
        </row>
        <row r="1991">
          <cell r="A1991">
            <v>3210406</v>
          </cell>
          <cell r="T1991">
            <v>0</v>
          </cell>
          <cell r="U1991">
            <v>0</v>
          </cell>
        </row>
        <row r="1992">
          <cell r="A1992">
            <v>3210407</v>
          </cell>
          <cell r="T1992">
            <v>0</v>
          </cell>
          <cell r="U1992">
            <v>0</v>
          </cell>
        </row>
        <row r="1993">
          <cell r="A1993">
            <v>3210408</v>
          </cell>
          <cell r="T1993">
            <v>0</v>
          </cell>
          <cell r="U1993">
            <v>0</v>
          </cell>
        </row>
        <row r="1994">
          <cell r="A1994">
            <v>3210409</v>
          </cell>
          <cell r="T1994">
            <v>0</v>
          </cell>
          <cell r="U1994">
            <v>0</v>
          </cell>
        </row>
        <row r="1995">
          <cell r="A1995">
            <v>3210410</v>
          </cell>
          <cell r="T1995">
            <v>0</v>
          </cell>
          <cell r="U1995">
            <v>0</v>
          </cell>
        </row>
        <row r="1996">
          <cell r="A1996">
            <v>3210501</v>
          </cell>
          <cell r="T1996">
            <v>0</v>
          </cell>
          <cell r="U1996">
            <v>0</v>
          </cell>
        </row>
        <row r="1997">
          <cell r="A1997">
            <v>3210502</v>
          </cell>
          <cell r="T1997">
            <v>0</v>
          </cell>
          <cell r="U1997">
            <v>0</v>
          </cell>
        </row>
        <row r="1998">
          <cell r="A1998">
            <v>3210503</v>
          </cell>
          <cell r="T1998">
            <v>0</v>
          </cell>
          <cell r="U1998">
            <v>0</v>
          </cell>
        </row>
        <row r="1999">
          <cell r="A1999">
            <v>3210506</v>
          </cell>
          <cell r="T1999">
            <v>0</v>
          </cell>
          <cell r="U1999">
            <v>0</v>
          </cell>
        </row>
        <row r="2000">
          <cell r="A2000">
            <v>3210507</v>
          </cell>
          <cell r="T2000">
            <v>0</v>
          </cell>
          <cell r="U2000">
            <v>0</v>
          </cell>
        </row>
        <row r="2001">
          <cell r="A2001">
            <v>3210508</v>
          </cell>
          <cell r="T2001">
            <v>0</v>
          </cell>
          <cell r="U2001">
            <v>0</v>
          </cell>
        </row>
        <row r="2002">
          <cell r="A2002">
            <v>3210509</v>
          </cell>
          <cell r="T2002">
            <v>0</v>
          </cell>
          <cell r="U2002">
            <v>0</v>
          </cell>
        </row>
        <row r="2003">
          <cell r="A2003">
            <v>3210510</v>
          </cell>
          <cell r="T2003">
            <v>0</v>
          </cell>
          <cell r="U2003">
            <v>0</v>
          </cell>
        </row>
        <row r="2004">
          <cell r="A2004">
            <v>3220201</v>
          </cell>
          <cell r="T2004">
            <v>0</v>
          </cell>
          <cell r="U2004">
            <v>0</v>
          </cell>
        </row>
        <row r="2005">
          <cell r="A2005">
            <v>3220202</v>
          </cell>
          <cell r="T2005">
            <v>0</v>
          </cell>
          <cell r="U2005">
            <v>0</v>
          </cell>
        </row>
        <row r="2006">
          <cell r="A2006">
            <v>3220203</v>
          </cell>
          <cell r="T2006">
            <v>0</v>
          </cell>
          <cell r="U2006">
            <v>0</v>
          </cell>
        </row>
        <row r="2007">
          <cell r="A2007">
            <v>3220206</v>
          </cell>
          <cell r="T2007">
            <v>0</v>
          </cell>
          <cell r="U2007">
            <v>0</v>
          </cell>
        </row>
        <row r="2008">
          <cell r="A2008">
            <v>3220207</v>
          </cell>
          <cell r="T2008">
            <v>0</v>
          </cell>
          <cell r="U2008">
            <v>0</v>
          </cell>
        </row>
        <row r="2009">
          <cell r="A2009">
            <v>3220208</v>
          </cell>
          <cell r="T2009">
            <v>0</v>
          </cell>
          <cell r="U2009">
            <v>0</v>
          </cell>
        </row>
        <row r="2010">
          <cell r="A2010">
            <v>3220209</v>
          </cell>
          <cell r="T2010">
            <v>0</v>
          </cell>
          <cell r="U2010">
            <v>0</v>
          </cell>
        </row>
        <row r="2011">
          <cell r="A2011">
            <v>3220210</v>
          </cell>
          <cell r="T2011">
            <v>0</v>
          </cell>
          <cell r="U2011">
            <v>0</v>
          </cell>
        </row>
        <row r="2012">
          <cell r="A2012">
            <v>3220301</v>
          </cell>
          <cell r="T2012">
            <v>0</v>
          </cell>
          <cell r="U2012">
            <v>0</v>
          </cell>
        </row>
        <row r="2013">
          <cell r="A2013">
            <v>3220302</v>
          </cell>
          <cell r="T2013">
            <v>0</v>
          </cell>
          <cell r="U2013">
            <v>0</v>
          </cell>
        </row>
        <row r="2014">
          <cell r="A2014">
            <v>3220303</v>
          </cell>
          <cell r="T2014">
            <v>0</v>
          </cell>
          <cell r="U2014">
            <v>0</v>
          </cell>
        </row>
        <row r="2015">
          <cell r="A2015">
            <v>3220306</v>
          </cell>
          <cell r="T2015">
            <v>0</v>
          </cell>
          <cell r="U2015">
            <v>0</v>
          </cell>
        </row>
        <row r="2016">
          <cell r="A2016">
            <v>3220307</v>
          </cell>
          <cell r="T2016">
            <v>0</v>
          </cell>
          <cell r="U2016">
            <v>0</v>
          </cell>
        </row>
        <row r="2017">
          <cell r="A2017">
            <v>3220308</v>
          </cell>
          <cell r="T2017">
            <v>0</v>
          </cell>
          <cell r="U2017">
            <v>0</v>
          </cell>
        </row>
        <row r="2018">
          <cell r="A2018">
            <v>3220309</v>
          </cell>
          <cell r="T2018">
            <v>0</v>
          </cell>
          <cell r="U2018">
            <v>0</v>
          </cell>
        </row>
        <row r="2019">
          <cell r="A2019">
            <v>3220310</v>
          </cell>
          <cell r="T2019">
            <v>0</v>
          </cell>
          <cell r="U2019">
            <v>0</v>
          </cell>
        </row>
        <row r="2020">
          <cell r="A2020">
            <v>3220401</v>
          </cell>
          <cell r="T2020">
            <v>0</v>
          </cell>
          <cell r="U2020">
            <v>0</v>
          </cell>
        </row>
        <row r="2021">
          <cell r="A2021">
            <v>3220402</v>
          </cell>
          <cell r="T2021">
            <v>0</v>
          </cell>
          <cell r="U2021">
            <v>0</v>
          </cell>
        </row>
        <row r="2022">
          <cell r="A2022">
            <v>3220403</v>
          </cell>
          <cell r="T2022">
            <v>0</v>
          </cell>
          <cell r="U2022">
            <v>0</v>
          </cell>
        </row>
        <row r="2023">
          <cell r="A2023">
            <v>3220406</v>
          </cell>
          <cell r="T2023">
            <v>0</v>
          </cell>
          <cell r="U2023">
            <v>0</v>
          </cell>
        </row>
        <row r="2024">
          <cell r="A2024">
            <v>3220407</v>
          </cell>
          <cell r="T2024">
            <v>0</v>
          </cell>
          <cell r="U2024">
            <v>0</v>
          </cell>
        </row>
        <row r="2025">
          <cell r="A2025">
            <v>3220408</v>
          </cell>
          <cell r="T2025">
            <v>0</v>
          </cell>
          <cell r="U2025">
            <v>0</v>
          </cell>
        </row>
        <row r="2026">
          <cell r="A2026">
            <v>3220409</v>
          </cell>
          <cell r="T2026">
            <v>0</v>
          </cell>
          <cell r="U2026">
            <v>0</v>
          </cell>
        </row>
        <row r="2027">
          <cell r="A2027">
            <v>3220410</v>
          </cell>
          <cell r="T2027">
            <v>0</v>
          </cell>
          <cell r="U2027">
            <v>0</v>
          </cell>
        </row>
        <row r="2028">
          <cell r="A2028">
            <v>3220501</v>
          </cell>
          <cell r="T2028">
            <v>0</v>
          </cell>
          <cell r="U2028">
            <v>0</v>
          </cell>
        </row>
        <row r="2029">
          <cell r="A2029">
            <v>3220502</v>
          </cell>
          <cell r="T2029">
            <v>0</v>
          </cell>
          <cell r="U2029">
            <v>0</v>
          </cell>
        </row>
        <row r="2030">
          <cell r="A2030">
            <v>3220503</v>
          </cell>
          <cell r="T2030">
            <v>0</v>
          </cell>
          <cell r="U2030">
            <v>0</v>
          </cell>
        </row>
        <row r="2031">
          <cell r="A2031">
            <v>3220506</v>
          </cell>
          <cell r="T2031">
            <v>0</v>
          </cell>
          <cell r="U2031">
            <v>0</v>
          </cell>
        </row>
        <row r="2032">
          <cell r="A2032">
            <v>3220507</v>
          </cell>
          <cell r="T2032">
            <v>0</v>
          </cell>
          <cell r="U2032">
            <v>0</v>
          </cell>
        </row>
        <row r="2033">
          <cell r="A2033">
            <v>3220508</v>
          </cell>
          <cell r="T2033">
            <v>0</v>
          </cell>
          <cell r="U2033">
            <v>0</v>
          </cell>
        </row>
        <row r="2034">
          <cell r="A2034">
            <v>3220509</v>
          </cell>
          <cell r="T2034">
            <v>0</v>
          </cell>
          <cell r="U2034">
            <v>0</v>
          </cell>
        </row>
        <row r="2035">
          <cell r="A2035">
            <v>3220510</v>
          </cell>
          <cell r="T2035">
            <v>0</v>
          </cell>
          <cell r="U2035">
            <v>0</v>
          </cell>
        </row>
        <row r="2036">
          <cell r="A2036">
            <v>3230201</v>
          </cell>
          <cell r="T2036">
            <v>0</v>
          </cell>
          <cell r="U2036">
            <v>0</v>
          </cell>
        </row>
        <row r="2037">
          <cell r="A2037">
            <v>3230202</v>
          </cell>
          <cell r="T2037">
            <v>0</v>
          </cell>
          <cell r="U2037">
            <v>0</v>
          </cell>
        </row>
        <row r="2038">
          <cell r="A2038">
            <v>3230203</v>
          </cell>
          <cell r="T2038">
            <v>0</v>
          </cell>
          <cell r="U2038">
            <v>0</v>
          </cell>
        </row>
        <row r="2039">
          <cell r="A2039">
            <v>3230206</v>
          </cell>
          <cell r="T2039">
            <v>0</v>
          </cell>
          <cell r="U2039">
            <v>0</v>
          </cell>
        </row>
        <row r="2040">
          <cell r="A2040">
            <v>3230207</v>
          </cell>
          <cell r="T2040">
            <v>0</v>
          </cell>
          <cell r="U2040">
            <v>0</v>
          </cell>
        </row>
        <row r="2041">
          <cell r="A2041">
            <v>3230208</v>
          </cell>
          <cell r="T2041">
            <v>0</v>
          </cell>
          <cell r="U2041">
            <v>0</v>
          </cell>
        </row>
        <row r="2042">
          <cell r="A2042">
            <v>3230209</v>
          </cell>
          <cell r="T2042">
            <v>0</v>
          </cell>
          <cell r="U2042">
            <v>0</v>
          </cell>
        </row>
        <row r="2043">
          <cell r="A2043">
            <v>3230210</v>
          </cell>
          <cell r="T2043">
            <v>0</v>
          </cell>
          <cell r="U2043">
            <v>0</v>
          </cell>
        </row>
        <row r="2044">
          <cell r="A2044">
            <v>3230301</v>
          </cell>
          <cell r="T2044">
            <v>0</v>
          </cell>
          <cell r="U2044">
            <v>0</v>
          </cell>
        </row>
        <row r="2045">
          <cell r="A2045">
            <v>3230302</v>
          </cell>
          <cell r="T2045">
            <v>0</v>
          </cell>
          <cell r="U2045">
            <v>0</v>
          </cell>
        </row>
        <row r="2046">
          <cell r="A2046">
            <v>3230303</v>
          </cell>
          <cell r="T2046">
            <v>0</v>
          </cell>
          <cell r="U2046">
            <v>0</v>
          </cell>
        </row>
        <row r="2047">
          <cell r="A2047">
            <v>3230306</v>
          </cell>
          <cell r="T2047">
            <v>0</v>
          </cell>
          <cell r="U2047">
            <v>0</v>
          </cell>
        </row>
        <row r="2048">
          <cell r="A2048">
            <v>3230307</v>
          </cell>
          <cell r="T2048">
            <v>0</v>
          </cell>
          <cell r="U2048">
            <v>0</v>
          </cell>
        </row>
        <row r="2049">
          <cell r="A2049">
            <v>3230308</v>
          </cell>
          <cell r="T2049">
            <v>0</v>
          </cell>
          <cell r="U2049">
            <v>0</v>
          </cell>
        </row>
        <row r="2050">
          <cell r="A2050">
            <v>3230309</v>
          </cell>
          <cell r="T2050">
            <v>0</v>
          </cell>
          <cell r="U2050">
            <v>0</v>
          </cell>
        </row>
        <row r="2051">
          <cell r="A2051">
            <v>3230310</v>
          </cell>
          <cell r="T2051">
            <v>0</v>
          </cell>
          <cell r="U2051">
            <v>0</v>
          </cell>
        </row>
        <row r="2052">
          <cell r="A2052">
            <v>3230401</v>
          </cell>
          <cell r="T2052">
            <v>0</v>
          </cell>
          <cell r="U2052">
            <v>0</v>
          </cell>
        </row>
        <row r="2053">
          <cell r="A2053">
            <v>3230402</v>
          </cell>
          <cell r="T2053">
            <v>0</v>
          </cell>
          <cell r="U2053">
            <v>0</v>
          </cell>
        </row>
        <row r="2054">
          <cell r="A2054">
            <v>3230403</v>
          </cell>
          <cell r="T2054">
            <v>0</v>
          </cell>
          <cell r="U2054">
            <v>0</v>
          </cell>
        </row>
        <row r="2055">
          <cell r="A2055">
            <v>3230406</v>
          </cell>
          <cell r="T2055">
            <v>0</v>
          </cell>
          <cell r="U2055">
            <v>0</v>
          </cell>
        </row>
        <row r="2056">
          <cell r="A2056">
            <v>3230407</v>
          </cell>
          <cell r="T2056">
            <v>0</v>
          </cell>
          <cell r="U2056">
            <v>0</v>
          </cell>
        </row>
        <row r="2057">
          <cell r="A2057">
            <v>3230408</v>
          </cell>
          <cell r="T2057">
            <v>0</v>
          </cell>
          <cell r="U2057">
            <v>0</v>
          </cell>
        </row>
        <row r="2058">
          <cell r="A2058">
            <v>3230409</v>
          </cell>
          <cell r="T2058">
            <v>0</v>
          </cell>
          <cell r="U2058">
            <v>0</v>
          </cell>
        </row>
        <row r="2059">
          <cell r="A2059">
            <v>3230410</v>
          </cell>
          <cell r="T2059">
            <v>0</v>
          </cell>
          <cell r="U2059">
            <v>0</v>
          </cell>
        </row>
        <row r="2060">
          <cell r="A2060">
            <v>3230501</v>
          </cell>
          <cell r="T2060">
            <v>0</v>
          </cell>
          <cell r="U2060">
            <v>0</v>
          </cell>
        </row>
        <row r="2061">
          <cell r="A2061">
            <v>3230502</v>
          </cell>
          <cell r="T2061">
            <v>0</v>
          </cell>
          <cell r="U2061">
            <v>0</v>
          </cell>
        </row>
        <row r="2062">
          <cell r="A2062">
            <v>3230503</v>
          </cell>
          <cell r="T2062">
            <v>0</v>
          </cell>
          <cell r="U2062">
            <v>0</v>
          </cell>
        </row>
        <row r="2063">
          <cell r="A2063">
            <v>3230506</v>
          </cell>
          <cell r="T2063">
            <v>0</v>
          </cell>
          <cell r="U2063">
            <v>0</v>
          </cell>
        </row>
        <row r="2064">
          <cell r="A2064">
            <v>3230507</v>
          </cell>
          <cell r="T2064">
            <v>0</v>
          </cell>
          <cell r="U2064">
            <v>0</v>
          </cell>
        </row>
        <row r="2065">
          <cell r="A2065">
            <v>3230508</v>
          </cell>
          <cell r="T2065">
            <v>0</v>
          </cell>
          <cell r="U2065">
            <v>0</v>
          </cell>
        </row>
        <row r="2066">
          <cell r="A2066">
            <v>3230509</v>
          </cell>
          <cell r="T2066">
            <v>0</v>
          </cell>
          <cell r="U2066">
            <v>0</v>
          </cell>
        </row>
        <row r="2067">
          <cell r="A2067">
            <v>3230510</v>
          </cell>
          <cell r="T2067">
            <v>0</v>
          </cell>
          <cell r="U2067">
            <v>0</v>
          </cell>
        </row>
        <row r="2068">
          <cell r="A2068">
            <v>3240201</v>
          </cell>
          <cell r="T2068">
            <v>0</v>
          </cell>
          <cell r="U2068">
            <v>0</v>
          </cell>
        </row>
        <row r="2069">
          <cell r="A2069">
            <v>3240202</v>
          </cell>
          <cell r="T2069">
            <v>0</v>
          </cell>
          <cell r="U2069">
            <v>0</v>
          </cell>
        </row>
        <row r="2070">
          <cell r="A2070">
            <v>3240203</v>
          </cell>
          <cell r="T2070">
            <v>0</v>
          </cell>
          <cell r="U2070">
            <v>0</v>
          </cell>
        </row>
        <row r="2071">
          <cell r="A2071">
            <v>3240206</v>
          </cell>
          <cell r="T2071">
            <v>0</v>
          </cell>
          <cell r="U2071">
            <v>0</v>
          </cell>
        </row>
        <row r="2072">
          <cell r="A2072">
            <v>3240207</v>
          </cell>
          <cell r="T2072">
            <v>0</v>
          </cell>
          <cell r="U2072">
            <v>0</v>
          </cell>
        </row>
        <row r="2073">
          <cell r="A2073">
            <v>3240208</v>
          </cell>
          <cell r="T2073">
            <v>0</v>
          </cell>
          <cell r="U2073">
            <v>0</v>
          </cell>
        </row>
        <row r="2074">
          <cell r="A2074">
            <v>3240209</v>
          </cell>
          <cell r="T2074">
            <v>0</v>
          </cell>
          <cell r="U2074">
            <v>0</v>
          </cell>
        </row>
        <row r="2075">
          <cell r="A2075">
            <v>3240210</v>
          </cell>
          <cell r="T2075">
            <v>0</v>
          </cell>
          <cell r="U2075">
            <v>0</v>
          </cell>
        </row>
        <row r="2076">
          <cell r="A2076">
            <v>3240301</v>
          </cell>
          <cell r="T2076">
            <v>0</v>
          </cell>
          <cell r="U2076">
            <v>0</v>
          </cell>
        </row>
        <row r="2077">
          <cell r="A2077">
            <v>3240302</v>
          </cell>
          <cell r="T2077">
            <v>0</v>
          </cell>
          <cell r="U2077">
            <v>0</v>
          </cell>
        </row>
        <row r="2078">
          <cell r="A2078">
            <v>3240303</v>
          </cell>
          <cell r="T2078">
            <v>0</v>
          </cell>
          <cell r="U2078">
            <v>0</v>
          </cell>
        </row>
        <row r="2079">
          <cell r="A2079">
            <v>3240306</v>
          </cell>
          <cell r="T2079">
            <v>0</v>
          </cell>
          <cell r="U2079">
            <v>0</v>
          </cell>
        </row>
        <row r="2080">
          <cell r="A2080">
            <v>3240307</v>
          </cell>
          <cell r="T2080">
            <v>0</v>
          </cell>
          <cell r="U2080">
            <v>0</v>
          </cell>
        </row>
        <row r="2081">
          <cell r="A2081">
            <v>3240308</v>
          </cell>
          <cell r="T2081">
            <v>0</v>
          </cell>
          <cell r="U2081">
            <v>0</v>
          </cell>
        </row>
        <row r="2082">
          <cell r="A2082">
            <v>3240309</v>
          </cell>
          <cell r="T2082">
            <v>0</v>
          </cell>
          <cell r="U2082">
            <v>0</v>
          </cell>
        </row>
        <row r="2083">
          <cell r="A2083">
            <v>3240310</v>
          </cell>
          <cell r="T2083">
            <v>0</v>
          </cell>
          <cell r="U2083">
            <v>0</v>
          </cell>
        </row>
        <row r="2084">
          <cell r="A2084">
            <v>3240401</v>
          </cell>
          <cell r="T2084">
            <v>0</v>
          </cell>
          <cell r="U2084">
            <v>0</v>
          </cell>
        </row>
        <row r="2085">
          <cell r="A2085">
            <v>3240402</v>
          </cell>
          <cell r="T2085">
            <v>0</v>
          </cell>
          <cell r="U2085">
            <v>0</v>
          </cell>
        </row>
        <row r="2086">
          <cell r="A2086">
            <v>3240403</v>
          </cell>
          <cell r="T2086">
            <v>0</v>
          </cell>
          <cell r="U2086">
            <v>0</v>
          </cell>
        </row>
        <row r="2087">
          <cell r="A2087">
            <v>3240406</v>
          </cell>
          <cell r="T2087">
            <v>0</v>
          </cell>
          <cell r="U2087">
            <v>0</v>
          </cell>
        </row>
        <row r="2088">
          <cell r="A2088">
            <v>3240407</v>
          </cell>
          <cell r="T2088">
            <v>0</v>
          </cell>
          <cell r="U2088">
            <v>0</v>
          </cell>
        </row>
        <row r="2089">
          <cell r="A2089">
            <v>3240408</v>
          </cell>
          <cell r="T2089">
            <v>0</v>
          </cell>
          <cell r="U2089">
            <v>0</v>
          </cell>
        </row>
        <row r="2090">
          <cell r="A2090">
            <v>3240409</v>
          </cell>
          <cell r="T2090">
            <v>0</v>
          </cell>
          <cell r="U2090">
            <v>0</v>
          </cell>
        </row>
        <row r="2091">
          <cell r="A2091">
            <v>3240410</v>
          </cell>
          <cell r="T2091">
            <v>0</v>
          </cell>
          <cell r="U2091">
            <v>0</v>
          </cell>
        </row>
        <row r="2092">
          <cell r="A2092">
            <v>3240501</v>
          </cell>
          <cell r="T2092">
            <v>0</v>
          </cell>
          <cell r="U2092">
            <v>0</v>
          </cell>
        </row>
        <row r="2093">
          <cell r="A2093">
            <v>3240502</v>
          </cell>
          <cell r="T2093">
            <v>0</v>
          </cell>
          <cell r="U2093">
            <v>0</v>
          </cell>
        </row>
        <row r="2094">
          <cell r="A2094">
            <v>3240503</v>
          </cell>
          <cell r="T2094">
            <v>0</v>
          </cell>
          <cell r="U2094">
            <v>0</v>
          </cell>
        </row>
        <row r="2095">
          <cell r="A2095">
            <v>3240506</v>
          </cell>
          <cell r="T2095">
            <v>0</v>
          </cell>
          <cell r="U2095">
            <v>0</v>
          </cell>
        </row>
        <row r="2096">
          <cell r="A2096">
            <v>3240507</v>
          </cell>
          <cell r="T2096">
            <v>0</v>
          </cell>
          <cell r="U2096">
            <v>0</v>
          </cell>
        </row>
        <row r="2097">
          <cell r="A2097">
            <v>3240508</v>
          </cell>
          <cell r="T2097">
            <v>0</v>
          </cell>
          <cell r="U2097">
            <v>0</v>
          </cell>
        </row>
        <row r="2098">
          <cell r="A2098">
            <v>3240509</v>
          </cell>
          <cell r="T2098">
            <v>0</v>
          </cell>
          <cell r="U2098">
            <v>0</v>
          </cell>
        </row>
        <row r="2099">
          <cell r="A2099">
            <v>3240510</v>
          </cell>
          <cell r="T2099">
            <v>0</v>
          </cell>
          <cell r="U2099">
            <v>0</v>
          </cell>
        </row>
        <row r="2100">
          <cell r="A2100">
            <v>3250201</v>
          </cell>
          <cell r="T2100">
            <v>0</v>
          </cell>
          <cell r="U2100">
            <v>0</v>
          </cell>
        </row>
        <row r="2101">
          <cell r="A2101">
            <v>3250202</v>
          </cell>
          <cell r="T2101">
            <v>0</v>
          </cell>
          <cell r="U2101">
            <v>0</v>
          </cell>
        </row>
        <row r="2102">
          <cell r="A2102">
            <v>3250203</v>
          </cell>
          <cell r="T2102">
            <v>0</v>
          </cell>
          <cell r="U2102">
            <v>0</v>
          </cell>
        </row>
        <row r="2103">
          <cell r="A2103">
            <v>3250206</v>
          </cell>
          <cell r="T2103">
            <v>0</v>
          </cell>
          <cell r="U2103">
            <v>0</v>
          </cell>
        </row>
        <row r="2104">
          <cell r="A2104">
            <v>3250207</v>
          </cell>
          <cell r="T2104">
            <v>0</v>
          </cell>
          <cell r="U2104">
            <v>0</v>
          </cell>
        </row>
        <row r="2105">
          <cell r="A2105">
            <v>3250208</v>
          </cell>
          <cell r="T2105">
            <v>0</v>
          </cell>
          <cell r="U2105">
            <v>0</v>
          </cell>
        </row>
        <row r="2106">
          <cell r="A2106">
            <v>3250209</v>
          </cell>
          <cell r="T2106">
            <v>0</v>
          </cell>
          <cell r="U2106">
            <v>0</v>
          </cell>
        </row>
        <row r="2107">
          <cell r="A2107">
            <v>3250210</v>
          </cell>
          <cell r="T2107">
            <v>0</v>
          </cell>
          <cell r="U2107">
            <v>0</v>
          </cell>
        </row>
        <row r="2108">
          <cell r="A2108">
            <v>3250301</v>
          </cell>
          <cell r="T2108">
            <v>0</v>
          </cell>
          <cell r="U2108">
            <v>0</v>
          </cell>
        </row>
        <row r="2109">
          <cell r="A2109">
            <v>3250302</v>
          </cell>
          <cell r="T2109">
            <v>0</v>
          </cell>
          <cell r="U2109">
            <v>0</v>
          </cell>
        </row>
        <row r="2110">
          <cell r="A2110">
            <v>3250303</v>
          </cell>
          <cell r="T2110">
            <v>0</v>
          </cell>
          <cell r="U2110">
            <v>0</v>
          </cell>
        </row>
        <row r="2111">
          <cell r="A2111">
            <v>3250306</v>
          </cell>
          <cell r="T2111">
            <v>0</v>
          </cell>
          <cell r="U2111">
            <v>0</v>
          </cell>
        </row>
        <row r="2112">
          <cell r="A2112">
            <v>3250307</v>
          </cell>
          <cell r="T2112">
            <v>0</v>
          </cell>
          <cell r="U2112">
            <v>0</v>
          </cell>
        </row>
        <row r="2113">
          <cell r="A2113">
            <v>3250308</v>
          </cell>
          <cell r="T2113">
            <v>0</v>
          </cell>
          <cell r="U2113">
            <v>0</v>
          </cell>
        </row>
        <row r="2114">
          <cell r="A2114">
            <v>3250309</v>
          </cell>
          <cell r="T2114">
            <v>0</v>
          </cell>
          <cell r="U2114">
            <v>0</v>
          </cell>
        </row>
        <row r="2115">
          <cell r="A2115">
            <v>3250310</v>
          </cell>
          <cell r="T2115">
            <v>0</v>
          </cell>
          <cell r="U2115">
            <v>0</v>
          </cell>
        </row>
        <row r="2116">
          <cell r="A2116">
            <v>3250401</v>
          </cell>
          <cell r="T2116">
            <v>0</v>
          </cell>
          <cell r="U2116">
            <v>0</v>
          </cell>
        </row>
        <row r="2117">
          <cell r="A2117">
            <v>3250402</v>
          </cell>
          <cell r="T2117">
            <v>0</v>
          </cell>
          <cell r="U2117">
            <v>0</v>
          </cell>
        </row>
        <row r="2118">
          <cell r="A2118">
            <v>3250403</v>
          </cell>
          <cell r="T2118">
            <v>0</v>
          </cell>
          <cell r="U2118">
            <v>0</v>
          </cell>
        </row>
        <row r="2119">
          <cell r="A2119">
            <v>3250406</v>
          </cell>
          <cell r="T2119">
            <v>0</v>
          </cell>
          <cell r="U2119">
            <v>0</v>
          </cell>
        </row>
        <row r="2120">
          <cell r="A2120">
            <v>3250407</v>
          </cell>
          <cell r="T2120">
            <v>0</v>
          </cell>
          <cell r="U2120">
            <v>0</v>
          </cell>
        </row>
        <row r="2121">
          <cell r="A2121">
            <v>3250408</v>
          </cell>
          <cell r="T2121">
            <v>0</v>
          </cell>
          <cell r="U2121">
            <v>0</v>
          </cell>
        </row>
        <row r="2122">
          <cell r="A2122">
            <v>3250409</v>
          </cell>
          <cell r="T2122">
            <v>0</v>
          </cell>
          <cell r="U2122">
            <v>0</v>
          </cell>
        </row>
        <row r="2123">
          <cell r="A2123">
            <v>3250410</v>
          </cell>
          <cell r="T2123">
            <v>0</v>
          </cell>
          <cell r="U2123">
            <v>0</v>
          </cell>
        </row>
        <row r="2124">
          <cell r="A2124">
            <v>3250501</v>
          </cell>
          <cell r="T2124">
            <v>0</v>
          </cell>
          <cell r="U2124">
            <v>0</v>
          </cell>
        </row>
        <row r="2125">
          <cell r="A2125">
            <v>3250502</v>
          </cell>
          <cell r="T2125">
            <v>0</v>
          </cell>
          <cell r="U2125">
            <v>0</v>
          </cell>
        </row>
        <row r="2126">
          <cell r="A2126">
            <v>3250503</v>
          </cell>
          <cell r="T2126">
            <v>0</v>
          </cell>
          <cell r="U2126">
            <v>0</v>
          </cell>
        </row>
        <row r="2127">
          <cell r="A2127">
            <v>3250506</v>
          </cell>
          <cell r="T2127">
            <v>0</v>
          </cell>
          <cell r="U2127">
            <v>0</v>
          </cell>
        </row>
        <row r="2128">
          <cell r="A2128">
            <v>3250507</v>
          </cell>
          <cell r="T2128">
            <v>0</v>
          </cell>
          <cell r="U2128">
            <v>0</v>
          </cell>
        </row>
        <row r="2129">
          <cell r="A2129">
            <v>3250508</v>
          </cell>
          <cell r="T2129">
            <v>0</v>
          </cell>
          <cell r="U2129">
            <v>0</v>
          </cell>
        </row>
        <row r="2130">
          <cell r="A2130">
            <v>3250509</v>
          </cell>
          <cell r="T2130">
            <v>0</v>
          </cell>
          <cell r="U2130">
            <v>0</v>
          </cell>
        </row>
        <row r="2131">
          <cell r="A2131">
            <v>3250510</v>
          </cell>
          <cell r="T2131">
            <v>0</v>
          </cell>
          <cell r="U2131">
            <v>0</v>
          </cell>
        </row>
        <row r="2132">
          <cell r="A2132">
            <v>3260201</v>
          </cell>
          <cell r="T2132">
            <v>0</v>
          </cell>
          <cell r="U2132">
            <v>0</v>
          </cell>
        </row>
        <row r="2133">
          <cell r="A2133">
            <v>3260202</v>
          </cell>
          <cell r="T2133">
            <v>0</v>
          </cell>
          <cell r="U2133">
            <v>0</v>
          </cell>
        </row>
        <row r="2134">
          <cell r="A2134">
            <v>3260203</v>
          </cell>
          <cell r="T2134">
            <v>0</v>
          </cell>
          <cell r="U2134">
            <v>0</v>
          </cell>
        </row>
        <row r="2135">
          <cell r="A2135">
            <v>3260206</v>
          </cell>
          <cell r="T2135">
            <v>0</v>
          </cell>
          <cell r="U2135">
            <v>0</v>
          </cell>
        </row>
        <row r="2136">
          <cell r="A2136">
            <v>3260207</v>
          </cell>
          <cell r="T2136">
            <v>0</v>
          </cell>
          <cell r="U2136">
            <v>0</v>
          </cell>
        </row>
        <row r="2137">
          <cell r="A2137">
            <v>3260208</v>
          </cell>
          <cell r="T2137">
            <v>0</v>
          </cell>
          <cell r="U2137">
            <v>0</v>
          </cell>
        </row>
        <row r="2138">
          <cell r="A2138">
            <v>3260209</v>
          </cell>
          <cell r="T2138">
            <v>0</v>
          </cell>
          <cell r="U2138">
            <v>0</v>
          </cell>
        </row>
        <row r="2139">
          <cell r="A2139">
            <v>3260210</v>
          </cell>
          <cell r="T2139">
            <v>0</v>
          </cell>
          <cell r="U2139">
            <v>0</v>
          </cell>
        </row>
        <row r="2140">
          <cell r="A2140">
            <v>3260301</v>
          </cell>
          <cell r="T2140">
            <v>0</v>
          </cell>
          <cell r="U2140">
            <v>0</v>
          </cell>
        </row>
        <row r="2141">
          <cell r="A2141">
            <v>3260302</v>
          </cell>
          <cell r="T2141">
            <v>0</v>
          </cell>
          <cell r="U2141">
            <v>0</v>
          </cell>
        </row>
        <row r="2142">
          <cell r="A2142">
            <v>3260303</v>
          </cell>
          <cell r="T2142">
            <v>0</v>
          </cell>
          <cell r="U2142">
            <v>0</v>
          </cell>
        </row>
        <row r="2143">
          <cell r="A2143">
            <v>3260306</v>
          </cell>
          <cell r="T2143">
            <v>0</v>
          </cell>
          <cell r="U2143">
            <v>0</v>
          </cell>
        </row>
        <row r="2144">
          <cell r="A2144">
            <v>3260307</v>
          </cell>
          <cell r="T2144">
            <v>0</v>
          </cell>
          <cell r="U2144">
            <v>0</v>
          </cell>
        </row>
        <row r="2145">
          <cell r="A2145">
            <v>3260308</v>
          </cell>
          <cell r="T2145">
            <v>0</v>
          </cell>
          <cell r="U2145">
            <v>0</v>
          </cell>
        </row>
        <row r="2146">
          <cell r="A2146">
            <v>3260309</v>
          </cell>
          <cell r="T2146">
            <v>0</v>
          </cell>
          <cell r="U2146">
            <v>0</v>
          </cell>
        </row>
        <row r="2147">
          <cell r="A2147">
            <v>3260310</v>
          </cell>
          <cell r="T2147">
            <v>0</v>
          </cell>
          <cell r="U2147">
            <v>0</v>
          </cell>
        </row>
        <row r="2148">
          <cell r="A2148">
            <v>3260401</v>
          </cell>
          <cell r="T2148">
            <v>0</v>
          </cell>
          <cell r="U2148">
            <v>0</v>
          </cell>
        </row>
        <row r="2149">
          <cell r="A2149">
            <v>3260402</v>
          </cell>
          <cell r="T2149">
            <v>0</v>
          </cell>
          <cell r="U2149">
            <v>0</v>
          </cell>
        </row>
        <row r="2150">
          <cell r="A2150">
            <v>3260403</v>
          </cell>
          <cell r="T2150">
            <v>0</v>
          </cell>
          <cell r="U2150">
            <v>0</v>
          </cell>
        </row>
        <row r="2151">
          <cell r="A2151">
            <v>3260406</v>
          </cell>
          <cell r="T2151">
            <v>0</v>
          </cell>
          <cell r="U2151">
            <v>0</v>
          </cell>
        </row>
        <row r="2152">
          <cell r="A2152">
            <v>3260407</v>
          </cell>
          <cell r="T2152">
            <v>0</v>
          </cell>
          <cell r="U2152">
            <v>0</v>
          </cell>
        </row>
        <row r="2153">
          <cell r="A2153">
            <v>3260408</v>
          </cell>
          <cell r="T2153">
            <v>0</v>
          </cell>
          <cell r="U2153">
            <v>0</v>
          </cell>
        </row>
        <row r="2154">
          <cell r="A2154">
            <v>3260409</v>
          </cell>
          <cell r="T2154">
            <v>0</v>
          </cell>
          <cell r="U2154">
            <v>0</v>
          </cell>
        </row>
        <row r="2155">
          <cell r="A2155">
            <v>3260410</v>
          </cell>
          <cell r="T2155">
            <v>0</v>
          </cell>
          <cell r="U2155">
            <v>0</v>
          </cell>
        </row>
        <row r="2156">
          <cell r="A2156">
            <v>3260501</v>
          </cell>
          <cell r="T2156">
            <v>0</v>
          </cell>
          <cell r="U2156">
            <v>0</v>
          </cell>
        </row>
        <row r="2157">
          <cell r="A2157">
            <v>3260502</v>
          </cell>
          <cell r="T2157">
            <v>0</v>
          </cell>
          <cell r="U2157">
            <v>0</v>
          </cell>
        </row>
        <row r="2158">
          <cell r="A2158">
            <v>3260503</v>
          </cell>
          <cell r="T2158">
            <v>0</v>
          </cell>
          <cell r="U2158">
            <v>0</v>
          </cell>
        </row>
        <row r="2159">
          <cell r="A2159">
            <v>3260506</v>
          </cell>
          <cell r="T2159">
            <v>0</v>
          </cell>
          <cell r="U2159">
            <v>0</v>
          </cell>
        </row>
        <row r="2160">
          <cell r="A2160">
            <v>3260507</v>
          </cell>
          <cell r="T2160">
            <v>0</v>
          </cell>
          <cell r="U2160">
            <v>0</v>
          </cell>
        </row>
        <row r="2161">
          <cell r="A2161">
            <v>3260508</v>
          </cell>
          <cell r="T2161">
            <v>0</v>
          </cell>
          <cell r="U2161">
            <v>0</v>
          </cell>
        </row>
        <row r="2162">
          <cell r="A2162">
            <v>3260509</v>
          </cell>
          <cell r="T2162">
            <v>0</v>
          </cell>
          <cell r="U2162">
            <v>0</v>
          </cell>
        </row>
        <row r="2163">
          <cell r="A2163">
            <v>3260510</v>
          </cell>
          <cell r="T2163">
            <v>0</v>
          </cell>
          <cell r="U2163">
            <v>0</v>
          </cell>
        </row>
        <row r="2164">
          <cell r="A2164">
            <v>3270201</v>
          </cell>
          <cell r="T2164">
            <v>0</v>
          </cell>
          <cell r="U2164">
            <v>0</v>
          </cell>
        </row>
        <row r="2165">
          <cell r="A2165">
            <v>3270202</v>
          </cell>
          <cell r="T2165">
            <v>0</v>
          </cell>
          <cell r="U2165">
            <v>0</v>
          </cell>
        </row>
        <row r="2166">
          <cell r="A2166">
            <v>3270203</v>
          </cell>
          <cell r="T2166">
            <v>0</v>
          </cell>
          <cell r="U2166">
            <v>0</v>
          </cell>
        </row>
        <row r="2167">
          <cell r="A2167">
            <v>3270206</v>
          </cell>
          <cell r="T2167">
            <v>0</v>
          </cell>
          <cell r="U2167">
            <v>0</v>
          </cell>
        </row>
        <row r="2168">
          <cell r="A2168">
            <v>3270207</v>
          </cell>
          <cell r="T2168">
            <v>0</v>
          </cell>
          <cell r="U2168">
            <v>0</v>
          </cell>
        </row>
        <row r="2169">
          <cell r="A2169">
            <v>3270208</v>
          </cell>
          <cell r="T2169">
            <v>0</v>
          </cell>
          <cell r="U2169">
            <v>0</v>
          </cell>
        </row>
        <row r="2170">
          <cell r="A2170">
            <v>3270209</v>
          </cell>
          <cell r="T2170">
            <v>0</v>
          </cell>
          <cell r="U2170">
            <v>0</v>
          </cell>
        </row>
        <row r="2171">
          <cell r="A2171">
            <v>3270210</v>
          </cell>
          <cell r="T2171">
            <v>0</v>
          </cell>
          <cell r="U2171">
            <v>0</v>
          </cell>
        </row>
        <row r="2172">
          <cell r="A2172">
            <v>3270301</v>
          </cell>
          <cell r="T2172">
            <v>0</v>
          </cell>
          <cell r="U2172">
            <v>0</v>
          </cell>
        </row>
        <row r="2173">
          <cell r="A2173">
            <v>3270302</v>
          </cell>
          <cell r="T2173">
            <v>0</v>
          </cell>
          <cell r="U2173">
            <v>0</v>
          </cell>
        </row>
        <row r="2174">
          <cell r="A2174">
            <v>3270303</v>
          </cell>
          <cell r="T2174">
            <v>0</v>
          </cell>
          <cell r="U2174">
            <v>0</v>
          </cell>
        </row>
        <row r="2175">
          <cell r="A2175">
            <v>3270306</v>
          </cell>
          <cell r="T2175">
            <v>0</v>
          </cell>
          <cell r="U2175">
            <v>0</v>
          </cell>
        </row>
        <row r="2176">
          <cell r="A2176">
            <v>3270307</v>
          </cell>
          <cell r="T2176">
            <v>0</v>
          </cell>
          <cell r="U2176">
            <v>0</v>
          </cell>
        </row>
        <row r="2177">
          <cell r="A2177">
            <v>3270308</v>
          </cell>
          <cell r="T2177">
            <v>0</v>
          </cell>
          <cell r="U2177">
            <v>0</v>
          </cell>
        </row>
        <row r="2178">
          <cell r="A2178">
            <v>3270309</v>
          </cell>
          <cell r="T2178">
            <v>0</v>
          </cell>
          <cell r="U2178">
            <v>0</v>
          </cell>
        </row>
        <row r="2179">
          <cell r="A2179">
            <v>3270310</v>
          </cell>
          <cell r="T2179">
            <v>0</v>
          </cell>
          <cell r="U2179">
            <v>0</v>
          </cell>
        </row>
        <row r="2180">
          <cell r="A2180">
            <v>3270401</v>
          </cell>
          <cell r="T2180">
            <v>0</v>
          </cell>
          <cell r="U2180">
            <v>0</v>
          </cell>
        </row>
        <row r="2181">
          <cell r="A2181">
            <v>3270402</v>
          </cell>
          <cell r="T2181">
            <v>0</v>
          </cell>
          <cell r="U2181">
            <v>0</v>
          </cell>
        </row>
        <row r="2182">
          <cell r="A2182">
            <v>3270403</v>
          </cell>
          <cell r="T2182">
            <v>0</v>
          </cell>
          <cell r="U2182">
            <v>0</v>
          </cell>
        </row>
        <row r="2183">
          <cell r="A2183">
            <v>3270406</v>
          </cell>
          <cell r="T2183">
            <v>0</v>
          </cell>
          <cell r="U2183">
            <v>0</v>
          </cell>
        </row>
        <row r="2184">
          <cell r="A2184">
            <v>3270407</v>
          </cell>
          <cell r="T2184">
            <v>0</v>
          </cell>
          <cell r="U2184">
            <v>0</v>
          </cell>
        </row>
        <row r="2185">
          <cell r="A2185">
            <v>3270408</v>
          </cell>
          <cell r="T2185">
            <v>0</v>
          </cell>
          <cell r="U2185">
            <v>0</v>
          </cell>
        </row>
        <row r="2186">
          <cell r="A2186">
            <v>3270409</v>
          </cell>
          <cell r="T2186">
            <v>0</v>
          </cell>
          <cell r="U2186">
            <v>0</v>
          </cell>
        </row>
        <row r="2187">
          <cell r="A2187">
            <v>3270410</v>
          </cell>
          <cell r="T2187">
            <v>0</v>
          </cell>
          <cell r="U2187">
            <v>0</v>
          </cell>
        </row>
        <row r="2188">
          <cell r="A2188">
            <v>3270501</v>
          </cell>
          <cell r="T2188">
            <v>0</v>
          </cell>
          <cell r="U2188">
            <v>0</v>
          </cell>
        </row>
        <row r="2189">
          <cell r="A2189">
            <v>3270502</v>
          </cell>
          <cell r="T2189">
            <v>0</v>
          </cell>
          <cell r="U2189">
            <v>0</v>
          </cell>
        </row>
        <row r="2190">
          <cell r="A2190">
            <v>3270503</v>
          </cell>
          <cell r="T2190">
            <v>0</v>
          </cell>
          <cell r="U2190">
            <v>0</v>
          </cell>
        </row>
        <row r="2191">
          <cell r="A2191">
            <v>3270506</v>
          </cell>
          <cell r="T2191">
            <v>0</v>
          </cell>
          <cell r="U2191">
            <v>0</v>
          </cell>
        </row>
        <row r="2192">
          <cell r="A2192">
            <v>3270507</v>
          </cell>
          <cell r="T2192">
            <v>0</v>
          </cell>
          <cell r="U2192">
            <v>0</v>
          </cell>
        </row>
        <row r="2193">
          <cell r="A2193">
            <v>3270508</v>
          </cell>
          <cell r="T2193">
            <v>0</v>
          </cell>
          <cell r="U2193">
            <v>0</v>
          </cell>
        </row>
        <row r="2194">
          <cell r="A2194">
            <v>3270509</v>
          </cell>
          <cell r="T2194">
            <v>0</v>
          </cell>
          <cell r="U2194">
            <v>0</v>
          </cell>
        </row>
        <row r="2195">
          <cell r="A2195">
            <v>3270510</v>
          </cell>
          <cell r="T2195">
            <v>0</v>
          </cell>
          <cell r="U2195">
            <v>0</v>
          </cell>
        </row>
        <row r="2196">
          <cell r="A2196">
            <v>3280201</v>
          </cell>
          <cell r="T2196">
            <v>0</v>
          </cell>
          <cell r="U2196">
            <v>0</v>
          </cell>
        </row>
        <row r="2197">
          <cell r="A2197">
            <v>3280202</v>
          </cell>
          <cell r="T2197">
            <v>0</v>
          </cell>
          <cell r="U2197">
            <v>0</v>
          </cell>
        </row>
        <row r="2198">
          <cell r="A2198">
            <v>3280203</v>
          </cell>
          <cell r="T2198">
            <v>0</v>
          </cell>
          <cell r="U2198">
            <v>0</v>
          </cell>
        </row>
        <row r="2199">
          <cell r="A2199">
            <v>3280206</v>
          </cell>
          <cell r="T2199">
            <v>0</v>
          </cell>
          <cell r="U2199">
            <v>0</v>
          </cell>
        </row>
        <row r="2200">
          <cell r="A2200">
            <v>3280207</v>
          </cell>
          <cell r="T2200">
            <v>0</v>
          </cell>
          <cell r="U2200">
            <v>0</v>
          </cell>
        </row>
        <row r="2201">
          <cell r="A2201">
            <v>3280208</v>
          </cell>
          <cell r="T2201">
            <v>0</v>
          </cell>
          <cell r="U2201">
            <v>0</v>
          </cell>
        </row>
        <row r="2202">
          <cell r="A2202">
            <v>3280209</v>
          </cell>
          <cell r="T2202">
            <v>0</v>
          </cell>
          <cell r="U2202">
            <v>0</v>
          </cell>
        </row>
        <row r="2203">
          <cell r="A2203">
            <v>3280210</v>
          </cell>
          <cell r="T2203">
            <v>0</v>
          </cell>
          <cell r="U2203">
            <v>0</v>
          </cell>
        </row>
        <row r="2204">
          <cell r="A2204">
            <v>3280301</v>
          </cell>
          <cell r="T2204">
            <v>0</v>
          </cell>
          <cell r="U2204">
            <v>0</v>
          </cell>
        </row>
        <row r="2205">
          <cell r="A2205">
            <v>3280302</v>
          </cell>
          <cell r="T2205">
            <v>0</v>
          </cell>
          <cell r="U2205">
            <v>0</v>
          </cell>
        </row>
        <row r="2206">
          <cell r="A2206">
            <v>3280303</v>
          </cell>
          <cell r="T2206">
            <v>0</v>
          </cell>
          <cell r="U2206">
            <v>0</v>
          </cell>
        </row>
        <row r="2207">
          <cell r="A2207">
            <v>3280306</v>
          </cell>
          <cell r="T2207">
            <v>0</v>
          </cell>
          <cell r="U2207">
            <v>0</v>
          </cell>
        </row>
        <row r="2208">
          <cell r="A2208">
            <v>3280307</v>
          </cell>
          <cell r="T2208">
            <v>0</v>
          </cell>
          <cell r="U2208">
            <v>0</v>
          </cell>
        </row>
        <row r="2209">
          <cell r="A2209">
            <v>3280308</v>
          </cell>
          <cell r="T2209">
            <v>0</v>
          </cell>
          <cell r="U2209">
            <v>0</v>
          </cell>
        </row>
        <row r="2210">
          <cell r="A2210">
            <v>3280309</v>
          </cell>
          <cell r="T2210">
            <v>0</v>
          </cell>
          <cell r="U2210">
            <v>0</v>
          </cell>
        </row>
        <row r="2211">
          <cell r="A2211">
            <v>3280310</v>
          </cell>
          <cell r="T2211">
            <v>0</v>
          </cell>
          <cell r="U2211">
            <v>0</v>
          </cell>
        </row>
        <row r="2212">
          <cell r="A2212">
            <v>3280401</v>
          </cell>
          <cell r="T2212">
            <v>0</v>
          </cell>
          <cell r="U2212">
            <v>0</v>
          </cell>
        </row>
        <row r="2213">
          <cell r="A2213">
            <v>3280402</v>
          </cell>
          <cell r="T2213">
            <v>0</v>
          </cell>
          <cell r="U2213">
            <v>0</v>
          </cell>
        </row>
        <row r="2214">
          <cell r="A2214">
            <v>3280403</v>
          </cell>
          <cell r="T2214">
            <v>0</v>
          </cell>
          <cell r="U2214">
            <v>0</v>
          </cell>
        </row>
        <row r="2215">
          <cell r="A2215">
            <v>3280406</v>
          </cell>
          <cell r="T2215">
            <v>0</v>
          </cell>
          <cell r="U2215">
            <v>0</v>
          </cell>
        </row>
        <row r="2216">
          <cell r="A2216">
            <v>3280407</v>
          </cell>
          <cell r="T2216">
            <v>0</v>
          </cell>
          <cell r="U2216">
            <v>0</v>
          </cell>
        </row>
        <row r="2217">
          <cell r="A2217">
            <v>3280408</v>
          </cell>
          <cell r="T2217">
            <v>0</v>
          </cell>
          <cell r="U2217">
            <v>0</v>
          </cell>
        </row>
        <row r="2218">
          <cell r="A2218">
            <v>3280409</v>
          </cell>
          <cell r="T2218">
            <v>0</v>
          </cell>
          <cell r="U2218">
            <v>0</v>
          </cell>
        </row>
        <row r="2219">
          <cell r="A2219">
            <v>3280410</v>
          </cell>
          <cell r="T2219">
            <v>0</v>
          </cell>
          <cell r="U2219">
            <v>0</v>
          </cell>
        </row>
        <row r="2220">
          <cell r="A2220">
            <v>3280501</v>
          </cell>
          <cell r="T2220">
            <v>0</v>
          </cell>
          <cell r="U2220">
            <v>0</v>
          </cell>
        </row>
        <row r="2221">
          <cell r="A2221">
            <v>3280502</v>
          </cell>
          <cell r="T2221">
            <v>0</v>
          </cell>
          <cell r="U2221">
            <v>0</v>
          </cell>
        </row>
        <row r="2222">
          <cell r="A2222">
            <v>3280503</v>
          </cell>
          <cell r="T2222">
            <v>0</v>
          </cell>
          <cell r="U2222">
            <v>0</v>
          </cell>
        </row>
        <row r="2223">
          <cell r="A2223">
            <v>3280506</v>
          </cell>
          <cell r="T2223">
            <v>0</v>
          </cell>
          <cell r="U2223">
            <v>0</v>
          </cell>
        </row>
        <row r="2224">
          <cell r="A2224">
            <v>3280507</v>
          </cell>
          <cell r="T2224">
            <v>0</v>
          </cell>
          <cell r="U2224">
            <v>0</v>
          </cell>
        </row>
        <row r="2225">
          <cell r="A2225">
            <v>3280508</v>
          </cell>
          <cell r="T2225">
            <v>0</v>
          </cell>
          <cell r="U2225">
            <v>0</v>
          </cell>
        </row>
        <row r="2226">
          <cell r="A2226">
            <v>3280509</v>
          </cell>
          <cell r="T2226">
            <v>0</v>
          </cell>
          <cell r="U2226">
            <v>0</v>
          </cell>
        </row>
        <row r="2227">
          <cell r="A2227">
            <v>3280510</v>
          </cell>
          <cell r="T2227">
            <v>0</v>
          </cell>
          <cell r="U2227">
            <v>0</v>
          </cell>
        </row>
        <row r="2228">
          <cell r="A2228">
            <v>3290201</v>
          </cell>
          <cell r="T2228">
            <v>0</v>
          </cell>
          <cell r="U2228">
            <v>0</v>
          </cell>
        </row>
        <row r="2229">
          <cell r="A2229">
            <v>3290202</v>
          </cell>
          <cell r="T2229">
            <v>0</v>
          </cell>
          <cell r="U2229">
            <v>0</v>
          </cell>
        </row>
        <row r="2230">
          <cell r="A2230">
            <v>3290203</v>
          </cell>
          <cell r="T2230">
            <v>0</v>
          </cell>
          <cell r="U2230">
            <v>0</v>
          </cell>
        </row>
        <row r="2231">
          <cell r="A2231">
            <v>3290206</v>
          </cell>
          <cell r="T2231">
            <v>0</v>
          </cell>
          <cell r="U2231">
            <v>0</v>
          </cell>
        </row>
        <row r="2232">
          <cell r="A2232">
            <v>3290207</v>
          </cell>
          <cell r="T2232">
            <v>0</v>
          </cell>
          <cell r="U2232">
            <v>0</v>
          </cell>
        </row>
        <row r="2233">
          <cell r="A2233">
            <v>3290208</v>
          </cell>
          <cell r="T2233">
            <v>0</v>
          </cell>
          <cell r="U2233">
            <v>0</v>
          </cell>
        </row>
        <row r="2234">
          <cell r="A2234">
            <v>3290209</v>
          </cell>
          <cell r="T2234">
            <v>0</v>
          </cell>
          <cell r="U2234">
            <v>0</v>
          </cell>
        </row>
        <row r="2235">
          <cell r="A2235">
            <v>3290210</v>
          </cell>
          <cell r="T2235">
            <v>0</v>
          </cell>
          <cell r="U2235">
            <v>0</v>
          </cell>
        </row>
        <row r="2236">
          <cell r="A2236">
            <v>3290301</v>
          </cell>
          <cell r="T2236">
            <v>0</v>
          </cell>
          <cell r="U2236">
            <v>0</v>
          </cell>
        </row>
        <row r="2237">
          <cell r="A2237">
            <v>3290302</v>
          </cell>
          <cell r="T2237">
            <v>0</v>
          </cell>
          <cell r="U2237">
            <v>0</v>
          </cell>
        </row>
        <row r="2238">
          <cell r="A2238">
            <v>3290303</v>
          </cell>
          <cell r="T2238">
            <v>0</v>
          </cell>
          <cell r="U2238">
            <v>0</v>
          </cell>
        </row>
        <row r="2239">
          <cell r="A2239">
            <v>3290306</v>
          </cell>
          <cell r="T2239">
            <v>0</v>
          </cell>
          <cell r="U2239">
            <v>0</v>
          </cell>
        </row>
        <row r="2240">
          <cell r="A2240">
            <v>3290307</v>
          </cell>
          <cell r="T2240">
            <v>0</v>
          </cell>
          <cell r="U2240">
            <v>0</v>
          </cell>
        </row>
        <row r="2241">
          <cell r="A2241">
            <v>3290308</v>
          </cell>
          <cell r="T2241">
            <v>0</v>
          </cell>
          <cell r="U2241">
            <v>0</v>
          </cell>
        </row>
        <row r="2242">
          <cell r="A2242">
            <v>3290309</v>
          </cell>
          <cell r="T2242">
            <v>0</v>
          </cell>
          <cell r="U2242">
            <v>0</v>
          </cell>
        </row>
        <row r="2243">
          <cell r="A2243">
            <v>3290310</v>
          </cell>
          <cell r="T2243">
            <v>0</v>
          </cell>
          <cell r="U2243">
            <v>0</v>
          </cell>
        </row>
        <row r="2244">
          <cell r="A2244">
            <v>3290401</v>
          </cell>
          <cell r="T2244">
            <v>0</v>
          </cell>
          <cell r="U2244">
            <v>0</v>
          </cell>
        </row>
        <row r="2245">
          <cell r="A2245">
            <v>3290402</v>
          </cell>
          <cell r="T2245">
            <v>0</v>
          </cell>
          <cell r="U2245">
            <v>0</v>
          </cell>
        </row>
        <row r="2246">
          <cell r="A2246">
            <v>3290403</v>
          </cell>
          <cell r="T2246">
            <v>0</v>
          </cell>
          <cell r="U2246">
            <v>0</v>
          </cell>
        </row>
        <row r="2247">
          <cell r="A2247">
            <v>3290406</v>
          </cell>
          <cell r="T2247">
            <v>0</v>
          </cell>
          <cell r="U2247">
            <v>0</v>
          </cell>
        </row>
        <row r="2248">
          <cell r="A2248">
            <v>3290407</v>
          </cell>
          <cell r="T2248">
            <v>0</v>
          </cell>
          <cell r="U2248">
            <v>0</v>
          </cell>
        </row>
        <row r="2249">
          <cell r="A2249">
            <v>3290408</v>
          </cell>
          <cell r="T2249">
            <v>0</v>
          </cell>
          <cell r="U2249">
            <v>0</v>
          </cell>
        </row>
        <row r="2250">
          <cell r="A2250">
            <v>3290409</v>
          </cell>
          <cell r="T2250">
            <v>0</v>
          </cell>
          <cell r="U2250">
            <v>0</v>
          </cell>
        </row>
        <row r="2251">
          <cell r="A2251">
            <v>3290410</v>
          </cell>
          <cell r="T2251">
            <v>0</v>
          </cell>
          <cell r="U2251">
            <v>0</v>
          </cell>
        </row>
        <row r="2252">
          <cell r="A2252">
            <v>3290501</v>
          </cell>
          <cell r="T2252">
            <v>0</v>
          </cell>
          <cell r="U2252">
            <v>0</v>
          </cell>
        </row>
        <row r="2253">
          <cell r="A2253">
            <v>3290502</v>
          </cell>
          <cell r="T2253">
            <v>0</v>
          </cell>
          <cell r="U2253">
            <v>0</v>
          </cell>
        </row>
        <row r="2254">
          <cell r="A2254">
            <v>3290503</v>
          </cell>
          <cell r="T2254">
            <v>0</v>
          </cell>
          <cell r="U2254">
            <v>0</v>
          </cell>
        </row>
        <row r="2255">
          <cell r="A2255">
            <v>3290506</v>
          </cell>
          <cell r="T2255">
            <v>0</v>
          </cell>
          <cell r="U2255">
            <v>0</v>
          </cell>
        </row>
        <row r="2256">
          <cell r="A2256">
            <v>3290507</v>
          </cell>
          <cell r="T2256">
            <v>0</v>
          </cell>
          <cell r="U2256">
            <v>0</v>
          </cell>
        </row>
        <row r="2257">
          <cell r="A2257">
            <v>3290508</v>
          </cell>
          <cell r="T2257">
            <v>0</v>
          </cell>
          <cell r="U2257">
            <v>0</v>
          </cell>
        </row>
        <row r="2258">
          <cell r="A2258">
            <v>3290509</v>
          </cell>
          <cell r="T2258">
            <v>0</v>
          </cell>
          <cell r="U2258">
            <v>0</v>
          </cell>
        </row>
        <row r="2259">
          <cell r="A2259">
            <v>3290510</v>
          </cell>
          <cell r="T2259">
            <v>0</v>
          </cell>
          <cell r="U2259">
            <v>0</v>
          </cell>
        </row>
        <row r="2260">
          <cell r="A2260">
            <v>3300201</v>
          </cell>
          <cell r="T2260">
            <v>0</v>
          </cell>
          <cell r="U2260">
            <v>0</v>
          </cell>
        </row>
        <row r="2261">
          <cell r="A2261">
            <v>3300202</v>
          </cell>
          <cell r="T2261">
            <v>0</v>
          </cell>
          <cell r="U2261">
            <v>0</v>
          </cell>
        </row>
        <row r="2262">
          <cell r="A2262">
            <v>3300203</v>
          </cell>
          <cell r="T2262">
            <v>0</v>
          </cell>
          <cell r="U2262">
            <v>0</v>
          </cell>
        </row>
        <row r="2263">
          <cell r="A2263">
            <v>3300206</v>
          </cell>
          <cell r="T2263">
            <v>0</v>
          </cell>
          <cell r="U2263">
            <v>0</v>
          </cell>
        </row>
        <row r="2264">
          <cell r="A2264">
            <v>3300207</v>
          </cell>
          <cell r="T2264">
            <v>0</v>
          </cell>
          <cell r="U2264">
            <v>0</v>
          </cell>
        </row>
        <row r="2265">
          <cell r="A2265">
            <v>3300208</v>
          </cell>
          <cell r="T2265">
            <v>0</v>
          </cell>
          <cell r="U2265">
            <v>0</v>
          </cell>
        </row>
        <row r="2266">
          <cell r="A2266">
            <v>3300209</v>
          </cell>
          <cell r="T2266">
            <v>0</v>
          </cell>
          <cell r="U2266">
            <v>0</v>
          </cell>
        </row>
        <row r="2267">
          <cell r="A2267">
            <v>3300210</v>
          </cell>
          <cell r="T2267">
            <v>0</v>
          </cell>
          <cell r="U2267">
            <v>0</v>
          </cell>
        </row>
        <row r="2268">
          <cell r="A2268">
            <v>3300301</v>
          </cell>
          <cell r="T2268">
            <v>0</v>
          </cell>
          <cell r="U2268">
            <v>0</v>
          </cell>
        </row>
        <row r="2269">
          <cell r="A2269">
            <v>3300302</v>
          </cell>
          <cell r="T2269">
            <v>0</v>
          </cell>
          <cell r="U2269">
            <v>0</v>
          </cell>
        </row>
        <row r="2270">
          <cell r="A2270">
            <v>3300303</v>
          </cell>
          <cell r="T2270">
            <v>0</v>
          </cell>
          <cell r="U2270">
            <v>0</v>
          </cell>
        </row>
        <row r="2271">
          <cell r="A2271">
            <v>3300306</v>
          </cell>
          <cell r="T2271">
            <v>0</v>
          </cell>
          <cell r="U2271">
            <v>0</v>
          </cell>
        </row>
        <row r="2272">
          <cell r="A2272">
            <v>3300307</v>
          </cell>
          <cell r="T2272">
            <v>0</v>
          </cell>
          <cell r="U2272">
            <v>0</v>
          </cell>
        </row>
        <row r="2273">
          <cell r="A2273">
            <v>3300308</v>
          </cell>
          <cell r="T2273">
            <v>0</v>
          </cell>
          <cell r="U2273">
            <v>0</v>
          </cell>
        </row>
        <row r="2274">
          <cell r="A2274">
            <v>3300309</v>
          </cell>
          <cell r="T2274">
            <v>0</v>
          </cell>
          <cell r="U2274">
            <v>0</v>
          </cell>
        </row>
        <row r="2275">
          <cell r="A2275">
            <v>3300310</v>
          </cell>
          <cell r="T2275">
            <v>0</v>
          </cell>
          <cell r="U2275">
            <v>0</v>
          </cell>
        </row>
        <row r="2276">
          <cell r="A2276">
            <v>3300401</v>
          </cell>
          <cell r="T2276">
            <v>0</v>
          </cell>
          <cell r="U2276">
            <v>0</v>
          </cell>
        </row>
        <row r="2277">
          <cell r="A2277">
            <v>3300402</v>
          </cell>
          <cell r="T2277">
            <v>0</v>
          </cell>
          <cell r="U2277">
            <v>0</v>
          </cell>
        </row>
        <row r="2278">
          <cell r="A2278">
            <v>3300403</v>
          </cell>
          <cell r="T2278">
            <v>0</v>
          </cell>
          <cell r="U2278">
            <v>0</v>
          </cell>
        </row>
        <row r="2279">
          <cell r="A2279">
            <v>3300406</v>
          </cell>
          <cell r="T2279">
            <v>0</v>
          </cell>
          <cell r="U2279">
            <v>0</v>
          </cell>
        </row>
        <row r="2280">
          <cell r="A2280">
            <v>3300407</v>
          </cell>
          <cell r="T2280">
            <v>0</v>
          </cell>
          <cell r="U2280">
            <v>0</v>
          </cell>
        </row>
        <row r="2281">
          <cell r="A2281">
            <v>3300408</v>
          </cell>
          <cell r="T2281">
            <v>0</v>
          </cell>
          <cell r="U2281">
            <v>0</v>
          </cell>
        </row>
        <row r="2282">
          <cell r="A2282">
            <v>3300409</v>
          </cell>
          <cell r="T2282">
            <v>0</v>
          </cell>
          <cell r="U2282">
            <v>0</v>
          </cell>
        </row>
        <row r="2283">
          <cell r="A2283">
            <v>3300410</v>
          </cell>
          <cell r="T2283">
            <v>0</v>
          </cell>
          <cell r="U2283">
            <v>0</v>
          </cell>
        </row>
        <row r="2284">
          <cell r="A2284">
            <v>3300501</v>
          </cell>
          <cell r="T2284">
            <v>0</v>
          </cell>
          <cell r="U2284">
            <v>0</v>
          </cell>
        </row>
        <row r="2285">
          <cell r="A2285">
            <v>3300502</v>
          </cell>
          <cell r="T2285">
            <v>0</v>
          </cell>
          <cell r="U2285">
            <v>0</v>
          </cell>
        </row>
        <row r="2286">
          <cell r="A2286">
            <v>3300503</v>
          </cell>
          <cell r="T2286">
            <v>0</v>
          </cell>
          <cell r="U2286">
            <v>0</v>
          </cell>
        </row>
        <row r="2287">
          <cell r="A2287">
            <v>3300506</v>
          </cell>
          <cell r="T2287">
            <v>0</v>
          </cell>
          <cell r="U2287">
            <v>0</v>
          </cell>
        </row>
        <row r="2288">
          <cell r="A2288">
            <v>3300507</v>
          </cell>
          <cell r="T2288">
            <v>0</v>
          </cell>
          <cell r="U2288">
            <v>0</v>
          </cell>
        </row>
        <row r="2289">
          <cell r="A2289">
            <v>3300508</v>
          </cell>
          <cell r="T2289">
            <v>0</v>
          </cell>
          <cell r="U2289">
            <v>0</v>
          </cell>
        </row>
        <row r="2290">
          <cell r="A2290">
            <v>3300509</v>
          </cell>
          <cell r="T2290">
            <v>0</v>
          </cell>
          <cell r="U2290">
            <v>0</v>
          </cell>
        </row>
        <row r="2291">
          <cell r="A2291">
            <v>3300510</v>
          </cell>
          <cell r="T2291">
            <v>0</v>
          </cell>
          <cell r="U2291">
            <v>0</v>
          </cell>
        </row>
        <row r="2292">
          <cell r="A2292">
            <v>3200601</v>
          </cell>
          <cell r="T2292">
            <v>0</v>
          </cell>
          <cell r="U2292">
            <v>0</v>
          </cell>
        </row>
        <row r="2293">
          <cell r="A2293">
            <v>3200602</v>
          </cell>
          <cell r="T2293">
            <v>0</v>
          </cell>
          <cell r="U2293">
            <v>0</v>
          </cell>
        </row>
        <row r="2294">
          <cell r="A2294">
            <v>3200603</v>
          </cell>
          <cell r="T2294">
            <v>0</v>
          </cell>
          <cell r="U2294">
            <v>0</v>
          </cell>
        </row>
        <row r="2295">
          <cell r="A2295">
            <v>3200606</v>
          </cell>
          <cell r="T2295">
            <v>0</v>
          </cell>
          <cell r="U2295">
            <v>0</v>
          </cell>
        </row>
        <row r="2296">
          <cell r="A2296">
            <v>3200607</v>
          </cell>
          <cell r="T2296">
            <v>0</v>
          </cell>
          <cell r="U2296">
            <v>0</v>
          </cell>
        </row>
        <row r="2297">
          <cell r="A2297">
            <v>3200608</v>
          </cell>
          <cell r="T2297">
            <v>0</v>
          </cell>
          <cell r="U2297">
            <v>0</v>
          </cell>
        </row>
        <row r="2298">
          <cell r="A2298">
            <v>3200609</v>
          </cell>
          <cell r="T2298">
            <v>0</v>
          </cell>
          <cell r="U2298">
            <v>0</v>
          </cell>
        </row>
        <row r="2299">
          <cell r="A2299">
            <v>3200610</v>
          </cell>
          <cell r="T2299">
            <v>0</v>
          </cell>
          <cell r="U2299">
            <v>0</v>
          </cell>
        </row>
        <row r="2300">
          <cell r="A2300">
            <v>3210601</v>
          </cell>
          <cell r="T2300">
            <v>0</v>
          </cell>
          <cell r="U2300">
            <v>0</v>
          </cell>
        </row>
        <row r="2301">
          <cell r="A2301">
            <v>3210602</v>
          </cell>
          <cell r="T2301">
            <v>0</v>
          </cell>
          <cell r="U2301">
            <v>0</v>
          </cell>
        </row>
        <row r="2302">
          <cell r="A2302">
            <v>3210603</v>
          </cell>
          <cell r="T2302">
            <v>0</v>
          </cell>
          <cell r="U2302">
            <v>0</v>
          </cell>
        </row>
        <row r="2303">
          <cell r="A2303">
            <v>3210606</v>
          </cell>
          <cell r="T2303">
            <v>0</v>
          </cell>
          <cell r="U2303">
            <v>0</v>
          </cell>
        </row>
        <row r="2304">
          <cell r="A2304">
            <v>3210607</v>
          </cell>
          <cell r="T2304">
            <v>0</v>
          </cell>
          <cell r="U2304">
            <v>0</v>
          </cell>
        </row>
        <row r="2305">
          <cell r="A2305">
            <v>3210608</v>
          </cell>
          <cell r="T2305">
            <v>0</v>
          </cell>
          <cell r="U2305">
            <v>0</v>
          </cell>
        </row>
        <row r="2306">
          <cell r="A2306">
            <v>3210609</v>
          </cell>
          <cell r="T2306">
            <v>0</v>
          </cell>
          <cell r="U2306">
            <v>0</v>
          </cell>
        </row>
        <row r="2307">
          <cell r="A2307">
            <v>3210610</v>
          </cell>
          <cell r="T2307">
            <v>0</v>
          </cell>
          <cell r="U2307">
            <v>0</v>
          </cell>
        </row>
        <row r="2308">
          <cell r="A2308">
            <v>3220601</v>
          </cell>
          <cell r="T2308">
            <v>0</v>
          </cell>
          <cell r="U2308">
            <v>0</v>
          </cell>
        </row>
        <row r="2309">
          <cell r="A2309">
            <v>3220602</v>
          </cell>
          <cell r="T2309">
            <v>0</v>
          </cell>
          <cell r="U2309">
            <v>0</v>
          </cell>
        </row>
        <row r="2310">
          <cell r="A2310">
            <v>3220603</v>
          </cell>
          <cell r="T2310">
            <v>0</v>
          </cell>
          <cell r="U2310">
            <v>0</v>
          </cell>
        </row>
        <row r="2311">
          <cell r="A2311">
            <v>3220606</v>
          </cell>
          <cell r="T2311">
            <v>0</v>
          </cell>
          <cell r="U2311">
            <v>0</v>
          </cell>
        </row>
        <row r="2312">
          <cell r="A2312">
            <v>3220607</v>
          </cell>
          <cell r="T2312">
            <v>0</v>
          </cell>
          <cell r="U2312">
            <v>0</v>
          </cell>
        </row>
        <row r="2313">
          <cell r="A2313">
            <v>3220608</v>
          </cell>
          <cell r="T2313">
            <v>0</v>
          </cell>
          <cell r="U2313">
            <v>0</v>
          </cell>
        </row>
        <row r="2314">
          <cell r="A2314">
            <v>3220609</v>
          </cell>
          <cell r="T2314">
            <v>0</v>
          </cell>
          <cell r="U2314">
            <v>0</v>
          </cell>
        </row>
        <row r="2315">
          <cell r="A2315">
            <v>3220610</v>
          </cell>
          <cell r="T2315">
            <v>0</v>
          </cell>
          <cell r="U2315">
            <v>0</v>
          </cell>
        </row>
        <row r="2316">
          <cell r="A2316">
            <v>3230601</v>
          </cell>
          <cell r="T2316">
            <v>0</v>
          </cell>
          <cell r="U2316">
            <v>0</v>
          </cell>
        </row>
        <row r="2317">
          <cell r="A2317">
            <v>3230602</v>
          </cell>
          <cell r="T2317">
            <v>0</v>
          </cell>
          <cell r="U2317">
            <v>0</v>
          </cell>
        </row>
        <row r="2318">
          <cell r="A2318">
            <v>3230603</v>
          </cell>
          <cell r="T2318">
            <v>0</v>
          </cell>
          <cell r="U2318">
            <v>0</v>
          </cell>
        </row>
        <row r="2319">
          <cell r="A2319">
            <v>3230606</v>
          </cell>
          <cell r="T2319">
            <v>0</v>
          </cell>
          <cell r="U2319">
            <v>0</v>
          </cell>
        </row>
        <row r="2320">
          <cell r="A2320">
            <v>3230607</v>
          </cell>
          <cell r="T2320">
            <v>0</v>
          </cell>
          <cell r="U2320">
            <v>0</v>
          </cell>
        </row>
        <row r="2321">
          <cell r="A2321">
            <v>3230608</v>
          </cell>
          <cell r="T2321">
            <v>0</v>
          </cell>
          <cell r="U2321">
            <v>0</v>
          </cell>
        </row>
        <row r="2322">
          <cell r="A2322">
            <v>3230609</v>
          </cell>
          <cell r="T2322">
            <v>0</v>
          </cell>
          <cell r="U2322">
            <v>0</v>
          </cell>
        </row>
        <row r="2323">
          <cell r="A2323">
            <v>3230610</v>
          </cell>
          <cell r="T2323">
            <v>0</v>
          </cell>
          <cell r="U2323">
            <v>0</v>
          </cell>
        </row>
        <row r="2324">
          <cell r="A2324">
            <v>3240601</v>
          </cell>
          <cell r="T2324">
            <v>0</v>
          </cell>
          <cell r="U2324">
            <v>0</v>
          </cell>
        </row>
        <row r="2325">
          <cell r="A2325">
            <v>3240602</v>
          </cell>
          <cell r="T2325">
            <v>0</v>
          </cell>
          <cell r="U2325">
            <v>0</v>
          </cell>
        </row>
        <row r="2326">
          <cell r="A2326">
            <v>3240603</v>
          </cell>
          <cell r="T2326">
            <v>0</v>
          </cell>
          <cell r="U2326">
            <v>0</v>
          </cell>
        </row>
        <row r="2327">
          <cell r="A2327">
            <v>3240606</v>
          </cell>
          <cell r="T2327">
            <v>0</v>
          </cell>
          <cell r="U2327">
            <v>0</v>
          </cell>
        </row>
        <row r="2328">
          <cell r="A2328">
            <v>3240607</v>
          </cell>
          <cell r="T2328">
            <v>0</v>
          </cell>
          <cell r="U2328">
            <v>0</v>
          </cell>
        </row>
        <row r="2329">
          <cell r="A2329">
            <v>3240608</v>
          </cell>
          <cell r="T2329">
            <v>0</v>
          </cell>
          <cell r="U2329">
            <v>0</v>
          </cell>
        </row>
        <row r="2330">
          <cell r="A2330">
            <v>3240609</v>
          </cell>
          <cell r="T2330">
            <v>0</v>
          </cell>
          <cell r="U2330">
            <v>0</v>
          </cell>
        </row>
        <row r="2331">
          <cell r="A2331">
            <v>3240610</v>
          </cell>
          <cell r="T2331">
            <v>0</v>
          </cell>
          <cell r="U2331">
            <v>0</v>
          </cell>
        </row>
        <row r="2332">
          <cell r="A2332">
            <v>3250601</v>
          </cell>
          <cell r="T2332">
            <v>0</v>
          </cell>
          <cell r="U2332">
            <v>0</v>
          </cell>
        </row>
        <row r="2333">
          <cell r="A2333">
            <v>3250602</v>
          </cell>
          <cell r="T2333">
            <v>0</v>
          </cell>
          <cell r="U2333">
            <v>0</v>
          </cell>
        </row>
        <row r="2334">
          <cell r="A2334">
            <v>3250603</v>
          </cell>
          <cell r="T2334">
            <v>0</v>
          </cell>
          <cell r="U2334">
            <v>0</v>
          </cell>
        </row>
        <row r="2335">
          <cell r="A2335">
            <v>3250606</v>
          </cell>
          <cell r="T2335">
            <v>0</v>
          </cell>
          <cell r="U2335">
            <v>0</v>
          </cell>
        </row>
        <row r="2336">
          <cell r="A2336">
            <v>3250607</v>
          </cell>
          <cell r="T2336">
            <v>0</v>
          </cell>
          <cell r="U2336">
            <v>0</v>
          </cell>
        </row>
        <row r="2337">
          <cell r="A2337">
            <v>3250608</v>
          </cell>
          <cell r="T2337">
            <v>0</v>
          </cell>
          <cell r="U2337">
            <v>0</v>
          </cell>
        </row>
        <row r="2338">
          <cell r="A2338">
            <v>3250609</v>
          </cell>
          <cell r="T2338">
            <v>0</v>
          </cell>
          <cell r="U2338">
            <v>0</v>
          </cell>
        </row>
        <row r="2339">
          <cell r="A2339">
            <v>3250610</v>
          </cell>
          <cell r="T2339">
            <v>0</v>
          </cell>
          <cell r="U2339">
            <v>0</v>
          </cell>
        </row>
        <row r="2340">
          <cell r="A2340">
            <v>3260601</v>
          </cell>
          <cell r="T2340">
            <v>0</v>
          </cell>
          <cell r="U2340">
            <v>0</v>
          </cell>
        </row>
        <row r="2341">
          <cell r="A2341">
            <v>3260602</v>
          </cell>
          <cell r="T2341">
            <v>0</v>
          </cell>
          <cell r="U2341">
            <v>0</v>
          </cell>
        </row>
        <row r="2342">
          <cell r="A2342">
            <v>3260603</v>
          </cell>
          <cell r="T2342">
            <v>0</v>
          </cell>
          <cell r="U2342">
            <v>0</v>
          </cell>
        </row>
        <row r="2343">
          <cell r="A2343">
            <v>3260606</v>
          </cell>
          <cell r="T2343">
            <v>0</v>
          </cell>
          <cell r="U2343">
            <v>0</v>
          </cell>
        </row>
        <row r="2344">
          <cell r="A2344">
            <v>3260607</v>
          </cell>
          <cell r="T2344">
            <v>0</v>
          </cell>
          <cell r="U2344">
            <v>0</v>
          </cell>
        </row>
        <row r="2345">
          <cell r="A2345">
            <v>3260608</v>
          </cell>
          <cell r="T2345">
            <v>0</v>
          </cell>
          <cell r="U2345">
            <v>0</v>
          </cell>
        </row>
        <row r="2346">
          <cell r="A2346">
            <v>3260609</v>
          </cell>
          <cell r="T2346">
            <v>0</v>
          </cell>
          <cell r="U2346">
            <v>0</v>
          </cell>
        </row>
        <row r="2347">
          <cell r="A2347">
            <v>3260610</v>
          </cell>
          <cell r="T2347">
            <v>0</v>
          </cell>
          <cell r="U2347">
            <v>0</v>
          </cell>
        </row>
        <row r="2348">
          <cell r="A2348">
            <v>3270601</v>
          </cell>
          <cell r="T2348">
            <v>0</v>
          </cell>
          <cell r="U2348">
            <v>0</v>
          </cell>
        </row>
        <row r="2349">
          <cell r="A2349">
            <v>3270602</v>
          </cell>
          <cell r="T2349">
            <v>0</v>
          </cell>
          <cell r="U2349">
            <v>0</v>
          </cell>
        </row>
        <row r="2350">
          <cell r="A2350">
            <v>3270603</v>
          </cell>
          <cell r="T2350">
            <v>0</v>
          </cell>
          <cell r="U2350">
            <v>0</v>
          </cell>
        </row>
        <row r="2351">
          <cell r="A2351">
            <v>3270606</v>
          </cell>
          <cell r="T2351">
            <v>0</v>
          </cell>
          <cell r="U2351">
            <v>0</v>
          </cell>
        </row>
        <row r="2352">
          <cell r="A2352">
            <v>3270607</v>
          </cell>
          <cell r="T2352">
            <v>0</v>
          </cell>
          <cell r="U2352">
            <v>0</v>
          </cell>
        </row>
        <row r="2353">
          <cell r="A2353">
            <v>3270608</v>
          </cell>
          <cell r="T2353">
            <v>0</v>
          </cell>
          <cell r="U2353">
            <v>0</v>
          </cell>
        </row>
        <row r="2354">
          <cell r="A2354">
            <v>3270609</v>
          </cell>
          <cell r="T2354">
            <v>0</v>
          </cell>
          <cell r="U2354">
            <v>0</v>
          </cell>
        </row>
        <row r="2355">
          <cell r="A2355">
            <v>3270610</v>
          </cell>
          <cell r="T2355">
            <v>0</v>
          </cell>
          <cell r="U2355">
            <v>0</v>
          </cell>
        </row>
        <row r="2356">
          <cell r="A2356">
            <v>3280601</v>
          </cell>
          <cell r="T2356">
            <v>0</v>
          </cell>
          <cell r="U2356">
            <v>0</v>
          </cell>
        </row>
        <row r="2357">
          <cell r="A2357">
            <v>3280602</v>
          </cell>
          <cell r="T2357">
            <v>0</v>
          </cell>
          <cell r="U2357">
            <v>0</v>
          </cell>
        </row>
        <row r="2358">
          <cell r="A2358">
            <v>3280603</v>
          </cell>
          <cell r="T2358">
            <v>0</v>
          </cell>
          <cell r="U2358">
            <v>0</v>
          </cell>
        </row>
        <row r="2359">
          <cell r="A2359">
            <v>3280606</v>
          </cell>
          <cell r="T2359">
            <v>0</v>
          </cell>
          <cell r="U2359">
            <v>0</v>
          </cell>
        </row>
        <row r="2360">
          <cell r="A2360">
            <v>3280607</v>
          </cell>
          <cell r="T2360">
            <v>0</v>
          </cell>
          <cell r="U2360">
            <v>0</v>
          </cell>
        </row>
        <row r="2361">
          <cell r="A2361">
            <v>3280608</v>
          </cell>
          <cell r="T2361">
            <v>0</v>
          </cell>
          <cell r="U2361">
            <v>0</v>
          </cell>
        </row>
        <row r="2362">
          <cell r="A2362">
            <v>3280609</v>
          </cell>
          <cell r="T2362">
            <v>0</v>
          </cell>
          <cell r="U2362">
            <v>0</v>
          </cell>
        </row>
        <row r="2363">
          <cell r="A2363">
            <v>3280610</v>
          </cell>
          <cell r="T2363">
            <v>0</v>
          </cell>
          <cell r="U2363">
            <v>0</v>
          </cell>
        </row>
        <row r="2364">
          <cell r="A2364">
            <v>3290601</v>
          </cell>
          <cell r="T2364">
            <v>0</v>
          </cell>
          <cell r="U2364">
            <v>0</v>
          </cell>
        </row>
        <row r="2365">
          <cell r="A2365">
            <v>3290602</v>
          </cell>
          <cell r="T2365">
            <v>0</v>
          </cell>
          <cell r="U2365">
            <v>0</v>
          </cell>
        </row>
        <row r="2366">
          <cell r="A2366">
            <v>3290603</v>
          </cell>
          <cell r="T2366">
            <v>0</v>
          </cell>
          <cell r="U2366">
            <v>0</v>
          </cell>
        </row>
        <row r="2367">
          <cell r="A2367">
            <v>3290606</v>
          </cell>
          <cell r="T2367">
            <v>0</v>
          </cell>
          <cell r="U2367">
            <v>0</v>
          </cell>
        </row>
        <row r="2368">
          <cell r="A2368">
            <v>3290607</v>
          </cell>
          <cell r="T2368">
            <v>0</v>
          </cell>
          <cell r="U2368">
            <v>0</v>
          </cell>
        </row>
        <row r="2369">
          <cell r="A2369">
            <v>3290608</v>
          </cell>
          <cell r="T2369">
            <v>0</v>
          </cell>
          <cell r="U2369">
            <v>0</v>
          </cell>
        </row>
        <row r="2370">
          <cell r="A2370">
            <v>3290609</v>
          </cell>
          <cell r="T2370">
            <v>0</v>
          </cell>
          <cell r="U2370">
            <v>0</v>
          </cell>
        </row>
        <row r="2371">
          <cell r="A2371">
            <v>3290610</v>
          </cell>
          <cell r="T2371">
            <v>0</v>
          </cell>
          <cell r="U2371">
            <v>0</v>
          </cell>
        </row>
        <row r="2372">
          <cell r="A2372">
            <v>3300601</v>
          </cell>
          <cell r="T2372">
            <v>0</v>
          </cell>
          <cell r="U2372">
            <v>0</v>
          </cell>
        </row>
        <row r="2373">
          <cell r="A2373">
            <v>3300602</v>
          </cell>
          <cell r="T2373">
            <v>0</v>
          </cell>
          <cell r="U2373">
            <v>0</v>
          </cell>
        </row>
        <row r="2374">
          <cell r="A2374">
            <v>3300603</v>
          </cell>
          <cell r="T2374">
            <v>0</v>
          </cell>
          <cell r="U2374">
            <v>0</v>
          </cell>
        </row>
        <row r="2375">
          <cell r="A2375">
            <v>3300606</v>
          </cell>
          <cell r="T2375">
            <v>0</v>
          </cell>
          <cell r="U2375">
            <v>0</v>
          </cell>
        </row>
        <row r="2376">
          <cell r="A2376">
            <v>3300607</v>
          </cell>
          <cell r="T2376">
            <v>0</v>
          </cell>
          <cell r="U2376">
            <v>0</v>
          </cell>
        </row>
        <row r="2377">
          <cell r="A2377">
            <v>3300608</v>
          </cell>
          <cell r="T2377">
            <v>0</v>
          </cell>
          <cell r="U2377">
            <v>0</v>
          </cell>
        </row>
        <row r="2378">
          <cell r="A2378">
            <v>3300609</v>
          </cell>
          <cell r="T2378">
            <v>0</v>
          </cell>
          <cell r="U2378">
            <v>0</v>
          </cell>
        </row>
        <row r="2379">
          <cell r="A2379">
            <v>3300610</v>
          </cell>
          <cell r="T2379">
            <v>0</v>
          </cell>
          <cell r="U2379">
            <v>0</v>
          </cell>
        </row>
        <row r="2380">
          <cell r="A2380">
            <v>6001201</v>
          </cell>
          <cell r="T2380">
            <v>0</v>
          </cell>
          <cell r="U2380">
            <v>0</v>
          </cell>
        </row>
        <row r="2381">
          <cell r="A2381">
            <v>6001202</v>
          </cell>
          <cell r="T2381">
            <v>0</v>
          </cell>
          <cell r="U2381">
            <v>0</v>
          </cell>
        </row>
        <row r="2382">
          <cell r="A2382">
            <v>6001203</v>
          </cell>
          <cell r="T2382">
            <v>0</v>
          </cell>
          <cell r="U2382">
            <v>0</v>
          </cell>
        </row>
        <row r="2383">
          <cell r="A2383">
            <v>6001206</v>
          </cell>
          <cell r="T2383">
            <v>0</v>
          </cell>
          <cell r="U2383">
            <v>0</v>
          </cell>
        </row>
        <row r="2384">
          <cell r="A2384">
            <v>6001207</v>
          </cell>
          <cell r="T2384">
            <v>0</v>
          </cell>
          <cell r="U2384">
            <v>0</v>
          </cell>
        </row>
        <row r="2385">
          <cell r="A2385">
            <v>6001208</v>
          </cell>
          <cell r="T2385">
            <v>0</v>
          </cell>
          <cell r="U2385">
            <v>0</v>
          </cell>
        </row>
        <row r="2386">
          <cell r="A2386">
            <v>6001209</v>
          </cell>
          <cell r="T2386">
            <v>0</v>
          </cell>
          <cell r="U2386">
            <v>0</v>
          </cell>
        </row>
        <row r="2387">
          <cell r="A2387">
            <v>6001210</v>
          </cell>
          <cell r="T2387">
            <v>0</v>
          </cell>
          <cell r="U2387">
            <v>0</v>
          </cell>
        </row>
        <row r="2388">
          <cell r="A2388">
            <v>6001301</v>
          </cell>
          <cell r="T2388">
            <v>0</v>
          </cell>
          <cell r="U2388">
            <v>0</v>
          </cell>
        </row>
        <row r="2389">
          <cell r="A2389">
            <v>6001302</v>
          </cell>
          <cell r="T2389">
            <v>0</v>
          </cell>
          <cell r="U2389">
            <v>0</v>
          </cell>
        </row>
        <row r="2390">
          <cell r="A2390">
            <v>6001303</v>
          </cell>
          <cell r="T2390">
            <v>0</v>
          </cell>
          <cell r="U2390">
            <v>0</v>
          </cell>
        </row>
        <row r="2391">
          <cell r="A2391">
            <v>6001306</v>
          </cell>
          <cell r="T2391">
            <v>0</v>
          </cell>
          <cell r="U2391">
            <v>0</v>
          </cell>
        </row>
        <row r="2392">
          <cell r="A2392">
            <v>6001307</v>
          </cell>
          <cell r="T2392">
            <v>0</v>
          </cell>
          <cell r="U2392">
            <v>0</v>
          </cell>
        </row>
        <row r="2393">
          <cell r="A2393">
            <v>6001308</v>
          </cell>
          <cell r="T2393">
            <v>0</v>
          </cell>
          <cell r="U2393">
            <v>0</v>
          </cell>
        </row>
        <row r="2394">
          <cell r="A2394">
            <v>6001309</v>
          </cell>
          <cell r="T2394">
            <v>0</v>
          </cell>
          <cell r="U2394">
            <v>0</v>
          </cell>
        </row>
        <row r="2395">
          <cell r="A2395">
            <v>6001310</v>
          </cell>
          <cell r="T2395">
            <v>0</v>
          </cell>
          <cell r="U2395">
            <v>0</v>
          </cell>
        </row>
        <row r="2396">
          <cell r="A2396">
            <v>6001401</v>
          </cell>
          <cell r="T2396">
            <v>0</v>
          </cell>
          <cell r="U2396">
            <v>0</v>
          </cell>
        </row>
        <row r="2397">
          <cell r="A2397">
            <v>6001402</v>
          </cell>
          <cell r="T2397">
            <v>0</v>
          </cell>
          <cell r="U2397">
            <v>0</v>
          </cell>
        </row>
        <row r="2398">
          <cell r="A2398">
            <v>6001403</v>
          </cell>
          <cell r="T2398">
            <v>0</v>
          </cell>
          <cell r="U2398">
            <v>0</v>
          </cell>
        </row>
        <row r="2399">
          <cell r="A2399">
            <v>6001406</v>
          </cell>
          <cell r="T2399">
            <v>0</v>
          </cell>
          <cell r="U2399">
            <v>0</v>
          </cell>
        </row>
        <row r="2400">
          <cell r="A2400">
            <v>6001407</v>
          </cell>
          <cell r="T2400">
            <v>0</v>
          </cell>
          <cell r="U2400">
            <v>0</v>
          </cell>
        </row>
        <row r="2401">
          <cell r="A2401">
            <v>6001408</v>
          </cell>
          <cell r="T2401">
            <v>0</v>
          </cell>
          <cell r="U2401">
            <v>0</v>
          </cell>
        </row>
        <row r="2402">
          <cell r="A2402">
            <v>6001409</v>
          </cell>
          <cell r="T2402">
            <v>0</v>
          </cell>
          <cell r="U2402">
            <v>0</v>
          </cell>
        </row>
        <row r="2403">
          <cell r="A2403">
            <v>6001410</v>
          </cell>
          <cell r="T2403">
            <v>0</v>
          </cell>
          <cell r="U2403">
            <v>0</v>
          </cell>
        </row>
        <row r="2404">
          <cell r="A2404">
            <v>6001501</v>
          </cell>
          <cell r="T2404">
            <v>0</v>
          </cell>
          <cell r="U2404">
            <v>0</v>
          </cell>
        </row>
        <row r="2405">
          <cell r="A2405">
            <v>6001502</v>
          </cell>
          <cell r="T2405">
            <v>0</v>
          </cell>
          <cell r="U2405">
            <v>0</v>
          </cell>
        </row>
        <row r="2406">
          <cell r="A2406">
            <v>6001503</v>
          </cell>
          <cell r="T2406">
            <v>0</v>
          </cell>
          <cell r="U2406">
            <v>0</v>
          </cell>
        </row>
        <row r="2407">
          <cell r="A2407">
            <v>6001506</v>
          </cell>
          <cell r="T2407">
            <v>0</v>
          </cell>
          <cell r="U2407">
            <v>0</v>
          </cell>
        </row>
        <row r="2408">
          <cell r="A2408">
            <v>6001507</v>
          </cell>
          <cell r="T2408">
            <v>0</v>
          </cell>
          <cell r="U2408">
            <v>0</v>
          </cell>
        </row>
        <row r="2409">
          <cell r="A2409">
            <v>6001508</v>
          </cell>
          <cell r="T2409">
            <v>0</v>
          </cell>
          <cell r="U2409">
            <v>0</v>
          </cell>
        </row>
        <row r="2410">
          <cell r="A2410">
            <v>6001509</v>
          </cell>
          <cell r="T2410">
            <v>0</v>
          </cell>
          <cell r="U2410">
            <v>0</v>
          </cell>
        </row>
        <row r="2411">
          <cell r="A2411">
            <v>6001510</v>
          </cell>
          <cell r="T2411">
            <v>0</v>
          </cell>
          <cell r="U2411">
            <v>0</v>
          </cell>
        </row>
        <row r="2412">
          <cell r="A2412">
            <v>6025201</v>
          </cell>
          <cell r="T2412">
            <v>0</v>
          </cell>
          <cell r="U2412">
            <v>0</v>
          </cell>
        </row>
        <row r="2413">
          <cell r="A2413">
            <v>6025202</v>
          </cell>
          <cell r="T2413">
            <v>0</v>
          </cell>
          <cell r="U2413">
            <v>0</v>
          </cell>
        </row>
        <row r="2414">
          <cell r="A2414">
            <v>6025203</v>
          </cell>
          <cell r="T2414">
            <v>0</v>
          </cell>
          <cell r="U2414">
            <v>0</v>
          </cell>
        </row>
        <row r="2415">
          <cell r="A2415">
            <v>6025206</v>
          </cell>
          <cell r="T2415">
            <v>0</v>
          </cell>
          <cell r="U2415">
            <v>0</v>
          </cell>
        </row>
        <row r="2416">
          <cell r="A2416">
            <v>6025207</v>
          </cell>
          <cell r="T2416">
            <v>0</v>
          </cell>
          <cell r="U2416">
            <v>0</v>
          </cell>
        </row>
        <row r="2417">
          <cell r="A2417">
            <v>6025208</v>
          </cell>
          <cell r="T2417">
            <v>0</v>
          </cell>
          <cell r="U2417">
            <v>0</v>
          </cell>
        </row>
        <row r="2418">
          <cell r="A2418">
            <v>6025209</v>
          </cell>
          <cell r="T2418">
            <v>0</v>
          </cell>
          <cell r="U2418">
            <v>0</v>
          </cell>
        </row>
        <row r="2419">
          <cell r="A2419">
            <v>6025210</v>
          </cell>
          <cell r="T2419">
            <v>0</v>
          </cell>
          <cell r="U2419">
            <v>0</v>
          </cell>
        </row>
        <row r="2420">
          <cell r="A2420">
            <v>6025301</v>
          </cell>
          <cell r="T2420">
            <v>0</v>
          </cell>
          <cell r="U2420">
            <v>0</v>
          </cell>
        </row>
        <row r="2421">
          <cell r="A2421">
            <v>6025302</v>
          </cell>
          <cell r="T2421">
            <v>0</v>
          </cell>
          <cell r="U2421">
            <v>0</v>
          </cell>
        </row>
        <row r="2422">
          <cell r="A2422">
            <v>6025303</v>
          </cell>
          <cell r="T2422">
            <v>0</v>
          </cell>
          <cell r="U2422">
            <v>0</v>
          </cell>
        </row>
        <row r="2423">
          <cell r="A2423">
            <v>6025306</v>
          </cell>
          <cell r="T2423">
            <v>0</v>
          </cell>
          <cell r="U2423">
            <v>0</v>
          </cell>
        </row>
        <row r="2424">
          <cell r="A2424">
            <v>6025307</v>
          </cell>
          <cell r="T2424">
            <v>0</v>
          </cell>
          <cell r="U2424">
            <v>0</v>
          </cell>
        </row>
        <row r="2425">
          <cell r="A2425">
            <v>6025308</v>
          </cell>
          <cell r="T2425">
            <v>0</v>
          </cell>
          <cell r="U2425">
            <v>0</v>
          </cell>
        </row>
        <row r="2426">
          <cell r="A2426">
            <v>6025309</v>
          </cell>
          <cell r="T2426">
            <v>0</v>
          </cell>
          <cell r="U2426">
            <v>0</v>
          </cell>
        </row>
        <row r="2427">
          <cell r="A2427">
            <v>6025310</v>
          </cell>
          <cell r="T2427">
            <v>0</v>
          </cell>
          <cell r="U2427">
            <v>0</v>
          </cell>
        </row>
        <row r="2428">
          <cell r="A2428">
            <v>6025401</v>
          </cell>
          <cell r="T2428">
            <v>0</v>
          </cell>
          <cell r="U2428">
            <v>0</v>
          </cell>
        </row>
        <row r="2429">
          <cell r="A2429">
            <v>6025402</v>
          </cell>
          <cell r="T2429">
            <v>0</v>
          </cell>
          <cell r="U2429">
            <v>0</v>
          </cell>
        </row>
        <row r="2430">
          <cell r="A2430">
            <v>6025403</v>
          </cell>
          <cell r="T2430">
            <v>0</v>
          </cell>
          <cell r="U2430">
            <v>0</v>
          </cell>
        </row>
        <row r="2431">
          <cell r="A2431">
            <v>6025406</v>
          </cell>
          <cell r="T2431">
            <v>0</v>
          </cell>
          <cell r="U2431">
            <v>0</v>
          </cell>
        </row>
        <row r="2432">
          <cell r="A2432">
            <v>6025407</v>
          </cell>
          <cell r="T2432">
            <v>0</v>
          </cell>
          <cell r="U2432">
            <v>0</v>
          </cell>
        </row>
        <row r="2433">
          <cell r="A2433">
            <v>6025408</v>
          </cell>
          <cell r="T2433">
            <v>0</v>
          </cell>
          <cell r="U2433">
            <v>0</v>
          </cell>
        </row>
        <row r="2434">
          <cell r="A2434">
            <v>6025409</v>
          </cell>
          <cell r="T2434">
            <v>0</v>
          </cell>
          <cell r="U2434">
            <v>0</v>
          </cell>
        </row>
        <row r="2435">
          <cell r="A2435">
            <v>6025410</v>
          </cell>
          <cell r="T2435">
            <v>0</v>
          </cell>
          <cell r="U2435">
            <v>0</v>
          </cell>
        </row>
        <row r="2436">
          <cell r="A2436">
            <v>6025501</v>
          </cell>
          <cell r="T2436">
            <v>0</v>
          </cell>
          <cell r="U2436">
            <v>0</v>
          </cell>
        </row>
        <row r="2437">
          <cell r="A2437">
            <v>6025502</v>
          </cell>
          <cell r="T2437">
            <v>0</v>
          </cell>
          <cell r="U2437">
            <v>0</v>
          </cell>
        </row>
        <row r="2438">
          <cell r="A2438">
            <v>6025503</v>
          </cell>
          <cell r="T2438">
            <v>0</v>
          </cell>
          <cell r="U2438">
            <v>0</v>
          </cell>
        </row>
        <row r="2439">
          <cell r="A2439">
            <v>6025506</v>
          </cell>
          <cell r="T2439">
            <v>0</v>
          </cell>
          <cell r="U2439">
            <v>0</v>
          </cell>
        </row>
        <row r="2440">
          <cell r="A2440">
            <v>6025507</v>
          </cell>
          <cell r="T2440">
            <v>0</v>
          </cell>
          <cell r="U2440">
            <v>0</v>
          </cell>
        </row>
        <row r="2441">
          <cell r="A2441">
            <v>6025508</v>
          </cell>
          <cell r="T2441">
            <v>0</v>
          </cell>
          <cell r="U2441">
            <v>0</v>
          </cell>
        </row>
        <row r="2442">
          <cell r="A2442">
            <v>6025509</v>
          </cell>
          <cell r="T2442">
            <v>0</v>
          </cell>
          <cell r="U2442">
            <v>0</v>
          </cell>
        </row>
        <row r="2443">
          <cell r="A2443">
            <v>6025510</v>
          </cell>
          <cell r="T2443">
            <v>0</v>
          </cell>
          <cell r="U2443">
            <v>0</v>
          </cell>
        </row>
        <row r="2444">
          <cell r="A2444">
            <v>6050201</v>
          </cell>
          <cell r="T2444">
            <v>0</v>
          </cell>
          <cell r="U2444">
            <v>0</v>
          </cell>
        </row>
        <row r="2445">
          <cell r="A2445">
            <v>6050202</v>
          </cell>
          <cell r="T2445">
            <v>0</v>
          </cell>
          <cell r="U2445">
            <v>0</v>
          </cell>
        </row>
        <row r="2446">
          <cell r="A2446">
            <v>6050203</v>
          </cell>
          <cell r="T2446">
            <v>0</v>
          </cell>
          <cell r="U2446">
            <v>0</v>
          </cell>
        </row>
        <row r="2447">
          <cell r="A2447">
            <v>6050206</v>
          </cell>
          <cell r="T2447">
            <v>0</v>
          </cell>
          <cell r="U2447">
            <v>0</v>
          </cell>
        </row>
        <row r="2448">
          <cell r="A2448">
            <v>6050207</v>
          </cell>
          <cell r="T2448">
            <v>0</v>
          </cell>
          <cell r="U2448">
            <v>0</v>
          </cell>
        </row>
        <row r="2449">
          <cell r="A2449">
            <v>6050208</v>
          </cell>
          <cell r="T2449">
            <v>0</v>
          </cell>
          <cell r="U2449">
            <v>0</v>
          </cell>
        </row>
        <row r="2450">
          <cell r="A2450">
            <v>6050209</v>
          </cell>
          <cell r="T2450">
            <v>0</v>
          </cell>
          <cell r="U2450">
            <v>0</v>
          </cell>
        </row>
        <row r="2451">
          <cell r="A2451">
            <v>6050210</v>
          </cell>
          <cell r="T2451">
            <v>0</v>
          </cell>
          <cell r="U2451">
            <v>0</v>
          </cell>
        </row>
        <row r="2452">
          <cell r="A2452">
            <v>6050301</v>
          </cell>
          <cell r="T2452">
            <v>0</v>
          </cell>
          <cell r="U2452">
            <v>0</v>
          </cell>
        </row>
        <row r="2453">
          <cell r="A2453">
            <v>6050302</v>
          </cell>
          <cell r="T2453">
            <v>0</v>
          </cell>
          <cell r="U2453">
            <v>0</v>
          </cell>
        </row>
        <row r="2454">
          <cell r="A2454">
            <v>6050303</v>
          </cell>
          <cell r="T2454">
            <v>0</v>
          </cell>
          <cell r="U2454">
            <v>0</v>
          </cell>
        </row>
        <row r="2455">
          <cell r="A2455">
            <v>6050306</v>
          </cell>
          <cell r="T2455">
            <v>0</v>
          </cell>
          <cell r="U2455">
            <v>0</v>
          </cell>
        </row>
        <row r="2456">
          <cell r="A2456">
            <v>6050307</v>
          </cell>
          <cell r="T2456">
            <v>0</v>
          </cell>
          <cell r="U2456">
            <v>0</v>
          </cell>
        </row>
        <row r="2457">
          <cell r="A2457">
            <v>6050308</v>
          </cell>
          <cell r="T2457">
            <v>0</v>
          </cell>
          <cell r="U2457">
            <v>0</v>
          </cell>
        </row>
        <row r="2458">
          <cell r="A2458">
            <v>6050309</v>
          </cell>
          <cell r="T2458">
            <v>0</v>
          </cell>
          <cell r="U2458">
            <v>0</v>
          </cell>
        </row>
        <row r="2459">
          <cell r="A2459">
            <v>6050310</v>
          </cell>
          <cell r="T2459">
            <v>0</v>
          </cell>
          <cell r="U2459">
            <v>0</v>
          </cell>
        </row>
        <row r="2460">
          <cell r="A2460">
            <v>6050401</v>
          </cell>
          <cell r="T2460">
            <v>0</v>
          </cell>
          <cell r="U2460">
            <v>0</v>
          </cell>
        </row>
        <row r="2461">
          <cell r="A2461">
            <v>6050402</v>
          </cell>
          <cell r="T2461">
            <v>0</v>
          </cell>
          <cell r="U2461">
            <v>0</v>
          </cell>
        </row>
        <row r="2462">
          <cell r="A2462">
            <v>6050403</v>
          </cell>
          <cell r="T2462">
            <v>0</v>
          </cell>
          <cell r="U2462">
            <v>0</v>
          </cell>
        </row>
        <row r="2463">
          <cell r="A2463">
            <v>6050406</v>
          </cell>
          <cell r="T2463">
            <v>0</v>
          </cell>
          <cell r="U2463">
            <v>0</v>
          </cell>
        </row>
        <row r="2464">
          <cell r="A2464">
            <v>6050407</v>
          </cell>
          <cell r="T2464">
            <v>0</v>
          </cell>
          <cell r="U2464">
            <v>0</v>
          </cell>
        </row>
        <row r="2465">
          <cell r="A2465">
            <v>6050408</v>
          </cell>
          <cell r="T2465">
            <v>0</v>
          </cell>
          <cell r="U2465">
            <v>0</v>
          </cell>
        </row>
        <row r="2466">
          <cell r="A2466">
            <v>6050409</v>
          </cell>
          <cell r="T2466">
            <v>0</v>
          </cell>
          <cell r="U2466">
            <v>0</v>
          </cell>
        </row>
        <row r="2467">
          <cell r="A2467">
            <v>6050410</v>
          </cell>
          <cell r="T2467">
            <v>0</v>
          </cell>
          <cell r="U2467">
            <v>0</v>
          </cell>
        </row>
        <row r="2468">
          <cell r="A2468">
            <v>6050501</v>
          </cell>
          <cell r="T2468">
            <v>0</v>
          </cell>
          <cell r="U2468">
            <v>0</v>
          </cell>
        </row>
        <row r="2469">
          <cell r="A2469">
            <v>6050502</v>
          </cell>
          <cell r="T2469">
            <v>0</v>
          </cell>
          <cell r="U2469">
            <v>0</v>
          </cell>
        </row>
        <row r="2470">
          <cell r="A2470">
            <v>6050503</v>
          </cell>
          <cell r="T2470">
            <v>0</v>
          </cell>
          <cell r="U2470">
            <v>0</v>
          </cell>
        </row>
        <row r="2471">
          <cell r="A2471">
            <v>6050506</v>
          </cell>
          <cell r="T2471">
            <v>0</v>
          </cell>
          <cell r="U2471">
            <v>0</v>
          </cell>
        </row>
        <row r="2472">
          <cell r="A2472">
            <v>6050507</v>
          </cell>
          <cell r="T2472">
            <v>0</v>
          </cell>
          <cell r="U2472">
            <v>0</v>
          </cell>
        </row>
        <row r="2473">
          <cell r="A2473">
            <v>6050508</v>
          </cell>
          <cell r="T2473">
            <v>0</v>
          </cell>
          <cell r="U2473">
            <v>0</v>
          </cell>
        </row>
        <row r="2474">
          <cell r="A2474">
            <v>6050509</v>
          </cell>
          <cell r="T2474">
            <v>0</v>
          </cell>
          <cell r="U2474">
            <v>0</v>
          </cell>
        </row>
        <row r="2475">
          <cell r="A2475">
            <v>6050510</v>
          </cell>
          <cell r="T2475">
            <v>0</v>
          </cell>
          <cell r="U2475">
            <v>0</v>
          </cell>
        </row>
        <row r="2476">
          <cell r="A2476">
            <v>6075201</v>
          </cell>
          <cell r="T2476">
            <v>0</v>
          </cell>
          <cell r="U2476">
            <v>0</v>
          </cell>
        </row>
        <row r="2477">
          <cell r="A2477">
            <v>6075202</v>
          </cell>
          <cell r="T2477">
            <v>0</v>
          </cell>
          <cell r="U2477">
            <v>0</v>
          </cell>
        </row>
        <row r="2478">
          <cell r="A2478">
            <v>6075203</v>
          </cell>
          <cell r="T2478">
            <v>0</v>
          </cell>
          <cell r="U2478">
            <v>0</v>
          </cell>
        </row>
        <row r="2479">
          <cell r="A2479">
            <v>6075206</v>
          </cell>
          <cell r="T2479">
            <v>0</v>
          </cell>
          <cell r="U2479">
            <v>0</v>
          </cell>
        </row>
        <row r="2480">
          <cell r="A2480">
            <v>6075207</v>
          </cell>
          <cell r="T2480">
            <v>0</v>
          </cell>
          <cell r="U2480">
            <v>0</v>
          </cell>
        </row>
        <row r="2481">
          <cell r="A2481">
            <v>6075208</v>
          </cell>
          <cell r="T2481">
            <v>0</v>
          </cell>
          <cell r="U2481">
            <v>0</v>
          </cell>
        </row>
        <row r="2482">
          <cell r="A2482">
            <v>6075209</v>
          </cell>
          <cell r="T2482">
            <v>0</v>
          </cell>
          <cell r="U2482">
            <v>0</v>
          </cell>
        </row>
        <row r="2483">
          <cell r="A2483">
            <v>6075210</v>
          </cell>
          <cell r="T2483">
            <v>0</v>
          </cell>
          <cell r="U2483">
            <v>0</v>
          </cell>
        </row>
        <row r="2484">
          <cell r="A2484">
            <v>6075301</v>
          </cell>
          <cell r="T2484">
            <v>0</v>
          </cell>
          <cell r="U2484">
            <v>0</v>
          </cell>
        </row>
        <row r="2485">
          <cell r="A2485">
            <v>6075302</v>
          </cell>
          <cell r="T2485">
            <v>0</v>
          </cell>
          <cell r="U2485">
            <v>0</v>
          </cell>
        </row>
        <row r="2486">
          <cell r="A2486">
            <v>6075303</v>
          </cell>
          <cell r="T2486">
            <v>0</v>
          </cell>
          <cell r="U2486">
            <v>0</v>
          </cell>
        </row>
        <row r="2487">
          <cell r="A2487">
            <v>6075306</v>
          </cell>
          <cell r="T2487">
            <v>0</v>
          </cell>
          <cell r="U2487">
            <v>0</v>
          </cell>
        </row>
        <row r="2488">
          <cell r="A2488">
            <v>6075307</v>
          </cell>
          <cell r="T2488">
            <v>0</v>
          </cell>
          <cell r="U2488">
            <v>0</v>
          </cell>
        </row>
        <row r="2489">
          <cell r="A2489">
            <v>6075308</v>
          </cell>
          <cell r="T2489">
            <v>0</v>
          </cell>
          <cell r="U2489">
            <v>0</v>
          </cell>
        </row>
        <row r="2490">
          <cell r="A2490">
            <v>6075309</v>
          </cell>
          <cell r="T2490">
            <v>0</v>
          </cell>
          <cell r="U2490">
            <v>0</v>
          </cell>
        </row>
        <row r="2491">
          <cell r="A2491">
            <v>6075310</v>
          </cell>
          <cell r="T2491">
            <v>0</v>
          </cell>
          <cell r="U2491">
            <v>0</v>
          </cell>
        </row>
        <row r="2492">
          <cell r="A2492">
            <v>6075401</v>
          </cell>
          <cell r="T2492">
            <v>0</v>
          </cell>
          <cell r="U2492">
            <v>0</v>
          </cell>
        </row>
        <row r="2493">
          <cell r="A2493">
            <v>6075402</v>
          </cell>
          <cell r="T2493">
            <v>0</v>
          </cell>
          <cell r="U2493">
            <v>0</v>
          </cell>
        </row>
        <row r="2494">
          <cell r="A2494">
            <v>6075403</v>
          </cell>
          <cell r="T2494">
            <v>0</v>
          </cell>
          <cell r="U2494">
            <v>0</v>
          </cell>
        </row>
        <row r="2495">
          <cell r="A2495">
            <v>6075406</v>
          </cell>
          <cell r="T2495">
            <v>0</v>
          </cell>
          <cell r="U2495">
            <v>0</v>
          </cell>
        </row>
        <row r="2496">
          <cell r="A2496">
            <v>6075407</v>
          </cell>
          <cell r="T2496">
            <v>0</v>
          </cell>
          <cell r="U2496">
            <v>0</v>
          </cell>
        </row>
        <row r="2497">
          <cell r="A2497">
            <v>6075408</v>
          </cell>
          <cell r="T2497">
            <v>0</v>
          </cell>
          <cell r="U2497">
            <v>0</v>
          </cell>
        </row>
        <row r="2498">
          <cell r="A2498">
            <v>6075409</v>
          </cell>
          <cell r="T2498">
            <v>0</v>
          </cell>
          <cell r="U2498">
            <v>0</v>
          </cell>
        </row>
        <row r="2499">
          <cell r="A2499">
            <v>6075410</v>
          </cell>
          <cell r="T2499">
            <v>0</v>
          </cell>
          <cell r="U2499">
            <v>0</v>
          </cell>
        </row>
        <row r="2500">
          <cell r="A2500">
            <v>6075501</v>
          </cell>
          <cell r="T2500">
            <v>0</v>
          </cell>
          <cell r="U2500">
            <v>0</v>
          </cell>
        </row>
        <row r="2501">
          <cell r="A2501">
            <v>6075502</v>
          </cell>
          <cell r="T2501">
            <v>0</v>
          </cell>
          <cell r="U2501">
            <v>0</v>
          </cell>
        </row>
        <row r="2502">
          <cell r="A2502">
            <v>6075503</v>
          </cell>
          <cell r="T2502">
            <v>0</v>
          </cell>
          <cell r="U2502">
            <v>0</v>
          </cell>
        </row>
        <row r="2503">
          <cell r="A2503">
            <v>6075506</v>
          </cell>
          <cell r="T2503">
            <v>0</v>
          </cell>
          <cell r="U2503">
            <v>0</v>
          </cell>
        </row>
        <row r="2504">
          <cell r="A2504">
            <v>6075507</v>
          </cell>
          <cell r="T2504">
            <v>0</v>
          </cell>
          <cell r="U2504">
            <v>0</v>
          </cell>
        </row>
        <row r="2505">
          <cell r="A2505">
            <v>6075508</v>
          </cell>
          <cell r="T2505">
            <v>0</v>
          </cell>
          <cell r="U2505">
            <v>0</v>
          </cell>
        </row>
        <row r="2506">
          <cell r="A2506">
            <v>6075509</v>
          </cell>
          <cell r="T2506">
            <v>0</v>
          </cell>
          <cell r="U2506">
            <v>0</v>
          </cell>
        </row>
        <row r="2507">
          <cell r="A2507">
            <v>6075510</v>
          </cell>
          <cell r="T2507">
            <v>0</v>
          </cell>
          <cell r="U2507">
            <v>0</v>
          </cell>
        </row>
        <row r="2508">
          <cell r="A2508">
            <v>6100201</v>
          </cell>
          <cell r="T2508">
            <v>0</v>
          </cell>
          <cell r="U2508">
            <v>0</v>
          </cell>
        </row>
        <row r="2509">
          <cell r="A2509">
            <v>6100202</v>
          </cell>
          <cell r="T2509">
            <v>0</v>
          </cell>
          <cell r="U2509">
            <v>0</v>
          </cell>
        </row>
        <row r="2510">
          <cell r="A2510">
            <v>6100203</v>
          </cell>
          <cell r="T2510">
            <v>0</v>
          </cell>
          <cell r="U2510">
            <v>0</v>
          </cell>
        </row>
        <row r="2511">
          <cell r="A2511">
            <v>6100206</v>
          </cell>
          <cell r="T2511">
            <v>0</v>
          </cell>
          <cell r="U2511">
            <v>0</v>
          </cell>
        </row>
        <row r="2512">
          <cell r="A2512">
            <v>6100207</v>
          </cell>
          <cell r="T2512">
            <v>0</v>
          </cell>
          <cell r="U2512">
            <v>0</v>
          </cell>
        </row>
        <row r="2513">
          <cell r="A2513">
            <v>6100208</v>
          </cell>
          <cell r="T2513">
            <v>0</v>
          </cell>
          <cell r="U2513">
            <v>0</v>
          </cell>
        </row>
        <row r="2514">
          <cell r="A2514">
            <v>6100209</v>
          </cell>
          <cell r="T2514">
            <v>0</v>
          </cell>
          <cell r="U2514">
            <v>0</v>
          </cell>
        </row>
        <row r="2515">
          <cell r="A2515">
            <v>6100210</v>
          </cell>
          <cell r="T2515">
            <v>0</v>
          </cell>
          <cell r="U2515">
            <v>0</v>
          </cell>
        </row>
        <row r="2516">
          <cell r="A2516">
            <v>6100301</v>
          </cell>
          <cell r="T2516">
            <v>0</v>
          </cell>
          <cell r="U2516">
            <v>0</v>
          </cell>
        </row>
        <row r="2517">
          <cell r="A2517">
            <v>6100302</v>
          </cell>
          <cell r="T2517">
            <v>0</v>
          </cell>
          <cell r="U2517">
            <v>0</v>
          </cell>
        </row>
        <row r="2518">
          <cell r="A2518">
            <v>6100303</v>
          </cell>
          <cell r="T2518">
            <v>0</v>
          </cell>
          <cell r="U2518">
            <v>0</v>
          </cell>
        </row>
        <row r="2519">
          <cell r="A2519">
            <v>6100306</v>
          </cell>
          <cell r="T2519">
            <v>0</v>
          </cell>
          <cell r="U2519">
            <v>0</v>
          </cell>
        </row>
        <row r="2520">
          <cell r="A2520">
            <v>6100307</v>
          </cell>
          <cell r="T2520">
            <v>0</v>
          </cell>
          <cell r="U2520">
            <v>0</v>
          </cell>
        </row>
        <row r="2521">
          <cell r="A2521">
            <v>6100308</v>
          </cell>
          <cell r="T2521">
            <v>0</v>
          </cell>
          <cell r="U2521">
            <v>0</v>
          </cell>
        </row>
        <row r="2522">
          <cell r="A2522">
            <v>6100309</v>
          </cell>
          <cell r="T2522">
            <v>0</v>
          </cell>
          <cell r="U2522">
            <v>0</v>
          </cell>
        </row>
        <row r="2523">
          <cell r="A2523">
            <v>6100310</v>
          </cell>
          <cell r="T2523">
            <v>0</v>
          </cell>
          <cell r="U2523">
            <v>0</v>
          </cell>
        </row>
        <row r="2524">
          <cell r="A2524">
            <v>6100401</v>
          </cell>
          <cell r="T2524">
            <v>0</v>
          </cell>
          <cell r="U2524">
            <v>0</v>
          </cell>
        </row>
        <row r="2525">
          <cell r="A2525">
            <v>6100402</v>
          </cell>
          <cell r="T2525">
            <v>0</v>
          </cell>
          <cell r="U2525">
            <v>0</v>
          </cell>
        </row>
        <row r="2526">
          <cell r="A2526">
            <v>6100403</v>
          </cell>
          <cell r="T2526">
            <v>0</v>
          </cell>
          <cell r="U2526">
            <v>0</v>
          </cell>
        </row>
        <row r="2527">
          <cell r="A2527">
            <v>6100406</v>
          </cell>
          <cell r="T2527">
            <v>0</v>
          </cell>
          <cell r="U2527">
            <v>0</v>
          </cell>
        </row>
        <row r="2528">
          <cell r="A2528">
            <v>6100407</v>
          </cell>
          <cell r="T2528">
            <v>0</v>
          </cell>
          <cell r="U2528">
            <v>0</v>
          </cell>
        </row>
        <row r="2529">
          <cell r="A2529">
            <v>6100408</v>
          </cell>
          <cell r="T2529">
            <v>0</v>
          </cell>
          <cell r="U2529">
            <v>0</v>
          </cell>
        </row>
        <row r="2530">
          <cell r="A2530">
            <v>6100409</v>
          </cell>
          <cell r="T2530">
            <v>0</v>
          </cell>
          <cell r="U2530">
            <v>0</v>
          </cell>
        </row>
        <row r="2531">
          <cell r="A2531">
            <v>6100410</v>
          </cell>
          <cell r="T2531">
            <v>0</v>
          </cell>
          <cell r="U2531">
            <v>0</v>
          </cell>
        </row>
        <row r="2532">
          <cell r="A2532">
            <v>6100501</v>
          </cell>
          <cell r="T2532">
            <v>0</v>
          </cell>
          <cell r="U2532">
            <v>0</v>
          </cell>
        </row>
        <row r="2533">
          <cell r="A2533">
            <v>6100502</v>
          </cell>
          <cell r="T2533">
            <v>0</v>
          </cell>
          <cell r="U2533">
            <v>0</v>
          </cell>
        </row>
        <row r="2534">
          <cell r="A2534">
            <v>6100503</v>
          </cell>
          <cell r="T2534">
            <v>0</v>
          </cell>
          <cell r="U2534">
            <v>0</v>
          </cell>
        </row>
        <row r="2535">
          <cell r="A2535">
            <v>6100506</v>
          </cell>
          <cell r="T2535">
            <v>0</v>
          </cell>
          <cell r="U2535">
            <v>0</v>
          </cell>
        </row>
        <row r="2536">
          <cell r="A2536">
            <v>6100507</v>
          </cell>
          <cell r="T2536">
            <v>0</v>
          </cell>
          <cell r="U2536">
            <v>0</v>
          </cell>
        </row>
        <row r="2537">
          <cell r="A2537">
            <v>6100508</v>
          </cell>
          <cell r="T2537">
            <v>0</v>
          </cell>
          <cell r="U2537">
            <v>0</v>
          </cell>
        </row>
        <row r="2538">
          <cell r="A2538">
            <v>6100509</v>
          </cell>
          <cell r="T2538">
            <v>0</v>
          </cell>
          <cell r="U2538">
            <v>0</v>
          </cell>
        </row>
        <row r="2539">
          <cell r="A2539">
            <v>6100510</v>
          </cell>
          <cell r="T2539">
            <v>0</v>
          </cell>
          <cell r="U2539">
            <v>0</v>
          </cell>
        </row>
        <row r="2540">
          <cell r="A2540">
            <v>6125201</v>
          </cell>
          <cell r="T2540">
            <v>0</v>
          </cell>
          <cell r="U2540">
            <v>0</v>
          </cell>
        </row>
        <row r="2541">
          <cell r="A2541">
            <v>6125202</v>
          </cell>
          <cell r="T2541">
            <v>0</v>
          </cell>
          <cell r="U2541">
            <v>0</v>
          </cell>
        </row>
        <row r="2542">
          <cell r="A2542">
            <v>6125203</v>
          </cell>
          <cell r="T2542">
            <v>0</v>
          </cell>
          <cell r="U2542">
            <v>0</v>
          </cell>
        </row>
        <row r="2543">
          <cell r="A2543">
            <v>6125206</v>
          </cell>
          <cell r="T2543">
            <v>0</v>
          </cell>
          <cell r="U2543">
            <v>0</v>
          </cell>
        </row>
        <row r="2544">
          <cell r="A2544">
            <v>6125207</v>
          </cell>
          <cell r="T2544">
            <v>0</v>
          </cell>
          <cell r="U2544">
            <v>0</v>
          </cell>
        </row>
        <row r="2545">
          <cell r="A2545">
            <v>6125208</v>
          </cell>
          <cell r="T2545">
            <v>0</v>
          </cell>
          <cell r="U2545">
            <v>0</v>
          </cell>
        </row>
        <row r="2546">
          <cell r="A2546">
            <v>6125209</v>
          </cell>
          <cell r="T2546">
            <v>0</v>
          </cell>
          <cell r="U2546">
            <v>0</v>
          </cell>
        </row>
        <row r="2547">
          <cell r="A2547">
            <v>6125210</v>
          </cell>
          <cell r="T2547">
            <v>0</v>
          </cell>
          <cell r="U2547">
            <v>0</v>
          </cell>
        </row>
        <row r="2548">
          <cell r="A2548">
            <v>6125301</v>
          </cell>
          <cell r="T2548">
            <v>0</v>
          </cell>
          <cell r="U2548">
            <v>0</v>
          </cell>
        </row>
        <row r="2549">
          <cell r="A2549">
            <v>6125302</v>
          </cell>
          <cell r="T2549">
            <v>0</v>
          </cell>
          <cell r="U2549">
            <v>0</v>
          </cell>
        </row>
        <row r="2550">
          <cell r="A2550">
            <v>6125303</v>
          </cell>
          <cell r="T2550">
            <v>0</v>
          </cell>
          <cell r="U2550">
            <v>0</v>
          </cell>
        </row>
        <row r="2551">
          <cell r="A2551">
            <v>6125306</v>
          </cell>
          <cell r="T2551">
            <v>0</v>
          </cell>
          <cell r="U2551">
            <v>0</v>
          </cell>
        </row>
        <row r="2552">
          <cell r="A2552">
            <v>6125307</v>
          </cell>
          <cell r="T2552">
            <v>0</v>
          </cell>
          <cell r="U2552">
            <v>0</v>
          </cell>
        </row>
        <row r="2553">
          <cell r="A2553">
            <v>6125308</v>
          </cell>
          <cell r="T2553">
            <v>0</v>
          </cell>
          <cell r="U2553">
            <v>0</v>
          </cell>
        </row>
        <row r="2554">
          <cell r="A2554">
            <v>6125309</v>
          </cell>
          <cell r="T2554">
            <v>0</v>
          </cell>
          <cell r="U2554">
            <v>0</v>
          </cell>
        </row>
        <row r="2555">
          <cell r="A2555">
            <v>6125310</v>
          </cell>
          <cell r="T2555">
            <v>0</v>
          </cell>
          <cell r="U2555">
            <v>0</v>
          </cell>
        </row>
        <row r="2556">
          <cell r="A2556">
            <v>6125401</v>
          </cell>
          <cell r="T2556">
            <v>0</v>
          </cell>
          <cell r="U2556">
            <v>0</v>
          </cell>
        </row>
        <row r="2557">
          <cell r="A2557">
            <v>6125402</v>
          </cell>
          <cell r="T2557">
            <v>0</v>
          </cell>
          <cell r="U2557">
            <v>0</v>
          </cell>
        </row>
        <row r="2558">
          <cell r="A2558">
            <v>6125403</v>
          </cell>
          <cell r="T2558">
            <v>0</v>
          </cell>
          <cell r="U2558">
            <v>0</v>
          </cell>
        </row>
        <row r="2559">
          <cell r="A2559">
            <v>6125406</v>
          </cell>
          <cell r="T2559">
            <v>0</v>
          </cell>
          <cell r="U2559">
            <v>0</v>
          </cell>
        </row>
        <row r="2560">
          <cell r="A2560">
            <v>6125407</v>
          </cell>
          <cell r="T2560">
            <v>0</v>
          </cell>
          <cell r="U2560">
            <v>0</v>
          </cell>
        </row>
        <row r="2561">
          <cell r="A2561">
            <v>6125408</v>
          </cell>
          <cell r="T2561">
            <v>0</v>
          </cell>
          <cell r="U2561">
            <v>0</v>
          </cell>
        </row>
        <row r="2562">
          <cell r="A2562">
            <v>6125409</v>
          </cell>
          <cell r="T2562">
            <v>0</v>
          </cell>
          <cell r="U2562">
            <v>0</v>
          </cell>
        </row>
        <row r="2563">
          <cell r="A2563">
            <v>6125410</v>
          </cell>
          <cell r="T2563">
            <v>0</v>
          </cell>
          <cell r="U2563">
            <v>0</v>
          </cell>
        </row>
        <row r="2564">
          <cell r="A2564">
            <v>6125501</v>
          </cell>
          <cell r="T2564">
            <v>0</v>
          </cell>
          <cell r="U2564">
            <v>0</v>
          </cell>
        </row>
        <row r="2565">
          <cell r="A2565">
            <v>6125502</v>
          </cell>
          <cell r="T2565">
            <v>0</v>
          </cell>
          <cell r="U2565">
            <v>0</v>
          </cell>
        </row>
        <row r="2566">
          <cell r="A2566">
            <v>6125503</v>
          </cell>
          <cell r="T2566">
            <v>0</v>
          </cell>
          <cell r="U2566">
            <v>0</v>
          </cell>
        </row>
        <row r="2567">
          <cell r="A2567">
            <v>6125506</v>
          </cell>
          <cell r="T2567">
            <v>0</v>
          </cell>
          <cell r="U2567">
            <v>0</v>
          </cell>
        </row>
        <row r="2568">
          <cell r="A2568">
            <v>6125507</v>
          </cell>
          <cell r="T2568">
            <v>0</v>
          </cell>
          <cell r="U2568">
            <v>0</v>
          </cell>
        </row>
        <row r="2569">
          <cell r="A2569">
            <v>6125508</v>
          </cell>
          <cell r="T2569">
            <v>0</v>
          </cell>
          <cell r="U2569">
            <v>0</v>
          </cell>
        </row>
        <row r="2570">
          <cell r="A2570">
            <v>6125509</v>
          </cell>
          <cell r="T2570">
            <v>0</v>
          </cell>
          <cell r="U2570">
            <v>0</v>
          </cell>
        </row>
        <row r="2571">
          <cell r="A2571">
            <v>6125510</v>
          </cell>
          <cell r="T2571">
            <v>0</v>
          </cell>
          <cell r="U2571">
            <v>0</v>
          </cell>
        </row>
        <row r="2572">
          <cell r="A2572">
            <v>6150201</v>
          </cell>
          <cell r="T2572">
            <v>0</v>
          </cell>
          <cell r="U2572">
            <v>0</v>
          </cell>
        </row>
        <row r="2573">
          <cell r="A2573">
            <v>6150202</v>
          </cell>
          <cell r="T2573">
            <v>0</v>
          </cell>
          <cell r="U2573">
            <v>0</v>
          </cell>
        </row>
        <row r="2574">
          <cell r="A2574">
            <v>6150203</v>
          </cell>
          <cell r="T2574">
            <v>0</v>
          </cell>
          <cell r="U2574">
            <v>0</v>
          </cell>
        </row>
        <row r="2575">
          <cell r="A2575">
            <v>6150206</v>
          </cell>
          <cell r="T2575">
            <v>0</v>
          </cell>
          <cell r="U2575">
            <v>0</v>
          </cell>
        </row>
        <row r="2576">
          <cell r="A2576">
            <v>6150207</v>
          </cell>
          <cell r="T2576">
            <v>0</v>
          </cell>
          <cell r="U2576">
            <v>0</v>
          </cell>
        </row>
        <row r="2577">
          <cell r="A2577">
            <v>6150208</v>
          </cell>
          <cell r="T2577">
            <v>0</v>
          </cell>
          <cell r="U2577">
            <v>0</v>
          </cell>
        </row>
        <row r="2578">
          <cell r="A2578">
            <v>6150209</v>
          </cell>
          <cell r="T2578">
            <v>0</v>
          </cell>
          <cell r="U2578">
            <v>0</v>
          </cell>
        </row>
        <row r="2579">
          <cell r="A2579">
            <v>6150210</v>
          </cell>
          <cell r="T2579">
            <v>0</v>
          </cell>
          <cell r="U2579">
            <v>0</v>
          </cell>
        </row>
        <row r="2580">
          <cell r="A2580">
            <v>6150301</v>
          </cell>
          <cell r="T2580">
            <v>0</v>
          </cell>
          <cell r="U2580">
            <v>0</v>
          </cell>
        </row>
        <row r="2581">
          <cell r="A2581">
            <v>6150302</v>
          </cell>
          <cell r="T2581">
            <v>0</v>
          </cell>
          <cell r="U2581">
            <v>0</v>
          </cell>
        </row>
        <row r="2582">
          <cell r="A2582">
            <v>6150303</v>
          </cell>
          <cell r="T2582">
            <v>0</v>
          </cell>
          <cell r="U2582">
            <v>0</v>
          </cell>
        </row>
        <row r="2583">
          <cell r="A2583">
            <v>6150306</v>
          </cell>
          <cell r="T2583">
            <v>0</v>
          </cell>
          <cell r="U2583">
            <v>0</v>
          </cell>
        </row>
        <row r="2584">
          <cell r="A2584">
            <v>6150307</v>
          </cell>
          <cell r="T2584">
            <v>0</v>
          </cell>
          <cell r="U2584">
            <v>0</v>
          </cell>
        </row>
        <row r="2585">
          <cell r="A2585">
            <v>6150308</v>
          </cell>
          <cell r="T2585">
            <v>0</v>
          </cell>
          <cell r="U2585">
            <v>0</v>
          </cell>
        </row>
        <row r="2586">
          <cell r="A2586">
            <v>6150309</v>
          </cell>
          <cell r="T2586">
            <v>0</v>
          </cell>
          <cell r="U2586">
            <v>0</v>
          </cell>
        </row>
        <row r="2587">
          <cell r="A2587">
            <v>6150310</v>
          </cell>
          <cell r="T2587">
            <v>0</v>
          </cell>
          <cell r="U2587">
            <v>0</v>
          </cell>
        </row>
        <row r="2588">
          <cell r="A2588">
            <v>6150401</v>
          </cell>
          <cell r="T2588">
            <v>0</v>
          </cell>
          <cell r="U2588">
            <v>0</v>
          </cell>
        </row>
        <row r="2589">
          <cell r="A2589">
            <v>6150402</v>
          </cell>
          <cell r="T2589">
            <v>0</v>
          </cell>
          <cell r="U2589">
            <v>0</v>
          </cell>
        </row>
        <row r="2590">
          <cell r="A2590">
            <v>6150403</v>
          </cell>
          <cell r="T2590">
            <v>0</v>
          </cell>
          <cell r="U2590">
            <v>0</v>
          </cell>
        </row>
        <row r="2591">
          <cell r="A2591">
            <v>6150406</v>
          </cell>
          <cell r="T2591">
            <v>0</v>
          </cell>
          <cell r="U2591">
            <v>0</v>
          </cell>
        </row>
        <row r="2592">
          <cell r="A2592">
            <v>6150407</v>
          </cell>
          <cell r="T2592">
            <v>0</v>
          </cell>
          <cell r="U2592">
            <v>0</v>
          </cell>
        </row>
        <row r="2593">
          <cell r="A2593">
            <v>6150408</v>
          </cell>
          <cell r="T2593">
            <v>0</v>
          </cell>
          <cell r="U2593">
            <v>0</v>
          </cell>
        </row>
        <row r="2594">
          <cell r="A2594">
            <v>6150409</v>
          </cell>
          <cell r="T2594">
            <v>0</v>
          </cell>
          <cell r="U2594">
            <v>0</v>
          </cell>
        </row>
        <row r="2595">
          <cell r="A2595">
            <v>6150410</v>
          </cell>
          <cell r="T2595">
            <v>0</v>
          </cell>
          <cell r="U2595">
            <v>0</v>
          </cell>
        </row>
        <row r="2596">
          <cell r="A2596">
            <v>6150501</v>
          </cell>
          <cell r="T2596">
            <v>0</v>
          </cell>
          <cell r="U2596">
            <v>0</v>
          </cell>
        </row>
        <row r="2597">
          <cell r="A2597">
            <v>6150502</v>
          </cell>
          <cell r="T2597">
            <v>0</v>
          </cell>
          <cell r="U2597">
            <v>0</v>
          </cell>
        </row>
        <row r="2598">
          <cell r="A2598">
            <v>6150503</v>
          </cell>
          <cell r="T2598">
            <v>0</v>
          </cell>
          <cell r="U2598">
            <v>0</v>
          </cell>
        </row>
        <row r="2599">
          <cell r="A2599">
            <v>6150506</v>
          </cell>
          <cell r="T2599">
            <v>0</v>
          </cell>
          <cell r="U2599">
            <v>0</v>
          </cell>
        </row>
        <row r="2600">
          <cell r="A2600">
            <v>6150507</v>
          </cell>
          <cell r="T2600">
            <v>0</v>
          </cell>
          <cell r="U2600">
            <v>0</v>
          </cell>
        </row>
        <row r="2601">
          <cell r="A2601">
            <v>6150508</v>
          </cell>
          <cell r="T2601">
            <v>0</v>
          </cell>
          <cell r="U2601">
            <v>0</v>
          </cell>
        </row>
        <row r="2602">
          <cell r="A2602">
            <v>6150509</v>
          </cell>
          <cell r="T2602">
            <v>0</v>
          </cell>
          <cell r="U2602">
            <v>0</v>
          </cell>
        </row>
        <row r="2603">
          <cell r="A2603">
            <v>6150510</v>
          </cell>
          <cell r="T2603">
            <v>0</v>
          </cell>
          <cell r="U2603">
            <v>0</v>
          </cell>
        </row>
        <row r="2604">
          <cell r="A2604">
            <v>6175201</v>
          </cell>
          <cell r="T2604">
            <v>0</v>
          </cell>
          <cell r="U2604">
            <v>0</v>
          </cell>
        </row>
        <row r="2605">
          <cell r="A2605">
            <v>6175202</v>
          </cell>
          <cell r="T2605">
            <v>0</v>
          </cell>
          <cell r="U2605">
            <v>0</v>
          </cell>
        </row>
        <row r="2606">
          <cell r="A2606">
            <v>6175203</v>
          </cell>
          <cell r="T2606">
            <v>0</v>
          </cell>
          <cell r="U2606">
            <v>0</v>
          </cell>
        </row>
        <row r="2607">
          <cell r="A2607">
            <v>6175206</v>
          </cell>
          <cell r="T2607">
            <v>0</v>
          </cell>
          <cell r="U2607">
            <v>0</v>
          </cell>
        </row>
        <row r="2608">
          <cell r="A2608">
            <v>6175207</v>
          </cell>
          <cell r="T2608">
            <v>0</v>
          </cell>
          <cell r="U2608">
            <v>0</v>
          </cell>
        </row>
        <row r="2609">
          <cell r="A2609">
            <v>6175208</v>
          </cell>
          <cell r="T2609">
            <v>0</v>
          </cell>
          <cell r="U2609">
            <v>0</v>
          </cell>
        </row>
        <row r="2610">
          <cell r="A2610">
            <v>6175209</v>
          </cell>
          <cell r="T2610">
            <v>0</v>
          </cell>
          <cell r="U2610">
            <v>0</v>
          </cell>
        </row>
        <row r="2611">
          <cell r="A2611">
            <v>6175210</v>
          </cell>
          <cell r="T2611">
            <v>0</v>
          </cell>
          <cell r="U2611">
            <v>0</v>
          </cell>
        </row>
        <row r="2612">
          <cell r="A2612">
            <v>6175301</v>
          </cell>
          <cell r="T2612">
            <v>0</v>
          </cell>
          <cell r="U2612">
            <v>0</v>
          </cell>
        </row>
        <row r="2613">
          <cell r="A2613">
            <v>6175302</v>
          </cell>
          <cell r="T2613">
            <v>0</v>
          </cell>
          <cell r="U2613">
            <v>0</v>
          </cell>
        </row>
        <row r="2614">
          <cell r="A2614">
            <v>6175303</v>
          </cell>
          <cell r="T2614">
            <v>0</v>
          </cell>
          <cell r="U2614">
            <v>0</v>
          </cell>
        </row>
        <row r="2615">
          <cell r="A2615">
            <v>6175306</v>
          </cell>
          <cell r="T2615">
            <v>0</v>
          </cell>
          <cell r="U2615">
            <v>0</v>
          </cell>
        </row>
        <row r="2616">
          <cell r="A2616">
            <v>6175307</v>
          </cell>
          <cell r="T2616">
            <v>0</v>
          </cell>
          <cell r="U2616">
            <v>0</v>
          </cell>
        </row>
        <row r="2617">
          <cell r="A2617">
            <v>6175308</v>
          </cell>
          <cell r="T2617">
            <v>0</v>
          </cell>
          <cell r="U2617">
            <v>0</v>
          </cell>
        </row>
        <row r="2618">
          <cell r="A2618">
            <v>6175309</v>
          </cell>
          <cell r="T2618">
            <v>0</v>
          </cell>
          <cell r="U2618">
            <v>0</v>
          </cell>
        </row>
        <row r="2619">
          <cell r="A2619">
            <v>6175310</v>
          </cell>
          <cell r="T2619">
            <v>0</v>
          </cell>
          <cell r="U2619">
            <v>0</v>
          </cell>
        </row>
        <row r="2620">
          <cell r="A2620">
            <v>6175401</v>
          </cell>
          <cell r="T2620">
            <v>0</v>
          </cell>
          <cell r="U2620">
            <v>0</v>
          </cell>
        </row>
        <row r="2621">
          <cell r="A2621">
            <v>6175402</v>
          </cell>
          <cell r="T2621">
            <v>0</v>
          </cell>
          <cell r="U2621">
            <v>0</v>
          </cell>
        </row>
        <row r="2622">
          <cell r="A2622">
            <v>6175403</v>
          </cell>
          <cell r="T2622">
            <v>0</v>
          </cell>
          <cell r="U2622">
            <v>0</v>
          </cell>
        </row>
        <row r="2623">
          <cell r="A2623">
            <v>6175406</v>
          </cell>
          <cell r="T2623">
            <v>0</v>
          </cell>
          <cell r="U2623">
            <v>0</v>
          </cell>
        </row>
        <row r="2624">
          <cell r="A2624">
            <v>6175407</v>
          </cell>
          <cell r="T2624">
            <v>0</v>
          </cell>
          <cell r="U2624">
            <v>0</v>
          </cell>
        </row>
        <row r="2625">
          <cell r="A2625">
            <v>6175408</v>
          </cell>
          <cell r="T2625">
            <v>0</v>
          </cell>
          <cell r="U2625">
            <v>0</v>
          </cell>
        </row>
        <row r="2626">
          <cell r="A2626">
            <v>6175409</v>
          </cell>
          <cell r="T2626">
            <v>0</v>
          </cell>
          <cell r="U2626">
            <v>0</v>
          </cell>
        </row>
        <row r="2627">
          <cell r="A2627">
            <v>6175410</v>
          </cell>
          <cell r="T2627">
            <v>0</v>
          </cell>
          <cell r="U2627">
            <v>0</v>
          </cell>
        </row>
        <row r="2628">
          <cell r="A2628">
            <v>6175501</v>
          </cell>
          <cell r="T2628">
            <v>0</v>
          </cell>
          <cell r="U2628">
            <v>0</v>
          </cell>
        </row>
        <row r="2629">
          <cell r="A2629">
            <v>6175502</v>
          </cell>
          <cell r="T2629">
            <v>0</v>
          </cell>
          <cell r="U2629">
            <v>0</v>
          </cell>
        </row>
        <row r="2630">
          <cell r="A2630">
            <v>6175503</v>
          </cell>
          <cell r="T2630">
            <v>0</v>
          </cell>
          <cell r="U2630">
            <v>0</v>
          </cell>
        </row>
        <row r="2631">
          <cell r="A2631">
            <v>6175506</v>
          </cell>
          <cell r="T2631">
            <v>0</v>
          </cell>
          <cell r="U2631">
            <v>0</v>
          </cell>
        </row>
        <row r="2632">
          <cell r="A2632">
            <v>6175507</v>
          </cell>
          <cell r="T2632">
            <v>0</v>
          </cell>
          <cell r="U2632">
            <v>0</v>
          </cell>
        </row>
        <row r="2633">
          <cell r="A2633">
            <v>6175508</v>
          </cell>
          <cell r="T2633">
            <v>0</v>
          </cell>
          <cell r="U2633">
            <v>0</v>
          </cell>
        </row>
        <row r="2634">
          <cell r="A2634">
            <v>6175509</v>
          </cell>
          <cell r="T2634">
            <v>0</v>
          </cell>
          <cell r="U2634">
            <v>0</v>
          </cell>
        </row>
        <row r="2635">
          <cell r="A2635">
            <v>6175510</v>
          </cell>
          <cell r="T2635">
            <v>0</v>
          </cell>
          <cell r="U2635">
            <v>0</v>
          </cell>
        </row>
        <row r="2636">
          <cell r="A2636">
            <v>6200201</v>
          </cell>
          <cell r="T2636">
            <v>0</v>
          </cell>
          <cell r="U2636">
            <v>0</v>
          </cell>
        </row>
        <row r="2637">
          <cell r="A2637">
            <v>6200202</v>
          </cell>
          <cell r="T2637">
            <v>0</v>
          </cell>
          <cell r="U2637">
            <v>0</v>
          </cell>
        </row>
        <row r="2638">
          <cell r="A2638">
            <v>6200203</v>
          </cell>
          <cell r="T2638">
            <v>0</v>
          </cell>
          <cell r="U2638">
            <v>0</v>
          </cell>
        </row>
        <row r="2639">
          <cell r="A2639">
            <v>6200206</v>
          </cell>
          <cell r="T2639">
            <v>0</v>
          </cell>
          <cell r="U2639">
            <v>0</v>
          </cell>
        </row>
        <row r="2640">
          <cell r="A2640">
            <v>6200207</v>
          </cell>
          <cell r="T2640">
            <v>0</v>
          </cell>
          <cell r="U2640">
            <v>0</v>
          </cell>
        </row>
        <row r="2641">
          <cell r="A2641">
            <v>6200208</v>
          </cell>
          <cell r="T2641">
            <v>0</v>
          </cell>
          <cell r="U2641">
            <v>0</v>
          </cell>
        </row>
        <row r="2642">
          <cell r="A2642">
            <v>6200209</v>
          </cell>
          <cell r="T2642">
            <v>0</v>
          </cell>
          <cell r="U2642">
            <v>0</v>
          </cell>
        </row>
        <row r="2643">
          <cell r="A2643">
            <v>6200210</v>
          </cell>
          <cell r="T2643">
            <v>0</v>
          </cell>
          <cell r="U2643">
            <v>0</v>
          </cell>
        </row>
        <row r="2644">
          <cell r="A2644">
            <v>6200301</v>
          </cell>
          <cell r="T2644">
            <v>0</v>
          </cell>
          <cell r="U2644">
            <v>0</v>
          </cell>
        </row>
        <row r="2645">
          <cell r="A2645">
            <v>6200302</v>
          </cell>
          <cell r="T2645">
            <v>0</v>
          </cell>
          <cell r="U2645">
            <v>0</v>
          </cell>
        </row>
        <row r="2646">
          <cell r="A2646">
            <v>6200303</v>
          </cell>
          <cell r="T2646">
            <v>0</v>
          </cell>
          <cell r="U2646">
            <v>0</v>
          </cell>
        </row>
        <row r="2647">
          <cell r="A2647">
            <v>6200306</v>
          </cell>
          <cell r="T2647">
            <v>0</v>
          </cell>
          <cell r="U2647">
            <v>0</v>
          </cell>
        </row>
        <row r="2648">
          <cell r="A2648">
            <v>6200307</v>
          </cell>
          <cell r="T2648">
            <v>0</v>
          </cell>
          <cell r="U2648">
            <v>0</v>
          </cell>
        </row>
        <row r="2649">
          <cell r="A2649">
            <v>6200308</v>
          </cell>
          <cell r="T2649">
            <v>0</v>
          </cell>
          <cell r="U2649">
            <v>0</v>
          </cell>
        </row>
        <row r="2650">
          <cell r="A2650">
            <v>6200309</v>
          </cell>
          <cell r="T2650">
            <v>0</v>
          </cell>
          <cell r="U2650">
            <v>0</v>
          </cell>
        </row>
        <row r="2651">
          <cell r="A2651">
            <v>6200310</v>
          </cell>
          <cell r="T2651">
            <v>0</v>
          </cell>
          <cell r="U2651">
            <v>0</v>
          </cell>
        </row>
        <row r="2652">
          <cell r="A2652">
            <v>6200401</v>
          </cell>
          <cell r="T2652">
            <v>0</v>
          </cell>
          <cell r="U2652">
            <v>0</v>
          </cell>
        </row>
        <row r="2653">
          <cell r="A2653">
            <v>6200402</v>
          </cell>
          <cell r="T2653">
            <v>0</v>
          </cell>
          <cell r="U2653">
            <v>0</v>
          </cell>
        </row>
        <row r="2654">
          <cell r="A2654">
            <v>6200403</v>
          </cell>
          <cell r="T2654">
            <v>0</v>
          </cell>
          <cell r="U2654">
            <v>0</v>
          </cell>
        </row>
        <row r="2655">
          <cell r="A2655">
            <v>6200406</v>
          </cell>
          <cell r="T2655">
            <v>0</v>
          </cell>
          <cell r="U2655">
            <v>0</v>
          </cell>
        </row>
        <row r="2656">
          <cell r="A2656">
            <v>6200407</v>
          </cell>
          <cell r="T2656">
            <v>0</v>
          </cell>
          <cell r="U2656">
            <v>0</v>
          </cell>
        </row>
        <row r="2657">
          <cell r="A2657">
            <v>6200408</v>
          </cell>
          <cell r="T2657">
            <v>0</v>
          </cell>
          <cell r="U2657">
            <v>0</v>
          </cell>
        </row>
        <row r="2658">
          <cell r="A2658">
            <v>6200409</v>
          </cell>
          <cell r="T2658">
            <v>0</v>
          </cell>
          <cell r="U2658">
            <v>0</v>
          </cell>
        </row>
        <row r="2659">
          <cell r="A2659">
            <v>6200410</v>
          </cell>
          <cell r="T2659">
            <v>0</v>
          </cell>
          <cell r="U2659">
            <v>0</v>
          </cell>
        </row>
        <row r="2660">
          <cell r="A2660">
            <v>6200501</v>
          </cell>
          <cell r="T2660">
            <v>0</v>
          </cell>
          <cell r="U2660">
            <v>0</v>
          </cell>
        </row>
        <row r="2661">
          <cell r="A2661">
            <v>6200502</v>
          </cell>
          <cell r="T2661">
            <v>0</v>
          </cell>
          <cell r="U2661">
            <v>0</v>
          </cell>
        </row>
        <row r="2662">
          <cell r="A2662">
            <v>6200503</v>
          </cell>
          <cell r="T2662">
            <v>0</v>
          </cell>
          <cell r="U2662">
            <v>0</v>
          </cell>
        </row>
        <row r="2663">
          <cell r="A2663">
            <v>6200506</v>
          </cell>
          <cell r="T2663">
            <v>0</v>
          </cell>
          <cell r="U2663">
            <v>0</v>
          </cell>
        </row>
        <row r="2664">
          <cell r="A2664">
            <v>6200507</v>
          </cell>
          <cell r="T2664">
            <v>0</v>
          </cell>
          <cell r="U2664">
            <v>0</v>
          </cell>
        </row>
        <row r="2665">
          <cell r="A2665">
            <v>6200508</v>
          </cell>
          <cell r="T2665">
            <v>0</v>
          </cell>
          <cell r="U2665">
            <v>0</v>
          </cell>
        </row>
        <row r="2666">
          <cell r="A2666">
            <v>6200509</v>
          </cell>
          <cell r="T2666">
            <v>0</v>
          </cell>
          <cell r="U2666">
            <v>0</v>
          </cell>
        </row>
        <row r="2667">
          <cell r="A2667">
            <v>6200510</v>
          </cell>
          <cell r="T2667">
            <v>0</v>
          </cell>
          <cell r="U2667">
            <v>0</v>
          </cell>
        </row>
        <row r="2668">
          <cell r="A2668">
            <v>6210201</v>
          </cell>
          <cell r="T2668">
            <v>0</v>
          </cell>
          <cell r="U2668">
            <v>0</v>
          </cell>
        </row>
        <row r="2669">
          <cell r="A2669">
            <v>6210202</v>
          </cell>
          <cell r="T2669">
            <v>0</v>
          </cell>
          <cell r="U2669">
            <v>0</v>
          </cell>
        </row>
        <row r="2670">
          <cell r="A2670">
            <v>6210203</v>
          </cell>
          <cell r="T2670">
            <v>0</v>
          </cell>
          <cell r="U2670">
            <v>0</v>
          </cell>
        </row>
        <row r="2671">
          <cell r="A2671">
            <v>6210206</v>
          </cell>
          <cell r="T2671">
            <v>0</v>
          </cell>
          <cell r="U2671">
            <v>0</v>
          </cell>
        </row>
        <row r="2672">
          <cell r="A2672">
            <v>6210207</v>
          </cell>
          <cell r="T2672">
            <v>0</v>
          </cell>
          <cell r="U2672">
            <v>0</v>
          </cell>
        </row>
        <row r="2673">
          <cell r="A2673">
            <v>6210208</v>
          </cell>
          <cell r="T2673">
            <v>0</v>
          </cell>
          <cell r="U2673">
            <v>0</v>
          </cell>
        </row>
        <row r="2674">
          <cell r="A2674">
            <v>6210209</v>
          </cell>
          <cell r="T2674">
            <v>0</v>
          </cell>
          <cell r="U2674">
            <v>0</v>
          </cell>
        </row>
        <row r="2675">
          <cell r="A2675">
            <v>6210210</v>
          </cell>
          <cell r="T2675">
            <v>0</v>
          </cell>
          <cell r="U2675">
            <v>0</v>
          </cell>
        </row>
        <row r="2676">
          <cell r="A2676">
            <v>6210301</v>
          </cell>
          <cell r="T2676">
            <v>0</v>
          </cell>
          <cell r="U2676">
            <v>0</v>
          </cell>
        </row>
        <row r="2677">
          <cell r="A2677">
            <v>6210302</v>
          </cell>
          <cell r="T2677">
            <v>0</v>
          </cell>
          <cell r="U2677">
            <v>0</v>
          </cell>
        </row>
        <row r="2678">
          <cell r="A2678">
            <v>6210303</v>
          </cell>
          <cell r="T2678">
            <v>0</v>
          </cell>
          <cell r="U2678">
            <v>0</v>
          </cell>
        </row>
        <row r="2679">
          <cell r="A2679">
            <v>6210306</v>
          </cell>
          <cell r="T2679">
            <v>0</v>
          </cell>
          <cell r="U2679">
            <v>0</v>
          </cell>
        </row>
        <row r="2680">
          <cell r="A2680">
            <v>6210307</v>
          </cell>
          <cell r="T2680">
            <v>0</v>
          </cell>
          <cell r="U2680">
            <v>0</v>
          </cell>
        </row>
        <row r="2681">
          <cell r="A2681">
            <v>6210308</v>
          </cell>
          <cell r="T2681">
            <v>0</v>
          </cell>
          <cell r="U2681">
            <v>0</v>
          </cell>
        </row>
        <row r="2682">
          <cell r="A2682">
            <v>6210309</v>
          </cell>
          <cell r="T2682">
            <v>0</v>
          </cell>
          <cell r="U2682">
            <v>0</v>
          </cell>
        </row>
        <row r="2683">
          <cell r="A2683">
            <v>6210310</v>
          </cell>
          <cell r="T2683">
            <v>0</v>
          </cell>
          <cell r="U2683">
            <v>0</v>
          </cell>
        </row>
        <row r="2684">
          <cell r="A2684">
            <v>6210401</v>
          </cell>
          <cell r="T2684">
            <v>0</v>
          </cell>
          <cell r="U2684">
            <v>0</v>
          </cell>
        </row>
        <row r="2685">
          <cell r="A2685">
            <v>6210402</v>
          </cell>
          <cell r="T2685">
            <v>0</v>
          </cell>
          <cell r="U2685">
            <v>0</v>
          </cell>
        </row>
        <row r="2686">
          <cell r="A2686">
            <v>6210403</v>
          </cell>
          <cell r="T2686">
            <v>0</v>
          </cell>
          <cell r="U2686">
            <v>0</v>
          </cell>
        </row>
        <row r="2687">
          <cell r="A2687">
            <v>6210406</v>
          </cell>
          <cell r="T2687">
            <v>0</v>
          </cell>
          <cell r="U2687">
            <v>0</v>
          </cell>
        </row>
        <row r="2688">
          <cell r="A2688">
            <v>6210407</v>
          </cell>
          <cell r="T2688">
            <v>0</v>
          </cell>
          <cell r="U2688">
            <v>0</v>
          </cell>
        </row>
        <row r="2689">
          <cell r="A2689">
            <v>6210408</v>
          </cell>
          <cell r="T2689">
            <v>0</v>
          </cell>
          <cell r="U2689">
            <v>0</v>
          </cell>
        </row>
        <row r="2690">
          <cell r="A2690">
            <v>6210409</v>
          </cell>
          <cell r="T2690">
            <v>0</v>
          </cell>
          <cell r="U2690">
            <v>0</v>
          </cell>
        </row>
        <row r="2691">
          <cell r="A2691">
            <v>6210410</v>
          </cell>
          <cell r="T2691">
            <v>0</v>
          </cell>
          <cell r="U2691">
            <v>0</v>
          </cell>
        </row>
        <row r="2692">
          <cell r="A2692">
            <v>6210501</v>
          </cell>
          <cell r="T2692">
            <v>0</v>
          </cell>
          <cell r="U2692">
            <v>0</v>
          </cell>
        </row>
        <row r="2693">
          <cell r="A2693">
            <v>6210502</v>
          </cell>
          <cell r="T2693">
            <v>0</v>
          </cell>
          <cell r="U2693">
            <v>0</v>
          </cell>
        </row>
        <row r="2694">
          <cell r="A2694">
            <v>6210503</v>
          </cell>
          <cell r="T2694">
            <v>0</v>
          </cell>
          <cell r="U2694">
            <v>0</v>
          </cell>
        </row>
        <row r="2695">
          <cell r="A2695">
            <v>6210506</v>
          </cell>
          <cell r="T2695">
            <v>0</v>
          </cell>
          <cell r="U2695">
            <v>0</v>
          </cell>
        </row>
        <row r="2696">
          <cell r="A2696">
            <v>6210507</v>
          </cell>
          <cell r="T2696">
            <v>0</v>
          </cell>
          <cell r="U2696">
            <v>0</v>
          </cell>
        </row>
        <row r="2697">
          <cell r="A2697">
            <v>6210508</v>
          </cell>
          <cell r="T2697">
            <v>0</v>
          </cell>
          <cell r="U2697">
            <v>0</v>
          </cell>
        </row>
        <row r="2698">
          <cell r="A2698">
            <v>6210509</v>
          </cell>
          <cell r="T2698">
            <v>0</v>
          </cell>
          <cell r="U2698">
            <v>0</v>
          </cell>
        </row>
        <row r="2699">
          <cell r="A2699">
            <v>6210510</v>
          </cell>
          <cell r="T2699">
            <v>0</v>
          </cell>
          <cell r="U2699">
            <v>0</v>
          </cell>
        </row>
        <row r="2700">
          <cell r="A2700">
            <v>6220201</v>
          </cell>
          <cell r="T2700">
            <v>0</v>
          </cell>
          <cell r="U2700">
            <v>0</v>
          </cell>
        </row>
        <row r="2701">
          <cell r="A2701">
            <v>6220202</v>
          </cell>
          <cell r="T2701">
            <v>0</v>
          </cell>
          <cell r="U2701">
            <v>0</v>
          </cell>
        </row>
        <row r="2702">
          <cell r="A2702">
            <v>6220203</v>
          </cell>
          <cell r="T2702">
            <v>0</v>
          </cell>
          <cell r="U2702">
            <v>0</v>
          </cell>
        </row>
        <row r="2703">
          <cell r="A2703">
            <v>6220206</v>
          </cell>
          <cell r="T2703">
            <v>0</v>
          </cell>
          <cell r="U2703">
            <v>0</v>
          </cell>
        </row>
        <row r="2704">
          <cell r="A2704">
            <v>6220207</v>
          </cell>
          <cell r="T2704">
            <v>0</v>
          </cell>
          <cell r="U2704">
            <v>0</v>
          </cell>
        </row>
        <row r="2705">
          <cell r="A2705">
            <v>6220208</v>
          </cell>
          <cell r="T2705">
            <v>0</v>
          </cell>
          <cell r="U2705">
            <v>0</v>
          </cell>
        </row>
        <row r="2706">
          <cell r="A2706">
            <v>6220209</v>
          </cell>
          <cell r="T2706">
            <v>0</v>
          </cell>
          <cell r="U2706">
            <v>0</v>
          </cell>
        </row>
        <row r="2707">
          <cell r="A2707">
            <v>6220210</v>
          </cell>
          <cell r="T2707">
            <v>0</v>
          </cell>
          <cell r="U2707">
            <v>0</v>
          </cell>
        </row>
        <row r="2708">
          <cell r="A2708">
            <v>6220301</v>
          </cell>
          <cell r="T2708">
            <v>0</v>
          </cell>
          <cell r="U2708">
            <v>0</v>
          </cell>
        </row>
        <row r="2709">
          <cell r="A2709">
            <v>6220302</v>
          </cell>
          <cell r="T2709">
            <v>0</v>
          </cell>
          <cell r="U2709">
            <v>0</v>
          </cell>
        </row>
        <row r="2710">
          <cell r="A2710">
            <v>6220303</v>
          </cell>
          <cell r="T2710">
            <v>0</v>
          </cell>
          <cell r="U2710">
            <v>0</v>
          </cell>
        </row>
        <row r="2711">
          <cell r="A2711">
            <v>6220306</v>
          </cell>
          <cell r="T2711">
            <v>0</v>
          </cell>
          <cell r="U2711">
            <v>0</v>
          </cell>
        </row>
        <row r="2712">
          <cell r="A2712">
            <v>6220307</v>
          </cell>
          <cell r="T2712">
            <v>0</v>
          </cell>
          <cell r="U2712">
            <v>0</v>
          </cell>
        </row>
        <row r="2713">
          <cell r="A2713">
            <v>6220308</v>
          </cell>
          <cell r="T2713">
            <v>0</v>
          </cell>
          <cell r="U2713">
            <v>0</v>
          </cell>
        </row>
        <row r="2714">
          <cell r="A2714">
            <v>6220309</v>
          </cell>
          <cell r="T2714">
            <v>0</v>
          </cell>
          <cell r="U2714">
            <v>0</v>
          </cell>
        </row>
        <row r="2715">
          <cell r="A2715">
            <v>6220310</v>
          </cell>
          <cell r="T2715">
            <v>0</v>
          </cell>
          <cell r="U2715">
            <v>0</v>
          </cell>
        </row>
        <row r="2716">
          <cell r="A2716">
            <v>6220401</v>
          </cell>
          <cell r="T2716">
            <v>0</v>
          </cell>
          <cell r="U2716">
            <v>0</v>
          </cell>
        </row>
        <row r="2717">
          <cell r="A2717">
            <v>6220402</v>
          </cell>
          <cell r="T2717">
            <v>0</v>
          </cell>
          <cell r="U2717">
            <v>0</v>
          </cell>
        </row>
        <row r="2718">
          <cell r="A2718">
            <v>6220403</v>
          </cell>
          <cell r="T2718">
            <v>0</v>
          </cell>
          <cell r="U2718">
            <v>0</v>
          </cell>
        </row>
        <row r="2719">
          <cell r="A2719">
            <v>6220406</v>
          </cell>
          <cell r="T2719">
            <v>0</v>
          </cell>
          <cell r="U2719">
            <v>0</v>
          </cell>
        </row>
        <row r="2720">
          <cell r="A2720">
            <v>6220407</v>
          </cell>
          <cell r="T2720">
            <v>0</v>
          </cell>
          <cell r="U2720">
            <v>0</v>
          </cell>
        </row>
        <row r="2721">
          <cell r="A2721">
            <v>6220408</v>
          </cell>
          <cell r="T2721">
            <v>0</v>
          </cell>
          <cell r="U2721">
            <v>0</v>
          </cell>
        </row>
        <row r="2722">
          <cell r="A2722">
            <v>6220409</v>
          </cell>
          <cell r="T2722">
            <v>0</v>
          </cell>
          <cell r="U2722">
            <v>0</v>
          </cell>
        </row>
        <row r="2723">
          <cell r="A2723">
            <v>6220410</v>
          </cell>
          <cell r="T2723">
            <v>0</v>
          </cell>
          <cell r="U2723">
            <v>0</v>
          </cell>
        </row>
        <row r="2724">
          <cell r="A2724">
            <v>6220501</v>
          </cell>
          <cell r="T2724">
            <v>0</v>
          </cell>
          <cell r="U2724">
            <v>0</v>
          </cell>
        </row>
        <row r="2725">
          <cell r="A2725">
            <v>6220502</v>
          </cell>
          <cell r="T2725">
            <v>0</v>
          </cell>
          <cell r="U2725">
            <v>0</v>
          </cell>
        </row>
        <row r="2726">
          <cell r="A2726">
            <v>6220503</v>
          </cell>
          <cell r="T2726">
            <v>0</v>
          </cell>
          <cell r="U2726">
            <v>0</v>
          </cell>
        </row>
        <row r="2727">
          <cell r="A2727">
            <v>6220506</v>
          </cell>
          <cell r="T2727">
            <v>0</v>
          </cell>
          <cell r="U2727">
            <v>0</v>
          </cell>
        </row>
        <row r="2728">
          <cell r="A2728">
            <v>6220507</v>
          </cell>
          <cell r="T2728">
            <v>0</v>
          </cell>
          <cell r="U2728">
            <v>0</v>
          </cell>
        </row>
        <row r="2729">
          <cell r="A2729">
            <v>6220508</v>
          </cell>
          <cell r="T2729">
            <v>0</v>
          </cell>
          <cell r="U2729">
            <v>0</v>
          </cell>
        </row>
        <row r="2730">
          <cell r="A2730">
            <v>6220509</v>
          </cell>
          <cell r="T2730">
            <v>0</v>
          </cell>
          <cell r="U2730">
            <v>0</v>
          </cell>
        </row>
        <row r="2731">
          <cell r="A2731">
            <v>6220510</v>
          </cell>
          <cell r="T2731">
            <v>0</v>
          </cell>
          <cell r="U2731">
            <v>0</v>
          </cell>
        </row>
        <row r="2732">
          <cell r="A2732">
            <v>6230201</v>
          </cell>
          <cell r="T2732">
            <v>0</v>
          </cell>
          <cell r="U2732">
            <v>0</v>
          </cell>
        </row>
        <row r="2733">
          <cell r="A2733">
            <v>6230202</v>
          </cell>
          <cell r="T2733">
            <v>0</v>
          </cell>
          <cell r="U2733">
            <v>0</v>
          </cell>
        </row>
        <row r="2734">
          <cell r="A2734">
            <v>6230203</v>
          </cell>
          <cell r="T2734">
            <v>0</v>
          </cell>
          <cell r="U2734">
            <v>0</v>
          </cell>
        </row>
        <row r="2735">
          <cell r="A2735">
            <v>6230206</v>
          </cell>
          <cell r="T2735">
            <v>0</v>
          </cell>
          <cell r="U2735">
            <v>0</v>
          </cell>
        </row>
        <row r="2736">
          <cell r="A2736">
            <v>6230207</v>
          </cell>
          <cell r="T2736">
            <v>0</v>
          </cell>
          <cell r="U2736">
            <v>0</v>
          </cell>
        </row>
        <row r="2737">
          <cell r="A2737">
            <v>6230208</v>
          </cell>
          <cell r="T2737">
            <v>0</v>
          </cell>
          <cell r="U2737">
            <v>0</v>
          </cell>
        </row>
        <row r="2738">
          <cell r="A2738">
            <v>6230209</v>
          </cell>
          <cell r="T2738">
            <v>0</v>
          </cell>
          <cell r="U2738">
            <v>0</v>
          </cell>
        </row>
        <row r="2739">
          <cell r="A2739">
            <v>6230210</v>
          </cell>
          <cell r="T2739">
            <v>0</v>
          </cell>
          <cell r="U2739">
            <v>0</v>
          </cell>
        </row>
        <row r="2740">
          <cell r="A2740">
            <v>6230301</v>
          </cell>
          <cell r="T2740">
            <v>0</v>
          </cell>
          <cell r="U2740">
            <v>0</v>
          </cell>
        </row>
        <row r="2741">
          <cell r="A2741">
            <v>6230302</v>
          </cell>
          <cell r="T2741">
            <v>0</v>
          </cell>
          <cell r="U2741">
            <v>0</v>
          </cell>
        </row>
        <row r="2742">
          <cell r="A2742">
            <v>6230303</v>
          </cell>
          <cell r="T2742">
            <v>0</v>
          </cell>
          <cell r="U2742">
            <v>0</v>
          </cell>
        </row>
        <row r="2743">
          <cell r="A2743">
            <v>6230306</v>
          </cell>
          <cell r="T2743">
            <v>0</v>
          </cell>
          <cell r="U2743">
            <v>0</v>
          </cell>
        </row>
        <row r="2744">
          <cell r="A2744">
            <v>6230307</v>
          </cell>
          <cell r="T2744">
            <v>0</v>
          </cell>
          <cell r="U2744">
            <v>0</v>
          </cell>
        </row>
        <row r="2745">
          <cell r="A2745">
            <v>6230308</v>
          </cell>
          <cell r="T2745">
            <v>0</v>
          </cell>
          <cell r="U2745">
            <v>0</v>
          </cell>
        </row>
        <row r="2746">
          <cell r="A2746">
            <v>6230309</v>
          </cell>
          <cell r="T2746">
            <v>0</v>
          </cell>
          <cell r="U2746">
            <v>0</v>
          </cell>
        </row>
        <row r="2747">
          <cell r="A2747">
            <v>6230310</v>
          </cell>
          <cell r="T2747">
            <v>0</v>
          </cell>
          <cell r="U2747">
            <v>0</v>
          </cell>
        </row>
        <row r="2748">
          <cell r="A2748">
            <v>6230401</v>
          </cell>
          <cell r="T2748">
            <v>0</v>
          </cell>
          <cell r="U2748">
            <v>0</v>
          </cell>
        </row>
        <row r="2749">
          <cell r="A2749">
            <v>6230402</v>
          </cell>
          <cell r="T2749">
            <v>0</v>
          </cell>
          <cell r="U2749">
            <v>0</v>
          </cell>
        </row>
        <row r="2750">
          <cell r="A2750">
            <v>6230403</v>
          </cell>
          <cell r="T2750">
            <v>0</v>
          </cell>
          <cell r="U2750">
            <v>0</v>
          </cell>
        </row>
        <row r="2751">
          <cell r="A2751">
            <v>6230406</v>
          </cell>
          <cell r="T2751">
            <v>0</v>
          </cell>
          <cell r="U2751">
            <v>0</v>
          </cell>
        </row>
        <row r="2752">
          <cell r="A2752">
            <v>6230407</v>
          </cell>
          <cell r="T2752">
            <v>0</v>
          </cell>
          <cell r="U2752">
            <v>0</v>
          </cell>
        </row>
        <row r="2753">
          <cell r="A2753">
            <v>6230408</v>
          </cell>
          <cell r="T2753">
            <v>0</v>
          </cell>
          <cell r="U2753">
            <v>0</v>
          </cell>
        </row>
        <row r="2754">
          <cell r="A2754">
            <v>6230409</v>
          </cell>
          <cell r="T2754">
            <v>0</v>
          </cell>
          <cell r="U2754">
            <v>0</v>
          </cell>
        </row>
        <row r="2755">
          <cell r="A2755">
            <v>6230410</v>
          </cell>
          <cell r="T2755">
            <v>0</v>
          </cell>
          <cell r="U2755">
            <v>0</v>
          </cell>
        </row>
        <row r="2756">
          <cell r="A2756">
            <v>6230501</v>
          </cell>
          <cell r="T2756">
            <v>0</v>
          </cell>
          <cell r="U2756">
            <v>0</v>
          </cell>
        </row>
        <row r="2757">
          <cell r="A2757">
            <v>6230502</v>
          </cell>
          <cell r="T2757">
            <v>0</v>
          </cell>
          <cell r="U2757">
            <v>0</v>
          </cell>
        </row>
        <row r="2758">
          <cell r="A2758">
            <v>6230503</v>
          </cell>
          <cell r="T2758">
            <v>0</v>
          </cell>
          <cell r="U2758">
            <v>0</v>
          </cell>
        </row>
        <row r="2759">
          <cell r="A2759">
            <v>6230506</v>
          </cell>
          <cell r="T2759">
            <v>0</v>
          </cell>
          <cell r="U2759">
            <v>0</v>
          </cell>
        </row>
        <row r="2760">
          <cell r="A2760">
            <v>6230507</v>
          </cell>
          <cell r="T2760">
            <v>0</v>
          </cell>
          <cell r="U2760">
            <v>0</v>
          </cell>
        </row>
        <row r="2761">
          <cell r="A2761">
            <v>6230508</v>
          </cell>
          <cell r="T2761">
            <v>0</v>
          </cell>
          <cell r="U2761">
            <v>0</v>
          </cell>
        </row>
        <row r="2762">
          <cell r="A2762">
            <v>6230509</v>
          </cell>
          <cell r="T2762">
            <v>0</v>
          </cell>
          <cell r="U2762">
            <v>0</v>
          </cell>
        </row>
        <row r="2763">
          <cell r="A2763">
            <v>6230510</v>
          </cell>
          <cell r="T2763">
            <v>0</v>
          </cell>
          <cell r="U2763">
            <v>0</v>
          </cell>
        </row>
        <row r="2764">
          <cell r="A2764">
            <v>6240201</v>
          </cell>
          <cell r="T2764">
            <v>0</v>
          </cell>
          <cell r="U2764">
            <v>0</v>
          </cell>
        </row>
        <row r="2765">
          <cell r="A2765">
            <v>6240202</v>
          </cell>
          <cell r="T2765">
            <v>0</v>
          </cell>
          <cell r="U2765">
            <v>0</v>
          </cell>
        </row>
        <row r="2766">
          <cell r="A2766">
            <v>6240203</v>
          </cell>
          <cell r="T2766">
            <v>0</v>
          </cell>
          <cell r="U2766">
            <v>0</v>
          </cell>
        </row>
        <row r="2767">
          <cell r="A2767">
            <v>6240206</v>
          </cell>
          <cell r="T2767">
            <v>0</v>
          </cell>
          <cell r="U2767">
            <v>0</v>
          </cell>
        </row>
        <row r="2768">
          <cell r="A2768">
            <v>6240207</v>
          </cell>
          <cell r="T2768">
            <v>0</v>
          </cell>
          <cell r="U2768">
            <v>0</v>
          </cell>
        </row>
        <row r="2769">
          <cell r="A2769">
            <v>6240208</v>
          </cell>
          <cell r="T2769">
            <v>0</v>
          </cell>
          <cell r="U2769">
            <v>0</v>
          </cell>
        </row>
        <row r="2770">
          <cell r="A2770">
            <v>6240209</v>
          </cell>
          <cell r="T2770">
            <v>0</v>
          </cell>
          <cell r="U2770">
            <v>0</v>
          </cell>
        </row>
        <row r="2771">
          <cell r="A2771">
            <v>6240210</v>
          </cell>
          <cell r="T2771">
            <v>0</v>
          </cell>
          <cell r="U2771">
            <v>0</v>
          </cell>
        </row>
        <row r="2772">
          <cell r="A2772">
            <v>6240301</v>
          </cell>
          <cell r="T2772">
            <v>0</v>
          </cell>
          <cell r="U2772">
            <v>0</v>
          </cell>
        </row>
        <row r="2773">
          <cell r="A2773">
            <v>6240302</v>
          </cell>
          <cell r="T2773">
            <v>0</v>
          </cell>
          <cell r="U2773">
            <v>0</v>
          </cell>
        </row>
        <row r="2774">
          <cell r="A2774">
            <v>6240303</v>
          </cell>
          <cell r="T2774">
            <v>0</v>
          </cell>
          <cell r="U2774">
            <v>0</v>
          </cell>
        </row>
        <row r="2775">
          <cell r="A2775">
            <v>6240306</v>
          </cell>
          <cell r="T2775">
            <v>0</v>
          </cell>
          <cell r="U2775">
            <v>0</v>
          </cell>
        </row>
        <row r="2776">
          <cell r="A2776">
            <v>6240307</v>
          </cell>
          <cell r="T2776">
            <v>0</v>
          </cell>
          <cell r="U2776">
            <v>0</v>
          </cell>
        </row>
        <row r="2777">
          <cell r="A2777">
            <v>6240308</v>
          </cell>
          <cell r="T2777">
            <v>0</v>
          </cell>
          <cell r="U2777">
            <v>0</v>
          </cell>
        </row>
        <row r="2778">
          <cell r="A2778">
            <v>6240309</v>
          </cell>
          <cell r="T2778">
            <v>0</v>
          </cell>
          <cell r="U2778">
            <v>0</v>
          </cell>
        </row>
        <row r="2779">
          <cell r="A2779">
            <v>6240310</v>
          </cell>
          <cell r="T2779">
            <v>0</v>
          </cell>
          <cell r="U2779">
            <v>0</v>
          </cell>
        </row>
        <row r="2780">
          <cell r="A2780">
            <v>6240401</v>
          </cell>
          <cell r="T2780">
            <v>0</v>
          </cell>
          <cell r="U2780">
            <v>0</v>
          </cell>
        </row>
        <row r="2781">
          <cell r="A2781">
            <v>6240402</v>
          </cell>
          <cell r="T2781">
            <v>0</v>
          </cell>
          <cell r="U2781">
            <v>0</v>
          </cell>
        </row>
        <row r="2782">
          <cell r="A2782">
            <v>6240403</v>
          </cell>
          <cell r="T2782">
            <v>0</v>
          </cell>
          <cell r="U2782">
            <v>0</v>
          </cell>
        </row>
        <row r="2783">
          <cell r="A2783">
            <v>6240406</v>
          </cell>
          <cell r="T2783">
            <v>0</v>
          </cell>
          <cell r="U2783">
            <v>0</v>
          </cell>
        </row>
        <row r="2784">
          <cell r="A2784">
            <v>6240407</v>
          </cell>
          <cell r="T2784">
            <v>0</v>
          </cell>
          <cell r="U2784">
            <v>0</v>
          </cell>
        </row>
        <row r="2785">
          <cell r="A2785">
            <v>6240408</v>
          </cell>
          <cell r="T2785">
            <v>0</v>
          </cell>
          <cell r="U2785">
            <v>0</v>
          </cell>
        </row>
        <row r="2786">
          <cell r="A2786">
            <v>6240409</v>
          </cell>
          <cell r="T2786">
            <v>0</v>
          </cell>
          <cell r="U2786">
            <v>0</v>
          </cell>
        </row>
        <row r="2787">
          <cell r="A2787">
            <v>6240410</v>
          </cell>
          <cell r="T2787">
            <v>0</v>
          </cell>
          <cell r="U2787">
            <v>0</v>
          </cell>
        </row>
        <row r="2788">
          <cell r="A2788">
            <v>6240501</v>
          </cell>
          <cell r="T2788">
            <v>0</v>
          </cell>
          <cell r="U2788">
            <v>0</v>
          </cell>
        </row>
        <row r="2789">
          <cell r="A2789">
            <v>6240502</v>
          </cell>
          <cell r="T2789">
            <v>0</v>
          </cell>
          <cell r="U2789">
            <v>0</v>
          </cell>
        </row>
        <row r="2790">
          <cell r="A2790">
            <v>6240503</v>
          </cell>
          <cell r="T2790">
            <v>0</v>
          </cell>
          <cell r="U2790">
            <v>0</v>
          </cell>
        </row>
        <row r="2791">
          <cell r="A2791">
            <v>6240506</v>
          </cell>
          <cell r="T2791">
            <v>0</v>
          </cell>
          <cell r="U2791">
            <v>0</v>
          </cell>
        </row>
        <row r="2792">
          <cell r="A2792">
            <v>6240507</v>
          </cell>
          <cell r="T2792">
            <v>0</v>
          </cell>
          <cell r="U2792">
            <v>0</v>
          </cell>
        </row>
        <row r="2793">
          <cell r="A2793">
            <v>6240508</v>
          </cell>
          <cell r="T2793">
            <v>0</v>
          </cell>
          <cell r="U2793">
            <v>0</v>
          </cell>
        </row>
        <row r="2794">
          <cell r="A2794">
            <v>6240509</v>
          </cell>
          <cell r="T2794">
            <v>0</v>
          </cell>
          <cell r="U2794">
            <v>0</v>
          </cell>
        </row>
        <row r="2795">
          <cell r="A2795">
            <v>6240510</v>
          </cell>
          <cell r="T2795">
            <v>0</v>
          </cell>
          <cell r="U2795">
            <v>0</v>
          </cell>
        </row>
        <row r="2796">
          <cell r="A2796">
            <v>6250201</v>
          </cell>
          <cell r="T2796">
            <v>0</v>
          </cell>
          <cell r="U2796">
            <v>0</v>
          </cell>
        </row>
        <row r="2797">
          <cell r="A2797">
            <v>6250202</v>
          </cell>
          <cell r="T2797">
            <v>0</v>
          </cell>
          <cell r="U2797">
            <v>0</v>
          </cell>
        </row>
        <row r="2798">
          <cell r="A2798">
            <v>6250203</v>
          </cell>
          <cell r="T2798">
            <v>0</v>
          </cell>
          <cell r="U2798">
            <v>0</v>
          </cell>
        </row>
        <row r="2799">
          <cell r="A2799">
            <v>6250206</v>
          </cell>
          <cell r="T2799">
            <v>0</v>
          </cell>
          <cell r="U2799">
            <v>0</v>
          </cell>
        </row>
        <row r="2800">
          <cell r="A2800">
            <v>6250207</v>
          </cell>
          <cell r="T2800">
            <v>0</v>
          </cell>
          <cell r="U2800">
            <v>0</v>
          </cell>
        </row>
        <row r="2801">
          <cell r="A2801">
            <v>6250208</v>
          </cell>
          <cell r="T2801">
            <v>0</v>
          </cell>
          <cell r="U2801">
            <v>0</v>
          </cell>
        </row>
        <row r="2802">
          <cell r="A2802">
            <v>6250209</v>
          </cell>
          <cell r="T2802">
            <v>0</v>
          </cell>
          <cell r="U2802">
            <v>0</v>
          </cell>
        </row>
        <row r="2803">
          <cell r="A2803">
            <v>6250210</v>
          </cell>
          <cell r="T2803">
            <v>0</v>
          </cell>
          <cell r="U2803">
            <v>0</v>
          </cell>
        </row>
        <row r="2804">
          <cell r="A2804">
            <v>6250301</v>
          </cell>
          <cell r="T2804">
            <v>0</v>
          </cell>
          <cell r="U2804">
            <v>0</v>
          </cell>
        </row>
        <row r="2805">
          <cell r="A2805">
            <v>6250302</v>
          </cell>
          <cell r="T2805">
            <v>0</v>
          </cell>
          <cell r="U2805">
            <v>0</v>
          </cell>
        </row>
        <row r="2806">
          <cell r="A2806">
            <v>6250303</v>
          </cell>
          <cell r="T2806">
            <v>0</v>
          </cell>
          <cell r="U2806">
            <v>0</v>
          </cell>
        </row>
        <row r="2807">
          <cell r="A2807">
            <v>6250306</v>
          </cell>
          <cell r="T2807">
            <v>0</v>
          </cell>
          <cell r="U2807">
            <v>0</v>
          </cell>
        </row>
        <row r="2808">
          <cell r="A2808">
            <v>6250307</v>
          </cell>
          <cell r="T2808">
            <v>0</v>
          </cell>
          <cell r="U2808">
            <v>0</v>
          </cell>
        </row>
        <row r="2809">
          <cell r="A2809">
            <v>6250308</v>
          </cell>
          <cell r="T2809">
            <v>0</v>
          </cell>
          <cell r="U2809">
            <v>0</v>
          </cell>
        </row>
        <row r="2810">
          <cell r="A2810">
            <v>6250309</v>
          </cell>
          <cell r="T2810">
            <v>0</v>
          </cell>
          <cell r="U2810">
            <v>0</v>
          </cell>
        </row>
        <row r="2811">
          <cell r="A2811">
            <v>6250310</v>
          </cell>
          <cell r="T2811">
            <v>0</v>
          </cell>
          <cell r="U2811">
            <v>0</v>
          </cell>
        </row>
        <row r="2812">
          <cell r="A2812">
            <v>6250401</v>
          </cell>
          <cell r="T2812">
            <v>0</v>
          </cell>
          <cell r="U2812">
            <v>0</v>
          </cell>
        </row>
        <row r="2813">
          <cell r="A2813">
            <v>6250402</v>
          </cell>
          <cell r="T2813">
            <v>0</v>
          </cell>
          <cell r="U2813">
            <v>0</v>
          </cell>
        </row>
        <row r="2814">
          <cell r="A2814">
            <v>6250403</v>
          </cell>
          <cell r="T2814">
            <v>0</v>
          </cell>
          <cell r="U2814">
            <v>0</v>
          </cell>
        </row>
        <row r="2815">
          <cell r="A2815">
            <v>6250406</v>
          </cell>
          <cell r="T2815">
            <v>0</v>
          </cell>
          <cell r="U2815">
            <v>0</v>
          </cell>
        </row>
        <row r="2816">
          <cell r="A2816">
            <v>6250407</v>
          </cell>
          <cell r="T2816">
            <v>0</v>
          </cell>
          <cell r="U2816">
            <v>0</v>
          </cell>
        </row>
        <row r="2817">
          <cell r="A2817">
            <v>6250408</v>
          </cell>
          <cell r="T2817">
            <v>0</v>
          </cell>
          <cell r="U2817">
            <v>0</v>
          </cell>
        </row>
        <row r="2818">
          <cell r="A2818">
            <v>6250409</v>
          </cell>
          <cell r="T2818">
            <v>0</v>
          </cell>
          <cell r="U2818">
            <v>0</v>
          </cell>
        </row>
        <row r="2819">
          <cell r="A2819">
            <v>6250410</v>
          </cell>
          <cell r="T2819">
            <v>0</v>
          </cell>
          <cell r="U2819">
            <v>0</v>
          </cell>
        </row>
        <row r="2820">
          <cell r="A2820">
            <v>6250501</v>
          </cell>
          <cell r="T2820">
            <v>0</v>
          </cell>
          <cell r="U2820">
            <v>0</v>
          </cell>
        </row>
        <row r="2821">
          <cell r="A2821">
            <v>6250502</v>
          </cell>
          <cell r="T2821">
            <v>0</v>
          </cell>
          <cell r="U2821">
            <v>0</v>
          </cell>
        </row>
        <row r="2822">
          <cell r="A2822">
            <v>6250503</v>
          </cell>
          <cell r="T2822">
            <v>0</v>
          </cell>
          <cell r="U2822">
            <v>0</v>
          </cell>
        </row>
        <row r="2823">
          <cell r="A2823">
            <v>6250506</v>
          </cell>
          <cell r="T2823">
            <v>0</v>
          </cell>
          <cell r="U2823">
            <v>0</v>
          </cell>
        </row>
        <row r="2824">
          <cell r="A2824">
            <v>6250507</v>
          </cell>
          <cell r="T2824">
            <v>0</v>
          </cell>
          <cell r="U2824">
            <v>0</v>
          </cell>
        </row>
        <row r="2825">
          <cell r="A2825">
            <v>6250508</v>
          </cell>
          <cell r="T2825">
            <v>0</v>
          </cell>
          <cell r="U2825">
            <v>0</v>
          </cell>
        </row>
        <row r="2826">
          <cell r="A2826">
            <v>6250509</v>
          </cell>
          <cell r="T2826">
            <v>0</v>
          </cell>
          <cell r="U2826">
            <v>0</v>
          </cell>
        </row>
        <row r="2827">
          <cell r="A2827">
            <v>6250510</v>
          </cell>
          <cell r="T2827">
            <v>0</v>
          </cell>
          <cell r="U2827">
            <v>0</v>
          </cell>
        </row>
        <row r="2828">
          <cell r="A2828">
            <v>6260201</v>
          </cell>
          <cell r="T2828">
            <v>0</v>
          </cell>
          <cell r="U2828">
            <v>0</v>
          </cell>
        </row>
        <row r="2829">
          <cell r="A2829">
            <v>6260202</v>
          </cell>
          <cell r="T2829">
            <v>0</v>
          </cell>
          <cell r="U2829">
            <v>0</v>
          </cell>
        </row>
        <row r="2830">
          <cell r="A2830">
            <v>6260203</v>
          </cell>
          <cell r="T2830">
            <v>0</v>
          </cell>
          <cell r="U2830">
            <v>0</v>
          </cell>
        </row>
        <row r="2831">
          <cell r="A2831">
            <v>6260206</v>
          </cell>
          <cell r="T2831">
            <v>0</v>
          </cell>
          <cell r="U2831">
            <v>0</v>
          </cell>
        </row>
        <row r="2832">
          <cell r="A2832">
            <v>6260207</v>
          </cell>
          <cell r="T2832">
            <v>0</v>
          </cell>
          <cell r="U2832">
            <v>0</v>
          </cell>
        </row>
        <row r="2833">
          <cell r="A2833">
            <v>6260208</v>
          </cell>
          <cell r="T2833">
            <v>0</v>
          </cell>
          <cell r="U2833">
            <v>0</v>
          </cell>
        </row>
        <row r="2834">
          <cell r="A2834">
            <v>6260209</v>
          </cell>
          <cell r="T2834">
            <v>0</v>
          </cell>
          <cell r="U2834">
            <v>0</v>
          </cell>
        </row>
        <row r="2835">
          <cell r="A2835">
            <v>6260210</v>
          </cell>
          <cell r="T2835">
            <v>0</v>
          </cell>
          <cell r="U2835">
            <v>0</v>
          </cell>
        </row>
        <row r="2836">
          <cell r="A2836">
            <v>6260301</v>
          </cell>
          <cell r="T2836">
            <v>0</v>
          </cell>
          <cell r="U2836">
            <v>0</v>
          </cell>
        </row>
        <row r="2837">
          <cell r="A2837">
            <v>6260302</v>
          </cell>
          <cell r="T2837">
            <v>0</v>
          </cell>
          <cell r="U2837">
            <v>0</v>
          </cell>
        </row>
        <row r="2838">
          <cell r="A2838">
            <v>6260303</v>
          </cell>
          <cell r="T2838">
            <v>0</v>
          </cell>
          <cell r="U2838">
            <v>0</v>
          </cell>
        </row>
        <row r="2839">
          <cell r="A2839">
            <v>6260306</v>
          </cell>
          <cell r="T2839">
            <v>0</v>
          </cell>
          <cell r="U2839">
            <v>0</v>
          </cell>
        </row>
        <row r="2840">
          <cell r="A2840">
            <v>6260307</v>
          </cell>
          <cell r="T2840">
            <v>0</v>
          </cell>
          <cell r="U2840">
            <v>0</v>
          </cell>
        </row>
        <row r="2841">
          <cell r="A2841">
            <v>6260308</v>
          </cell>
          <cell r="T2841">
            <v>0</v>
          </cell>
          <cell r="U2841">
            <v>0</v>
          </cell>
        </row>
        <row r="2842">
          <cell r="A2842">
            <v>6260309</v>
          </cell>
          <cell r="T2842">
            <v>0</v>
          </cell>
          <cell r="U2842">
            <v>0</v>
          </cell>
        </row>
        <row r="2843">
          <cell r="A2843">
            <v>6260310</v>
          </cell>
          <cell r="T2843">
            <v>0</v>
          </cell>
          <cell r="U2843">
            <v>0</v>
          </cell>
        </row>
        <row r="2844">
          <cell r="A2844">
            <v>6260401</v>
          </cell>
          <cell r="T2844">
            <v>0</v>
          </cell>
          <cell r="U2844">
            <v>0</v>
          </cell>
        </row>
        <row r="2845">
          <cell r="A2845">
            <v>6260402</v>
          </cell>
          <cell r="T2845">
            <v>0</v>
          </cell>
          <cell r="U2845">
            <v>0</v>
          </cell>
        </row>
        <row r="2846">
          <cell r="A2846">
            <v>6260403</v>
          </cell>
          <cell r="T2846">
            <v>0</v>
          </cell>
          <cell r="U2846">
            <v>0</v>
          </cell>
        </row>
        <row r="2847">
          <cell r="A2847">
            <v>6260406</v>
          </cell>
          <cell r="T2847">
            <v>0</v>
          </cell>
          <cell r="U2847">
            <v>0</v>
          </cell>
        </row>
        <row r="2848">
          <cell r="A2848">
            <v>6260407</v>
          </cell>
          <cell r="T2848">
            <v>0</v>
          </cell>
          <cell r="U2848">
            <v>0</v>
          </cell>
        </row>
        <row r="2849">
          <cell r="A2849">
            <v>6260408</v>
          </cell>
          <cell r="T2849">
            <v>0</v>
          </cell>
          <cell r="U2849">
            <v>0</v>
          </cell>
        </row>
        <row r="2850">
          <cell r="A2850">
            <v>6260409</v>
          </cell>
          <cell r="T2850">
            <v>0</v>
          </cell>
          <cell r="U2850">
            <v>0</v>
          </cell>
        </row>
        <row r="2851">
          <cell r="A2851">
            <v>6260410</v>
          </cell>
          <cell r="T2851">
            <v>0</v>
          </cell>
          <cell r="U2851">
            <v>0</v>
          </cell>
        </row>
        <row r="2852">
          <cell r="A2852">
            <v>6260501</v>
          </cell>
          <cell r="T2852">
            <v>0</v>
          </cell>
          <cell r="U2852">
            <v>0</v>
          </cell>
        </row>
        <row r="2853">
          <cell r="A2853">
            <v>6260502</v>
          </cell>
          <cell r="T2853">
            <v>0</v>
          </cell>
          <cell r="U2853">
            <v>0</v>
          </cell>
        </row>
        <row r="2854">
          <cell r="A2854">
            <v>6260503</v>
          </cell>
          <cell r="T2854">
            <v>0</v>
          </cell>
          <cell r="U2854">
            <v>0</v>
          </cell>
        </row>
        <row r="2855">
          <cell r="A2855">
            <v>6260506</v>
          </cell>
          <cell r="T2855">
            <v>0</v>
          </cell>
          <cell r="U2855">
            <v>0</v>
          </cell>
        </row>
        <row r="2856">
          <cell r="A2856">
            <v>6260507</v>
          </cell>
          <cell r="T2856">
            <v>0</v>
          </cell>
          <cell r="U2856">
            <v>0</v>
          </cell>
        </row>
        <row r="2857">
          <cell r="A2857">
            <v>6260508</v>
          </cell>
          <cell r="T2857">
            <v>0</v>
          </cell>
          <cell r="U2857">
            <v>0</v>
          </cell>
        </row>
        <row r="2858">
          <cell r="A2858">
            <v>6260509</v>
          </cell>
          <cell r="T2858">
            <v>0</v>
          </cell>
          <cell r="U2858">
            <v>0</v>
          </cell>
        </row>
        <row r="2859">
          <cell r="A2859">
            <v>6260510</v>
          </cell>
          <cell r="T2859">
            <v>0</v>
          </cell>
          <cell r="U2859">
            <v>0</v>
          </cell>
        </row>
        <row r="2860">
          <cell r="A2860">
            <v>6270201</v>
          </cell>
          <cell r="T2860">
            <v>0</v>
          </cell>
          <cell r="U2860">
            <v>0</v>
          </cell>
        </row>
        <row r="2861">
          <cell r="A2861">
            <v>6270202</v>
          </cell>
          <cell r="T2861">
            <v>0</v>
          </cell>
          <cell r="U2861">
            <v>0</v>
          </cell>
        </row>
        <row r="2862">
          <cell r="A2862">
            <v>6270203</v>
          </cell>
          <cell r="T2862">
            <v>0</v>
          </cell>
          <cell r="U2862">
            <v>0</v>
          </cell>
        </row>
        <row r="2863">
          <cell r="A2863">
            <v>6270206</v>
          </cell>
          <cell r="T2863">
            <v>0</v>
          </cell>
          <cell r="U2863">
            <v>0</v>
          </cell>
        </row>
        <row r="2864">
          <cell r="A2864">
            <v>6270207</v>
          </cell>
          <cell r="T2864">
            <v>0</v>
          </cell>
          <cell r="U2864">
            <v>0</v>
          </cell>
        </row>
        <row r="2865">
          <cell r="A2865">
            <v>6270208</v>
          </cell>
          <cell r="T2865">
            <v>0</v>
          </cell>
          <cell r="U2865">
            <v>0</v>
          </cell>
        </row>
        <row r="2866">
          <cell r="A2866">
            <v>6270209</v>
          </cell>
          <cell r="T2866">
            <v>0</v>
          </cell>
          <cell r="U2866">
            <v>0</v>
          </cell>
        </row>
        <row r="2867">
          <cell r="A2867">
            <v>6270210</v>
          </cell>
          <cell r="T2867">
            <v>0</v>
          </cell>
          <cell r="U2867">
            <v>0</v>
          </cell>
        </row>
        <row r="2868">
          <cell r="A2868">
            <v>6270301</v>
          </cell>
          <cell r="T2868">
            <v>0</v>
          </cell>
          <cell r="U2868">
            <v>0</v>
          </cell>
        </row>
        <row r="2869">
          <cell r="A2869">
            <v>6270302</v>
          </cell>
          <cell r="T2869">
            <v>0</v>
          </cell>
          <cell r="U2869">
            <v>0</v>
          </cell>
        </row>
        <row r="2870">
          <cell r="A2870">
            <v>6270303</v>
          </cell>
          <cell r="T2870">
            <v>0</v>
          </cell>
          <cell r="U2870">
            <v>0</v>
          </cell>
        </row>
        <row r="2871">
          <cell r="A2871">
            <v>6270306</v>
          </cell>
          <cell r="T2871">
            <v>0</v>
          </cell>
          <cell r="U2871">
            <v>0</v>
          </cell>
        </row>
        <row r="2872">
          <cell r="A2872">
            <v>6270307</v>
          </cell>
          <cell r="T2872">
            <v>0</v>
          </cell>
          <cell r="U2872">
            <v>0</v>
          </cell>
        </row>
        <row r="2873">
          <cell r="A2873">
            <v>6270308</v>
          </cell>
          <cell r="T2873">
            <v>0</v>
          </cell>
          <cell r="U2873">
            <v>0</v>
          </cell>
        </row>
        <row r="2874">
          <cell r="A2874">
            <v>6270309</v>
          </cell>
          <cell r="T2874">
            <v>0</v>
          </cell>
          <cell r="U2874">
            <v>0</v>
          </cell>
        </row>
        <row r="2875">
          <cell r="A2875">
            <v>6270310</v>
          </cell>
          <cell r="T2875">
            <v>0</v>
          </cell>
          <cell r="U2875">
            <v>0</v>
          </cell>
        </row>
        <row r="2876">
          <cell r="A2876">
            <v>6270401</v>
          </cell>
          <cell r="T2876">
            <v>0</v>
          </cell>
          <cell r="U2876">
            <v>0</v>
          </cell>
        </row>
        <row r="2877">
          <cell r="A2877">
            <v>6270402</v>
          </cell>
          <cell r="T2877">
            <v>0</v>
          </cell>
          <cell r="U2877">
            <v>0</v>
          </cell>
        </row>
        <row r="2878">
          <cell r="A2878">
            <v>6270403</v>
          </cell>
          <cell r="T2878">
            <v>0</v>
          </cell>
          <cell r="U2878">
            <v>0</v>
          </cell>
        </row>
        <row r="2879">
          <cell r="A2879">
            <v>6270406</v>
          </cell>
          <cell r="T2879">
            <v>0</v>
          </cell>
          <cell r="U2879">
            <v>0</v>
          </cell>
        </row>
        <row r="2880">
          <cell r="A2880">
            <v>6270407</v>
          </cell>
          <cell r="T2880">
            <v>0</v>
          </cell>
          <cell r="U2880">
            <v>0</v>
          </cell>
        </row>
        <row r="2881">
          <cell r="A2881">
            <v>6270408</v>
          </cell>
          <cell r="T2881">
            <v>0</v>
          </cell>
          <cell r="U2881">
            <v>0</v>
          </cell>
        </row>
        <row r="2882">
          <cell r="A2882">
            <v>6270409</v>
          </cell>
          <cell r="T2882">
            <v>0</v>
          </cell>
          <cell r="U2882">
            <v>0</v>
          </cell>
        </row>
        <row r="2883">
          <cell r="A2883">
            <v>6270410</v>
          </cell>
          <cell r="T2883">
            <v>0</v>
          </cell>
          <cell r="U2883">
            <v>0</v>
          </cell>
        </row>
        <row r="2884">
          <cell r="A2884">
            <v>6270501</v>
          </cell>
          <cell r="T2884">
            <v>0</v>
          </cell>
          <cell r="U2884">
            <v>0</v>
          </cell>
        </row>
        <row r="2885">
          <cell r="A2885">
            <v>6270502</v>
          </cell>
          <cell r="T2885">
            <v>0</v>
          </cell>
          <cell r="U2885">
            <v>0</v>
          </cell>
        </row>
        <row r="2886">
          <cell r="A2886">
            <v>6270503</v>
          </cell>
          <cell r="T2886">
            <v>0</v>
          </cell>
          <cell r="U2886">
            <v>0</v>
          </cell>
        </row>
        <row r="2887">
          <cell r="A2887">
            <v>6270506</v>
          </cell>
          <cell r="T2887">
            <v>0</v>
          </cell>
          <cell r="U2887">
            <v>0</v>
          </cell>
        </row>
        <row r="2888">
          <cell r="A2888">
            <v>6270507</v>
          </cell>
          <cell r="T2888">
            <v>0</v>
          </cell>
          <cell r="U2888">
            <v>0</v>
          </cell>
        </row>
        <row r="2889">
          <cell r="A2889">
            <v>6270508</v>
          </cell>
          <cell r="T2889">
            <v>0</v>
          </cell>
          <cell r="U2889">
            <v>0</v>
          </cell>
        </row>
        <row r="2890">
          <cell r="A2890">
            <v>6270509</v>
          </cell>
          <cell r="T2890">
            <v>0</v>
          </cell>
          <cell r="U2890">
            <v>0</v>
          </cell>
        </row>
        <row r="2891">
          <cell r="A2891">
            <v>6270510</v>
          </cell>
          <cell r="T2891">
            <v>0</v>
          </cell>
          <cell r="U2891">
            <v>0</v>
          </cell>
        </row>
        <row r="2892">
          <cell r="A2892">
            <v>6280201</v>
          </cell>
          <cell r="T2892">
            <v>0</v>
          </cell>
          <cell r="U2892">
            <v>0</v>
          </cell>
        </row>
        <row r="2893">
          <cell r="A2893">
            <v>6280202</v>
          </cell>
          <cell r="T2893">
            <v>0</v>
          </cell>
          <cell r="U2893">
            <v>0</v>
          </cell>
        </row>
        <row r="2894">
          <cell r="A2894">
            <v>6280203</v>
          </cell>
          <cell r="T2894">
            <v>0</v>
          </cell>
          <cell r="U2894">
            <v>0</v>
          </cell>
        </row>
        <row r="2895">
          <cell r="A2895">
            <v>6280206</v>
          </cell>
          <cell r="T2895">
            <v>0</v>
          </cell>
          <cell r="U2895">
            <v>0</v>
          </cell>
        </row>
        <row r="2896">
          <cell r="A2896">
            <v>6280207</v>
          </cell>
          <cell r="T2896">
            <v>0</v>
          </cell>
          <cell r="U2896">
            <v>0</v>
          </cell>
        </row>
        <row r="2897">
          <cell r="A2897">
            <v>6280208</v>
          </cell>
          <cell r="T2897">
            <v>0</v>
          </cell>
          <cell r="U2897">
            <v>0</v>
          </cell>
        </row>
        <row r="2898">
          <cell r="A2898">
            <v>6280209</v>
          </cell>
          <cell r="T2898">
            <v>0</v>
          </cell>
          <cell r="U2898">
            <v>0</v>
          </cell>
        </row>
        <row r="2899">
          <cell r="A2899">
            <v>6280210</v>
          </cell>
          <cell r="T2899">
            <v>0</v>
          </cell>
          <cell r="U2899">
            <v>0</v>
          </cell>
        </row>
        <row r="2900">
          <cell r="A2900">
            <v>6280301</v>
          </cell>
          <cell r="T2900">
            <v>0</v>
          </cell>
          <cell r="U2900">
            <v>0</v>
          </cell>
        </row>
        <row r="2901">
          <cell r="A2901">
            <v>6280302</v>
          </cell>
          <cell r="T2901">
            <v>0</v>
          </cell>
          <cell r="U2901">
            <v>0</v>
          </cell>
        </row>
        <row r="2902">
          <cell r="A2902">
            <v>6280303</v>
          </cell>
          <cell r="T2902">
            <v>0</v>
          </cell>
          <cell r="U2902">
            <v>0</v>
          </cell>
        </row>
        <row r="2903">
          <cell r="A2903">
            <v>6280306</v>
          </cell>
          <cell r="T2903">
            <v>0</v>
          </cell>
          <cell r="U2903">
            <v>0</v>
          </cell>
        </row>
        <row r="2904">
          <cell r="A2904">
            <v>6280307</v>
          </cell>
          <cell r="T2904">
            <v>0</v>
          </cell>
          <cell r="U2904">
            <v>0</v>
          </cell>
        </row>
        <row r="2905">
          <cell r="A2905">
            <v>6280308</v>
          </cell>
          <cell r="T2905">
            <v>0</v>
          </cell>
          <cell r="U2905">
            <v>0</v>
          </cell>
        </row>
        <row r="2906">
          <cell r="A2906">
            <v>6280309</v>
          </cell>
          <cell r="T2906">
            <v>0</v>
          </cell>
          <cell r="U2906">
            <v>0</v>
          </cell>
        </row>
        <row r="2907">
          <cell r="A2907">
            <v>6280310</v>
          </cell>
          <cell r="T2907">
            <v>0</v>
          </cell>
          <cell r="U2907">
            <v>0</v>
          </cell>
        </row>
        <row r="2908">
          <cell r="A2908">
            <v>6280401</v>
          </cell>
          <cell r="T2908">
            <v>0</v>
          </cell>
          <cell r="U2908">
            <v>0</v>
          </cell>
        </row>
        <row r="2909">
          <cell r="A2909">
            <v>6280402</v>
          </cell>
          <cell r="T2909">
            <v>0</v>
          </cell>
          <cell r="U2909">
            <v>0</v>
          </cell>
        </row>
        <row r="2910">
          <cell r="A2910">
            <v>6280403</v>
          </cell>
          <cell r="T2910">
            <v>0</v>
          </cell>
          <cell r="U2910">
            <v>0</v>
          </cell>
        </row>
        <row r="2911">
          <cell r="A2911">
            <v>6280406</v>
          </cell>
          <cell r="T2911">
            <v>0</v>
          </cell>
          <cell r="U2911">
            <v>0</v>
          </cell>
        </row>
        <row r="2912">
          <cell r="A2912">
            <v>6280407</v>
          </cell>
          <cell r="T2912">
            <v>0</v>
          </cell>
          <cell r="U2912">
            <v>0</v>
          </cell>
        </row>
        <row r="2913">
          <cell r="A2913">
            <v>6280408</v>
          </cell>
          <cell r="T2913">
            <v>0</v>
          </cell>
          <cell r="U2913">
            <v>0</v>
          </cell>
        </row>
        <row r="2914">
          <cell r="A2914">
            <v>6280409</v>
          </cell>
          <cell r="T2914">
            <v>0</v>
          </cell>
          <cell r="U2914">
            <v>0</v>
          </cell>
        </row>
        <row r="2915">
          <cell r="A2915">
            <v>6280410</v>
          </cell>
          <cell r="T2915">
            <v>0</v>
          </cell>
          <cell r="U2915">
            <v>0</v>
          </cell>
        </row>
        <row r="2916">
          <cell r="A2916">
            <v>6280501</v>
          </cell>
          <cell r="T2916">
            <v>0</v>
          </cell>
          <cell r="U2916">
            <v>0</v>
          </cell>
        </row>
        <row r="2917">
          <cell r="A2917">
            <v>6280502</v>
          </cell>
          <cell r="T2917">
            <v>0</v>
          </cell>
          <cell r="U2917">
            <v>0</v>
          </cell>
        </row>
        <row r="2918">
          <cell r="A2918">
            <v>6280503</v>
          </cell>
          <cell r="T2918">
            <v>0</v>
          </cell>
          <cell r="U2918">
            <v>0</v>
          </cell>
        </row>
        <row r="2919">
          <cell r="A2919">
            <v>6280506</v>
          </cell>
          <cell r="T2919">
            <v>0</v>
          </cell>
          <cell r="U2919">
            <v>0</v>
          </cell>
        </row>
        <row r="2920">
          <cell r="A2920">
            <v>6280507</v>
          </cell>
          <cell r="T2920">
            <v>0</v>
          </cell>
          <cell r="U2920">
            <v>0</v>
          </cell>
        </row>
        <row r="2921">
          <cell r="A2921">
            <v>6280508</v>
          </cell>
          <cell r="T2921">
            <v>0</v>
          </cell>
          <cell r="U2921">
            <v>0</v>
          </cell>
        </row>
        <row r="2922">
          <cell r="A2922">
            <v>6280509</v>
          </cell>
          <cell r="T2922">
            <v>0</v>
          </cell>
          <cell r="U2922">
            <v>0</v>
          </cell>
        </row>
        <row r="2923">
          <cell r="A2923">
            <v>6280510</v>
          </cell>
          <cell r="T2923">
            <v>0</v>
          </cell>
          <cell r="U2923">
            <v>0</v>
          </cell>
        </row>
        <row r="2924">
          <cell r="A2924">
            <v>6290201</v>
          </cell>
          <cell r="T2924">
            <v>0</v>
          </cell>
          <cell r="U2924">
            <v>0</v>
          </cell>
        </row>
        <row r="2925">
          <cell r="A2925">
            <v>6290202</v>
          </cell>
          <cell r="T2925">
            <v>0</v>
          </cell>
          <cell r="U2925">
            <v>0</v>
          </cell>
        </row>
        <row r="2926">
          <cell r="A2926">
            <v>6290203</v>
          </cell>
          <cell r="T2926">
            <v>0</v>
          </cell>
          <cell r="U2926">
            <v>0</v>
          </cell>
        </row>
        <row r="2927">
          <cell r="A2927">
            <v>6290206</v>
          </cell>
          <cell r="T2927">
            <v>0</v>
          </cell>
          <cell r="U2927">
            <v>0</v>
          </cell>
        </row>
        <row r="2928">
          <cell r="A2928">
            <v>6290207</v>
          </cell>
          <cell r="T2928">
            <v>0</v>
          </cell>
          <cell r="U2928">
            <v>0</v>
          </cell>
        </row>
        <row r="2929">
          <cell r="A2929">
            <v>6290208</v>
          </cell>
          <cell r="T2929">
            <v>0</v>
          </cell>
          <cell r="U2929">
            <v>0</v>
          </cell>
        </row>
        <row r="2930">
          <cell r="A2930">
            <v>6290209</v>
          </cell>
          <cell r="T2930">
            <v>0</v>
          </cell>
          <cell r="U2930">
            <v>0</v>
          </cell>
        </row>
        <row r="2931">
          <cell r="A2931">
            <v>6290210</v>
          </cell>
          <cell r="T2931">
            <v>0</v>
          </cell>
          <cell r="U2931">
            <v>0</v>
          </cell>
        </row>
        <row r="2932">
          <cell r="A2932">
            <v>6290301</v>
          </cell>
          <cell r="T2932">
            <v>0</v>
          </cell>
          <cell r="U2932">
            <v>0</v>
          </cell>
        </row>
        <row r="2933">
          <cell r="A2933">
            <v>6290302</v>
          </cell>
          <cell r="T2933">
            <v>0</v>
          </cell>
          <cell r="U2933">
            <v>0</v>
          </cell>
        </row>
        <row r="2934">
          <cell r="A2934">
            <v>6290303</v>
          </cell>
          <cell r="T2934">
            <v>0</v>
          </cell>
          <cell r="U2934">
            <v>0</v>
          </cell>
        </row>
        <row r="2935">
          <cell r="A2935">
            <v>6290306</v>
          </cell>
          <cell r="T2935">
            <v>0</v>
          </cell>
          <cell r="U2935">
            <v>0</v>
          </cell>
        </row>
        <row r="2936">
          <cell r="A2936">
            <v>6290307</v>
          </cell>
          <cell r="T2936">
            <v>0</v>
          </cell>
          <cell r="U2936">
            <v>0</v>
          </cell>
        </row>
        <row r="2937">
          <cell r="A2937">
            <v>6290308</v>
          </cell>
          <cell r="T2937">
            <v>0</v>
          </cell>
          <cell r="U2937">
            <v>0</v>
          </cell>
        </row>
        <row r="2938">
          <cell r="A2938">
            <v>6290309</v>
          </cell>
          <cell r="T2938">
            <v>0</v>
          </cell>
          <cell r="U2938">
            <v>0</v>
          </cell>
        </row>
        <row r="2939">
          <cell r="A2939">
            <v>6290310</v>
          </cell>
          <cell r="T2939">
            <v>0</v>
          </cell>
          <cell r="U2939">
            <v>0</v>
          </cell>
        </row>
        <row r="2940">
          <cell r="A2940">
            <v>6290401</v>
          </cell>
          <cell r="T2940">
            <v>0</v>
          </cell>
          <cell r="U2940">
            <v>0</v>
          </cell>
        </row>
        <row r="2941">
          <cell r="A2941">
            <v>6290402</v>
          </cell>
          <cell r="T2941">
            <v>0</v>
          </cell>
          <cell r="U2941">
            <v>0</v>
          </cell>
        </row>
        <row r="2942">
          <cell r="A2942">
            <v>6290403</v>
          </cell>
          <cell r="T2942">
            <v>0</v>
          </cell>
          <cell r="U2942">
            <v>0</v>
          </cell>
        </row>
        <row r="2943">
          <cell r="A2943">
            <v>6290406</v>
          </cell>
          <cell r="T2943">
            <v>0</v>
          </cell>
          <cell r="U2943">
            <v>0</v>
          </cell>
        </row>
        <row r="2944">
          <cell r="A2944">
            <v>6290407</v>
          </cell>
          <cell r="T2944">
            <v>0</v>
          </cell>
          <cell r="U2944">
            <v>0</v>
          </cell>
        </row>
        <row r="2945">
          <cell r="A2945">
            <v>6290408</v>
          </cell>
          <cell r="T2945">
            <v>0</v>
          </cell>
          <cell r="U2945">
            <v>0</v>
          </cell>
        </row>
        <row r="2946">
          <cell r="A2946">
            <v>6290409</v>
          </cell>
          <cell r="T2946">
            <v>0</v>
          </cell>
          <cell r="U2946">
            <v>0</v>
          </cell>
        </row>
        <row r="2947">
          <cell r="A2947">
            <v>6290410</v>
          </cell>
          <cell r="T2947">
            <v>0</v>
          </cell>
          <cell r="U2947">
            <v>0</v>
          </cell>
        </row>
        <row r="2948">
          <cell r="A2948">
            <v>6290501</v>
          </cell>
          <cell r="T2948">
            <v>0</v>
          </cell>
          <cell r="U2948">
            <v>0</v>
          </cell>
        </row>
        <row r="2949">
          <cell r="A2949">
            <v>6290502</v>
          </cell>
          <cell r="T2949">
            <v>0</v>
          </cell>
          <cell r="U2949">
            <v>0</v>
          </cell>
        </row>
        <row r="2950">
          <cell r="A2950">
            <v>6290503</v>
          </cell>
          <cell r="T2950">
            <v>0</v>
          </cell>
          <cell r="U2950">
            <v>0</v>
          </cell>
        </row>
        <row r="2951">
          <cell r="A2951">
            <v>6290506</v>
          </cell>
          <cell r="T2951">
            <v>0</v>
          </cell>
          <cell r="U2951">
            <v>0</v>
          </cell>
        </row>
        <row r="2952">
          <cell r="A2952">
            <v>6290507</v>
          </cell>
          <cell r="T2952">
            <v>0</v>
          </cell>
          <cell r="U2952">
            <v>0</v>
          </cell>
        </row>
        <row r="2953">
          <cell r="A2953">
            <v>6290508</v>
          </cell>
          <cell r="T2953">
            <v>0</v>
          </cell>
          <cell r="U2953">
            <v>0</v>
          </cell>
        </row>
        <row r="2954">
          <cell r="A2954">
            <v>6290509</v>
          </cell>
          <cell r="T2954">
            <v>0</v>
          </cell>
          <cell r="U2954">
            <v>0</v>
          </cell>
        </row>
        <row r="2955">
          <cell r="A2955">
            <v>6290510</v>
          </cell>
          <cell r="T2955">
            <v>0</v>
          </cell>
          <cell r="U2955">
            <v>0</v>
          </cell>
        </row>
        <row r="2956">
          <cell r="A2956">
            <v>6300201</v>
          </cell>
          <cell r="T2956">
            <v>0</v>
          </cell>
          <cell r="U2956">
            <v>0</v>
          </cell>
        </row>
        <row r="2957">
          <cell r="A2957">
            <v>6300202</v>
          </cell>
          <cell r="T2957">
            <v>0</v>
          </cell>
          <cell r="U2957">
            <v>0</v>
          </cell>
        </row>
        <row r="2958">
          <cell r="A2958">
            <v>6300203</v>
          </cell>
          <cell r="T2958">
            <v>0</v>
          </cell>
          <cell r="U2958">
            <v>0</v>
          </cell>
        </row>
        <row r="2959">
          <cell r="A2959">
            <v>6300206</v>
          </cell>
          <cell r="T2959">
            <v>0</v>
          </cell>
          <cell r="U2959">
            <v>0</v>
          </cell>
        </row>
        <row r="2960">
          <cell r="A2960">
            <v>6300207</v>
          </cell>
          <cell r="T2960">
            <v>0</v>
          </cell>
          <cell r="U2960">
            <v>0</v>
          </cell>
        </row>
        <row r="2961">
          <cell r="A2961">
            <v>6300208</v>
          </cell>
          <cell r="T2961">
            <v>0</v>
          </cell>
          <cell r="U2961">
            <v>0</v>
          </cell>
        </row>
        <row r="2962">
          <cell r="A2962">
            <v>6300209</v>
          </cell>
          <cell r="T2962">
            <v>0</v>
          </cell>
          <cell r="U2962">
            <v>0</v>
          </cell>
        </row>
        <row r="2963">
          <cell r="A2963">
            <v>6300210</v>
          </cell>
          <cell r="T2963">
            <v>0</v>
          </cell>
          <cell r="U2963">
            <v>0</v>
          </cell>
        </row>
        <row r="2964">
          <cell r="A2964">
            <v>6300301</v>
          </cell>
          <cell r="T2964">
            <v>0</v>
          </cell>
          <cell r="U2964">
            <v>0</v>
          </cell>
        </row>
        <row r="2965">
          <cell r="A2965">
            <v>6300302</v>
          </cell>
          <cell r="T2965">
            <v>0</v>
          </cell>
          <cell r="U2965">
            <v>0</v>
          </cell>
        </row>
        <row r="2966">
          <cell r="A2966">
            <v>6300303</v>
          </cell>
          <cell r="T2966">
            <v>0</v>
          </cell>
          <cell r="U2966">
            <v>0</v>
          </cell>
        </row>
        <row r="2967">
          <cell r="A2967">
            <v>6300306</v>
          </cell>
          <cell r="T2967">
            <v>0</v>
          </cell>
          <cell r="U2967">
            <v>0</v>
          </cell>
        </row>
        <row r="2968">
          <cell r="A2968">
            <v>6300307</v>
          </cell>
          <cell r="T2968">
            <v>0</v>
          </cell>
          <cell r="U2968">
            <v>0</v>
          </cell>
        </row>
        <row r="2969">
          <cell r="A2969">
            <v>6300308</v>
          </cell>
          <cell r="T2969">
            <v>0</v>
          </cell>
          <cell r="U2969">
            <v>0</v>
          </cell>
        </row>
        <row r="2970">
          <cell r="A2970">
            <v>6300309</v>
          </cell>
          <cell r="T2970">
            <v>0</v>
          </cell>
          <cell r="U2970">
            <v>0</v>
          </cell>
        </row>
        <row r="2971">
          <cell r="A2971">
            <v>6300310</v>
          </cell>
          <cell r="T2971">
            <v>0</v>
          </cell>
          <cell r="U2971">
            <v>0</v>
          </cell>
        </row>
        <row r="2972">
          <cell r="A2972">
            <v>6300401</v>
          </cell>
          <cell r="T2972">
            <v>0</v>
          </cell>
          <cell r="U2972">
            <v>0</v>
          </cell>
        </row>
        <row r="2973">
          <cell r="A2973">
            <v>6300402</v>
          </cell>
          <cell r="T2973">
            <v>0</v>
          </cell>
          <cell r="U2973">
            <v>0</v>
          </cell>
        </row>
        <row r="2974">
          <cell r="A2974">
            <v>6300403</v>
          </cell>
          <cell r="T2974">
            <v>0</v>
          </cell>
          <cell r="U2974">
            <v>0</v>
          </cell>
        </row>
        <row r="2975">
          <cell r="A2975">
            <v>6300406</v>
          </cell>
          <cell r="T2975">
            <v>0</v>
          </cell>
          <cell r="U2975">
            <v>0</v>
          </cell>
        </row>
        <row r="2976">
          <cell r="A2976">
            <v>6300407</v>
          </cell>
          <cell r="T2976">
            <v>0</v>
          </cell>
          <cell r="U2976">
            <v>0</v>
          </cell>
        </row>
        <row r="2977">
          <cell r="A2977">
            <v>6300408</v>
          </cell>
          <cell r="T2977">
            <v>0</v>
          </cell>
          <cell r="U2977">
            <v>0</v>
          </cell>
        </row>
        <row r="2978">
          <cell r="A2978">
            <v>6300409</v>
          </cell>
          <cell r="T2978">
            <v>0</v>
          </cell>
          <cell r="U2978">
            <v>0</v>
          </cell>
        </row>
        <row r="2979">
          <cell r="A2979">
            <v>6300410</v>
          </cell>
          <cell r="T2979">
            <v>0</v>
          </cell>
          <cell r="U2979">
            <v>0</v>
          </cell>
        </row>
        <row r="2980">
          <cell r="A2980">
            <v>6300501</v>
          </cell>
          <cell r="T2980">
            <v>0</v>
          </cell>
          <cell r="U2980">
            <v>0</v>
          </cell>
        </row>
        <row r="2981">
          <cell r="A2981">
            <v>6300502</v>
          </cell>
          <cell r="T2981">
            <v>0</v>
          </cell>
          <cell r="U2981">
            <v>0</v>
          </cell>
        </row>
        <row r="2982">
          <cell r="A2982">
            <v>6300503</v>
          </cell>
          <cell r="T2982">
            <v>0</v>
          </cell>
          <cell r="U2982">
            <v>0</v>
          </cell>
        </row>
        <row r="2983">
          <cell r="A2983">
            <v>6300506</v>
          </cell>
          <cell r="T2983">
            <v>0</v>
          </cell>
          <cell r="U2983">
            <v>0</v>
          </cell>
        </row>
        <row r="2984">
          <cell r="A2984">
            <v>6300507</v>
          </cell>
          <cell r="T2984">
            <v>0</v>
          </cell>
          <cell r="U2984">
            <v>0</v>
          </cell>
        </row>
        <row r="2985">
          <cell r="A2985">
            <v>6300508</v>
          </cell>
          <cell r="T2985">
            <v>0</v>
          </cell>
          <cell r="U2985">
            <v>0</v>
          </cell>
        </row>
        <row r="2986">
          <cell r="A2986">
            <v>6300509</v>
          </cell>
          <cell r="T2986">
            <v>0</v>
          </cell>
          <cell r="U2986">
            <v>0</v>
          </cell>
        </row>
        <row r="2987">
          <cell r="A2987">
            <v>6300510</v>
          </cell>
          <cell r="T2987">
            <v>0</v>
          </cell>
          <cell r="U2987">
            <v>0</v>
          </cell>
        </row>
        <row r="2988">
          <cell r="A2988">
            <v>6200601</v>
          </cell>
          <cell r="T2988">
            <v>0</v>
          </cell>
          <cell r="U2988">
            <v>0</v>
          </cell>
        </row>
        <row r="2989">
          <cell r="A2989">
            <v>6200602</v>
          </cell>
          <cell r="T2989">
            <v>0</v>
          </cell>
          <cell r="U2989">
            <v>0</v>
          </cell>
        </row>
        <row r="2990">
          <cell r="A2990">
            <v>6200603</v>
          </cell>
          <cell r="T2990">
            <v>0</v>
          </cell>
          <cell r="U2990">
            <v>0</v>
          </cell>
        </row>
        <row r="2991">
          <cell r="A2991">
            <v>6200606</v>
          </cell>
          <cell r="T2991">
            <v>0</v>
          </cell>
          <cell r="U2991">
            <v>0</v>
          </cell>
        </row>
        <row r="2992">
          <cell r="A2992">
            <v>6200607</v>
          </cell>
          <cell r="T2992">
            <v>0</v>
          </cell>
          <cell r="U2992">
            <v>0</v>
          </cell>
        </row>
        <row r="2993">
          <cell r="A2993">
            <v>6200608</v>
          </cell>
          <cell r="T2993">
            <v>0</v>
          </cell>
          <cell r="U2993">
            <v>0</v>
          </cell>
        </row>
        <row r="2994">
          <cell r="A2994">
            <v>6200609</v>
          </cell>
          <cell r="T2994">
            <v>0</v>
          </cell>
          <cell r="U2994">
            <v>0</v>
          </cell>
        </row>
        <row r="2995">
          <cell r="A2995">
            <v>6200610</v>
          </cell>
          <cell r="T2995">
            <v>0</v>
          </cell>
          <cell r="U2995">
            <v>0</v>
          </cell>
        </row>
        <row r="2996">
          <cell r="A2996">
            <v>6210601</v>
          </cell>
          <cell r="T2996">
            <v>0</v>
          </cell>
          <cell r="U2996">
            <v>0</v>
          </cell>
        </row>
        <row r="2997">
          <cell r="A2997">
            <v>6210602</v>
          </cell>
          <cell r="T2997">
            <v>0</v>
          </cell>
          <cell r="U2997">
            <v>0</v>
          </cell>
        </row>
        <row r="2998">
          <cell r="A2998">
            <v>6210603</v>
          </cell>
          <cell r="T2998">
            <v>0</v>
          </cell>
          <cell r="U2998">
            <v>0</v>
          </cell>
        </row>
        <row r="2999">
          <cell r="A2999">
            <v>6210606</v>
          </cell>
          <cell r="T2999">
            <v>0</v>
          </cell>
          <cell r="U2999">
            <v>0</v>
          </cell>
        </row>
        <row r="3000">
          <cell r="A3000">
            <v>6210607</v>
          </cell>
          <cell r="T3000">
            <v>0</v>
          </cell>
          <cell r="U3000">
            <v>0</v>
          </cell>
        </row>
        <row r="3001">
          <cell r="A3001">
            <v>6210608</v>
          </cell>
          <cell r="T3001">
            <v>0</v>
          </cell>
          <cell r="U3001">
            <v>0</v>
          </cell>
        </row>
        <row r="3002">
          <cell r="A3002">
            <v>6210609</v>
          </cell>
          <cell r="T3002">
            <v>0</v>
          </cell>
          <cell r="U3002">
            <v>0</v>
          </cell>
        </row>
        <row r="3003">
          <cell r="A3003">
            <v>6210610</v>
          </cell>
          <cell r="T3003">
            <v>0</v>
          </cell>
          <cell r="U3003">
            <v>0</v>
          </cell>
        </row>
        <row r="3004">
          <cell r="A3004">
            <v>6220601</v>
          </cell>
          <cell r="T3004">
            <v>0</v>
          </cell>
          <cell r="U3004">
            <v>0</v>
          </cell>
        </row>
        <row r="3005">
          <cell r="A3005">
            <v>6220602</v>
          </cell>
          <cell r="T3005">
            <v>0</v>
          </cell>
          <cell r="U3005">
            <v>0</v>
          </cell>
        </row>
        <row r="3006">
          <cell r="A3006">
            <v>6220603</v>
          </cell>
          <cell r="T3006">
            <v>0</v>
          </cell>
          <cell r="U3006">
            <v>0</v>
          </cell>
        </row>
        <row r="3007">
          <cell r="A3007">
            <v>6220606</v>
          </cell>
          <cell r="T3007">
            <v>0</v>
          </cell>
          <cell r="U3007">
            <v>0</v>
          </cell>
        </row>
        <row r="3008">
          <cell r="A3008">
            <v>6220607</v>
          </cell>
          <cell r="T3008">
            <v>0</v>
          </cell>
          <cell r="U3008">
            <v>0</v>
          </cell>
        </row>
        <row r="3009">
          <cell r="A3009">
            <v>6220608</v>
          </cell>
          <cell r="T3009">
            <v>0</v>
          </cell>
          <cell r="U3009">
            <v>0</v>
          </cell>
        </row>
        <row r="3010">
          <cell r="A3010">
            <v>6220609</v>
          </cell>
          <cell r="T3010">
            <v>0</v>
          </cell>
          <cell r="U3010">
            <v>0</v>
          </cell>
        </row>
        <row r="3011">
          <cell r="A3011">
            <v>6220610</v>
          </cell>
          <cell r="T3011">
            <v>0</v>
          </cell>
          <cell r="U3011">
            <v>0</v>
          </cell>
        </row>
        <row r="3012">
          <cell r="A3012">
            <v>6230601</v>
          </cell>
          <cell r="T3012">
            <v>0</v>
          </cell>
          <cell r="U3012">
            <v>0</v>
          </cell>
        </row>
        <row r="3013">
          <cell r="A3013">
            <v>6230602</v>
          </cell>
          <cell r="T3013">
            <v>0</v>
          </cell>
          <cell r="U3013">
            <v>0</v>
          </cell>
        </row>
        <row r="3014">
          <cell r="A3014">
            <v>6230603</v>
          </cell>
          <cell r="T3014">
            <v>0</v>
          </cell>
          <cell r="U3014">
            <v>0</v>
          </cell>
        </row>
        <row r="3015">
          <cell r="A3015">
            <v>6230606</v>
          </cell>
          <cell r="T3015">
            <v>0</v>
          </cell>
          <cell r="U3015">
            <v>0</v>
          </cell>
        </row>
        <row r="3016">
          <cell r="A3016">
            <v>6230607</v>
          </cell>
          <cell r="T3016">
            <v>0</v>
          </cell>
          <cell r="U3016">
            <v>0</v>
          </cell>
        </row>
        <row r="3017">
          <cell r="A3017">
            <v>6230608</v>
          </cell>
          <cell r="T3017">
            <v>0</v>
          </cell>
          <cell r="U3017">
            <v>0</v>
          </cell>
        </row>
        <row r="3018">
          <cell r="A3018">
            <v>6230609</v>
          </cell>
          <cell r="T3018">
            <v>0</v>
          </cell>
          <cell r="U3018">
            <v>0</v>
          </cell>
        </row>
        <row r="3019">
          <cell r="A3019">
            <v>6230610</v>
          </cell>
          <cell r="T3019">
            <v>0</v>
          </cell>
          <cell r="U3019">
            <v>0</v>
          </cell>
        </row>
        <row r="3020">
          <cell r="A3020">
            <v>6240601</v>
          </cell>
          <cell r="T3020">
            <v>0</v>
          </cell>
          <cell r="U3020">
            <v>0</v>
          </cell>
        </row>
        <row r="3021">
          <cell r="A3021">
            <v>6240602</v>
          </cell>
          <cell r="T3021">
            <v>0</v>
          </cell>
          <cell r="U3021">
            <v>0</v>
          </cell>
        </row>
        <row r="3022">
          <cell r="A3022">
            <v>6240603</v>
          </cell>
          <cell r="T3022">
            <v>0</v>
          </cell>
          <cell r="U3022">
            <v>0</v>
          </cell>
        </row>
        <row r="3023">
          <cell r="A3023">
            <v>6240606</v>
          </cell>
          <cell r="T3023">
            <v>0</v>
          </cell>
          <cell r="U3023">
            <v>0</v>
          </cell>
        </row>
        <row r="3024">
          <cell r="A3024">
            <v>6240607</v>
          </cell>
          <cell r="T3024">
            <v>0</v>
          </cell>
          <cell r="U3024">
            <v>0</v>
          </cell>
        </row>
        <row r="3025">
          <cell r="A3025">
            <v>6240608</v>
          </cell>
          <cell r="T3025">
            <v>0</v>
          </cell>
          <cell r="U3025">
            <v>0</v>
          </cell>
        </row>
        <row r="3026">
          <cell r="A3026">
            <v>6240609</v>
          </cell>
          <cell r="T3026">
            <v>0</v>
          </cell>
          <cell r="U3026">
            <v>0</v>
          </cell>
        </row>
        <row r="3027">
          <cell r="A3027">
            <v>6240610</v>
          </cell>
          <cell r="T3027">
            <v>0</v>
          </cell>
          <cell r="U3027">
            <v>0</v>
          </cell>
        </row>
        <row r="3028">
          <cell r="A3028">
            <v>6250601</v>
          </cell>
          <cell r="T3028">
            <v>0</v>
          </cell>
          <cell r="U3028">
            <v>0</v>
          </cell>
        </row>
        <row r="3029">
          <cell r="A3029">
            <v>6250602</v>
          </cell>
          <cell r="T3029">
            <v>0</v>
          </cell>
          <cell r="U3029">
            <v>0</v>
          </cell>
        </row>
        <row r="3030">
          <cell r="A3030">
            <v>6250603</v>
          </cell>
          <cell r="T3030">
            <v>0</v>
          </cell>
          <cell r="U3030">
            <v>0</v>
          </cell>
        </row>
        <row r="3031">
          <cell r="A3031">
            <v>6250606</v>
          </cell>
          <cell r="T3031">
            <v>0</v>
          </cell>
          <cell r="U3031">
            <v>0</v>
          </cell>
        </row>
        <row r="3032">
          <cell r="A3032">
            <v>6250607</v>
          </cell>
          <cell r="T3032">
            <v>0</v>
          </cell>
          <cell r="U3032">
            <v>0</v>
          </cell>
        </row>
        <row r="3033">
          <cell r="A3033">
            <v>6250608</v>
          </cell>
          <cell r="T3033">
            <v>0</v>
          </cell>
          <cell r="U3033">
            <v>0</v>
          </cell>
        </row>
        <row r="3034">
          <cell r="A3034">
            <v>6250609</v>
          </cell>
          <cell r="T3034">
            <v>0</v>
          </cell>
          <cell r="U3034">
            <v>0</v>
          </cell>
        </row>
        <row r="3035">
          <cell r="A3035">
            <v>6250610</v>
          </cell>
          <cell r="T3035">
            <v>0</v>
          </cell>
          <cell r="U3035">
            <v>0</v>
          </cell>
        </row>
        <row r="3036">
          <cell r="A3036">
            <v>6260601</v>
          </cell>
          <cell r="T3036">
            <v>0</v>
          </cell>
          <cell r="U3036">
            <v>0</v>
          </cell>
        </row>
        <row r="3037">
          <cell r="A3037">
            <v>6260602</v>
          </cell>
          <cell r="T3037">
            <v>0</v>
          </cell>
          <cell r="U3037">
            <v>0</v>
          </cell>
        </row>
        <row r="3038">
          <cell r="A3038">
            <v>6260603</v>
          </cell>
          <cell r="T3038">
            <v>0</v>
          </cell>
          <cell r="U3038">
            <v>0</v>
          </cell>
        </row>
        <row r="3039">
          <cell r="A3039">
            <v>6260606</v>
          </cell>
          <cell r="T3039">
            <v>0</v>
          </cell>
          <cell r="U3039">
            <v>0</v>
          </cell>
        </row>
        <row r="3040">
          <cell r="A3040">
            <v>6260607</v>
          </cell>
          <cell r="T3040">
            <v>0</v>
          </cell>
          <cell r="U3040">
            <v>0</v>
          </cell>
        </row>
        <row r="3041">
          <cell r="A3041">
            <v>6260608</v>
          </cell>
          <cell r="T3041">
            <v>0</v>
          </cell>
          <cell r="U3041">
            <v>0</v>
          </cell>
        </row>
        <row r="3042">
          <cell r="A3042">
            <v>6260609</v>
          </cell>
          <cell r="T3042">
            <v>0</v>
          </cell>
          <cell r="U3042">
            <v>0</v>
          </cell>
        </row>
        <row r="3043">
          <cell r="A3043">
            <v>6260610</v>
          </cell>
          <cell r="T3043">
            <v>0</v>
          </cell>
          <cell r="U3043">
            <v>0</v>
          </cell>
        </row>
        <row r="3044">
          <cell r="A3044">
            <v>6270601</v>
          </cell>
          <cell r="T3044">
            <v>0</v>
          </cell>
          <cell r="U3044">
            <v>0</v>
          </cell>
        </row>
        <row r="3045">
          <cell r="A3045">
            <v>6270602</v>
          </cell>
          <cell r="T3045">
            <v>0</v>
          </cell>
          <cell r="U3045">
            <v>0</v>
          </cell>
        </row>
        <row r="3046">
          <cell r="A3046">
            <v>6270603</v>
          </cell>
          <cell r="T3046">
            <v>0</v>
          </cell>
          <cell r="U3046">
            <v>0</v>
          </cell>
        </row>
        <row r="3047">
          <cell r="A3047">
            <v>6270606</v>
          </cell>
          <cell r="T3047">
            <v>0</v>
          </cell>
          <cell r="U3047">
            <v>0</v>
          </cell>
        </row>
        <row r="3048">
          <cell r="A3048">
            <v>6270607</v>
          </cell>
          <cell r="T3048">
            <v>0</v>
          </cell>
          <cell r="U3048">
            <v>0</v>
          </cell>
        </row>
        <row r="3049">
          <cell r="A3049">
            <v>6270608</v>
          </cell>
          <cell r="T3049">
            <v>0</v>
          </cell>
          <cell r="U3049">
            <v>0</v>
          </cell>
        </row>
        <row r="3050">
          <cell r="A3050">
            <v>6270609</v>
          </cell>
          <cell r="T3050">
            <v>0</v>
          </cell>
          <cell r="U3050">
            <v>0</v>
          </cell>
        </row>
        <row r="3051">
          <cell r="A3051">
            <v>6270610</v>
          </cell>
          <cell r="T3051">
            <v>0</v>
          </cell>
          <cell r="U3051">
            <v>0</v>
          </cell>
        </row>
        <row r="3052">
          <cell r="A3052">
            <v>6280601</v>
          </cell>
          <cell r="T3052">
            <v>0</v>
          </cell>
          <cell r="U3052">
            <v>0</v>
          </cell>
        </row>
        <row r="3053">
          <cell r="A3053">
            <v>6280602</v>
          </cell>
          <cell r="T3053">
            <v>0</v>
          </cell>
          <cell r="U3053">
            <v>0</v>
          </cell>
        </row>
        <row r="3054">
          <cell r="A3054">
            <v>6280603</v>
          </cell>
          <cell r="T3054">
            <v>0</v>
          </cell>
          <cell r="U3054">
            <v>0</v>
          </cell>
        </row>
        <row r="3055">
          <cell r="A3055">
            <v>6280606</v>
          </cell>
          <cell r="T3055">
            <v>0</v>
          </cell>
          <cell r="U3055">
            <v>0</v>
          </cell>
        </row>
        <row r="3056">
          <cell r="A3056">
            <v>6280607</v>
          </cell>
          <cell r="T3056">
            <v>0</v>
          </cell>
          <cell r="U3056">
            <v>0</v>
          </cell>
        </row>
        <row r="3057">
          <cell r="A3057">
            <v>6280608</v>
          </cell>
          <cell r="T3057">
            <v>0</v>
          </cell>
          <cell r="U3057">
            <v>0</v>
          </cell>
        </row>
        <row r="3058">
          <cell r="A3058">
            <v>6280609</v>
          </cell>
          <cell r="T3058">
            <v>0</v>
          </cell>
          <cell r="U3058">
            <v>0</v>
          </cell>
        </row>
        <row r="3059">
          <cell r="A3059">
            <v>6280610</v>
          </cell>
          <cell r="T3059">
            <v>0</v>
          </cell>
          <cell r="U3059">
            <v>0</v>
          </cell>
        </row>
        <row r="3060">
          <cell r="A3060">
            <v>6290601</v>
          </cell>
          <cell r="T3060">
            <v>0</v>
          </cell>
          <cell r="U3060">
            <v>0</v>
          </cell>
        </row>
        <row r="3061">
          <cell r="A3061">
            <v>6290602</v>
          </cell>
          <cell r="T3061">
            <v>0</v>
          </cell>
          <cell r="U3061">
            <v>0</v>
          </cell>
        </row>
        <row r="3062">
          <cell r="A3062">
            <v>6290603</v>
          </cell>
          <cell r="T3062">
            <v>0</v>
          </cell>
          <cell r="U3062">
            <v>0</v>
          </cell>
        </row>
        <row r="3063">
          <cell r="A3063">
            <v>6290606</v>
          </cell>
          <cell r="T3063">
            <v>0</v>
          </cell>
          <cell r="U3063">
            <v>0</v>
          </cell>
        </row>
        <row r="3064">
          <cell r="A3064">
            <v>6290607</v>
          </cell>
          <cell r="T3064">
            <v>0</v>
          </cell>
          <cell r="U3064">
            <v>0</v>
          </cell>
        </row>
        <row r="3065">
          <cell r="A3065">
            <v>6290608</v>
          </cell>
          <cell r="T3065">
            <v>0</v>
          </cell>
          <cell r="U3065">
            <v>0</v>
          </cell>
        </row>
        <row r="3066">
          <cell r="A3066">
            <v>6290609</v>
          </cell>
          <cell r="T3066">
            <v>0</v>
          </cell>
          <cell r="U3066">
            <v>0</v>
          </cell>
        </row>
        <row r="3067">
          <cell r="A3067">
            <v>6290610</v>
          </cell>
          <cell r="T3067">
            <v>0</v>
          </cell>
          <cell r="U3067">
            <v>0</v>
          </cell>
        </row>
        <row r="3068">
          <cell r="A3068">
            <v>6300601</v>
          </cell>
          <cell r="T3068">
            <v>0</v>
          </cell>
          <cell r="U3068">
            <v>0</v>
          </cell>
        </row>
        <row r="3069">
          <cell r="A3069">
            <v>6300602</v>
          </cell>
          <cell r="T3069">
            <v>0</v>
          </cell>
          <cell r="U3069">
            <v>0</v>
          </cell>
        </row>
        <row r="3070">
          <cell r="A3070">
            <v>6300603</v>
          </cell>
          <cell r="T3070">
            <v>0</v>
          </cell>
          <cell r="U3070">
            <v>0</v>
          </cell>
        </row>
        <row r="3071">
          <cell r="A3071">
            <v>6300606</v>
          </cell>
          <cell r="T3071">
            <v>0</v>
          </cell>
          <cell r="U3071">
            <v>0</v>
          </cell>
        </row>
        <row r="3072">
          <cell r="A3072">
            <v>6300607</v>
          </cell>
          <cell r="T3072">
            <v>0</v>
          </cell>
          <cell r="U3072">
            <v>0</v>
          </cell>
        </row>
        <row r="3073">
          <cell r="A3073">
            <v>6300608</v>
          </cell>
          <cell r="T3073">
            <v>0</v>
          </cell>
          <cell r="U3073">
            <v>0</v>
          </cell>
        </row>
        <row r="3074">
          <cell r="A3074">
            <v>6300609</v>
          </cell>
          <cell r="T3074">
            <v>0</v>
          </cell>
          <cell r="U3074">
            <v>0</v>
          </cell>
        </row>
        <row r="3075">
          <cell r="A3075">
            <v>6300610</v>
          </cell>
          <cell r="T3075">
            <v>0</v>
          </cell>
          <cell r="U3075">
            <v>0</v>
          </cell>
        </row>
        <row r="3076">
          <cell r="A3076">
            <v>9001201</v>
          </cell>
          <cell r="T3076">
            <v>0</v>
          </cell>
          <cell r="U3076">
            <v>0</v>
          </cell>
        </row>
        <row r="3077">
          <cell r="A3077">
            <v>9001202</v>
          </cell>
          <cell r="T3077">
            <v>0</v>
          </cell>
          <cell r="U3077">
            <v>0</v>
          </cell>
        </row>
        <row r="3078">
          <cell r="A3078">
            <v>9001203</v>
          </cell>
          <cell r="T3078">
            <v>0</v>
          </cell>
          <cell r="U3078">
            <v>0</v>
          </cell>
        </row>
        <row r="3079">
          <cell r="A3079">
            <v>9001206</v>
          </cell>
          <cell r="T3079">
            <v>0</v>
          </cell>
          <cell r="U3079">
            <v>0</v>
          </cell>
        </row>
        <row r="3080">
          <cell r="A3080">
            <v>9001207</v>
          </cell>
          <cell r="T3080">
            <v>0</v>
          </cell>
          <cell r="U3080">
            <v>0</v>
          </cell>
        </row>
        <row r="3081">
          <cell r="A3081">
            <v>9001208</v>
          </cell>
          <cell r="T3081">
            <v>0</v>
          </cell>
          <cell r="U3081">
            <v>0</v>
          </cell>
        </row>
        <row r="3082">
          <cell r="A3082">
            <v>9001209</v>
          </cell>
          <cell r="T3082">
            <v>0</v>
          </cell>
          <cell r="U3082">
            <v>0</v>
          </cell>
        </row>
        <row r="3083">
          <cell r="A3083">
            <v>9001210</v>
          </cell>
          <cell r="T3083">
            <v>0</v>
          </cell>
          <cell r="U3083">
            <v>0</v>
          </cell>
        </row>
        <row r="3084">
          <cell r="A3084">
            <v>9001301</v>
          </cell>
          <cell r="T3084">
            <v>0</v>
          </cell>
          <cell r="U3084">
            <v>0</v>
          </cell>
        </row>
        <row r="3085">
          <cell r="A3085">
            <v>9001302</v>
          </cell>
          <cell r="T3085">
            <v>0</v>
          </cell>
          <cell r="U3085">
            <v>0</v>
          </cell>
        </row>
        <row r="3086">
          <cell r="A3086">
            <v>9001303</v>
          </cell>
          <cell r="T3086">
            <v>0</v>
          </cell>
          <cell r="U3086">
            <v>0</v>
          </cell>
        </row>
        <row r="3087">
          <cell r="A3087">
            <v>9001306</v>
          </cell>
          <cell r="T3087">
            <v>0</v>
          </cell>
          <cell r="U3087">
            <v>0</v>
          </cell>
        </row>
        <row r="3088">
          <cell r="A3088">
            <v>9001307</v>
          </cell>
          <cell r="T3088">
            <v>0</v>
          </cell>
          <cell r="U3088">
            <v>0</v>
          </cell>
        </row>
        <row r="3089">
          <cell r="A3089">
            <v>9001308</v>
          </cell>
          <cell r="T3089">
            <v>0</v>
          </cell>
          <cell r="U3089">
            <v>0</v>
          </cell>
        </row>
        <row r="3090">
          <cell r="A3090">
            <v>9001309</v>
          </cell>
          <cell r="T3090">
            <v>0</v>
          </cell>
          <cell r="U3090">
            <v>0</v>
          </cell>
        </row>
        <row r="3091">
          <cell r="A3091">
            <v>9001310</v>
          </cell>
          <cell r="T3091">
            <v>0</v>
          </cell>
          <cell r="U3091">
            <v>0</v>
          </cell>
        </row>
        <row r="3092">
          <cell r="A3092">
            <v>9001401</v>
          </cell>
          <cell r="T3092">
            <v>0</v>
          </cell>
          <cell r="U3092">
            <v>0</v>
          </cell>
        </row>
        <row r="3093">
          <cell r="A3093">
            <v>9001402</v>
          </cell>
          <cell r="T3093">
            <v>0</v>
          </cell>
          <cell r="U3093">
            <v>0</v>
          </cell>
        </row>
        <row r="3094">
          <cell r="A3094">
            <v>9001403</v>
          </cell>
          <cell r="T3094">
            <v>0</v>
          </cell>
          <cell r="U3094">
            <v>0</v>
          </cell>
        </row>
        <row r="3095">
          <cell r="A3095">
            <v>9001406</v>
          </cell>
          <cell r="T3095">
            <v>0</v>
          </cell>
          <cell r="U3095">
            <v>0</v>
          </cell>
        </row>
        <row r="3096">
          <cell r="A3096">
            <v>9001407</v>
          </cell>
          <cell r="T3096">
            <v>0</v>
          </cell>
          <cell r="U3096">
            <v>0</v>
          </cell>
        </row>
        <row r="3097">
          <cell r="A3097">
            <v>9001408</v>
          </cell>
          <cell r="T3097">
            <v>0</v>
          </cell>
          <cell r="U3097">
            <v>0</v>
          </cell>
        </row>
        <row r="3098">
          <cell r="A3098">
            <v>9001409</v>
          </cell>
          <cell r="T3098">
            <v>0</v>
          </cell>
          <cell r="U3098">
            <v>0</v>
          </cell>
        </row>
        <row r="3099">
          <cell r="A3099">
            <v>9001410</v>
          </cell>
          <cell r="T3099">
            <v>0</v>
          </cell>
          <cell r="U3099">
            <v>0</v>
          </cell>
        </row>
        <row r="3100">
          <cell r="A3100">
            <v>9001501</v>
          </cell>
          <cell r="T3100">
            <v>0</v>
          </cell>
          <cell r="U3100">
            <v>0</v>
          </cell>
        </row>
        <row r="3101">
          <cell r="A3101">
            <v>9001502</v>
          </cell>
          <cell r="T3101">
            <v>0</v>
          </cell>
          <cell r="U3101">
            <v>0</v>
          </cell>
        </row>
        <row r="3102">
          <cell r="A3102">
            <v>9001503</v>
          </cell>
          <cell r="T3102">
            <v>0</v>
          </cell>
          <cell r="U3102">
            <v>0</v>
          </cell>
        </row>
        <row r="3103">
          <cell r="A3103">
            <v>9001506</v>
          </cell>
          <cell r="T3103">
            <v>0</v>
          </cell>
          <cell r="U3103">
            <v>0</v>
          </cell>
        </row>
        <row r="3104">
          <cell r="A3104">
            <v>9001507</v>
          </cell>
          <cell r="T3104">
            <v>0</v>
          </cell>
          <cell r="U3104">
            <v>0</v>
          </cell>
        </row>
        <row r="3105">
          <cell r="A3105">
            <v>9001508</v>
          </cell>
          <cell r="T3105">
            <v>0</v>
          </cell>
          <cell r="U3105">
            <v>0</v>
          </cell>
        </row>
        <row r="3106">
          <cell r="A3106">
            <v>9001509</v>
          </cell>
          <cell r="T3106">
            <v>0</v>
          </cell>
          <cell r="U3106">
            <v>0</v>
          </cell>
        </row>
        <row r="3107">
          <cell r="A3107">
            <v>9001510</v>
          </cell>
          <cell r="T3107">
            <v>0</v>
          </cell>
          <cell r="U3107">
            <v>0</v>
          </cell>
        </row>
        <row r="3108">
          <cell r="A3108">
            <v>9025201</v>
          </cell>
          <cell r="T3108">
            <v>0</v>
          </cell>
          <cell r="U3108">
            <v>0</v>
          </cell>
        </row>
        <row r="3109">
          <cell r="A3109">
            <v>9025202</v>
          </cell>
          <cell r="T3109">
            <v>0</v>
          </cell>
          <cell r="U3109">
            <v>0</v>
          </cell>
        </row>
        <row r="3110">
          <cell r="A3110">
            <v>9025203</v>
          </cell>
          <cell r="T3110">
            <v>0</v>
          </cell>
          <cell r="U3110">
            <v>0</v>
          </cell>
        </row>
        <row r="3111">
          <cell r="A3111">
            <v>9025206</v>
          </cell>
          <cell r="T3111">
            <v>0</v>
          </cell>
          <cell r="U3111">
            <v>0</v>
          </cell>
        </row>
        <row r="3112">
          <cell r="A3112">
            <v>9025207</v>
          </cell>
          <cell r="T3112">
            <v>0</v>
          </cell>
          <cell r="U3112">
            <v>0</v>
          </cell>
        </row>
        <row r="3113">
          <cell r="A3113">
            <v>9025208</v>
          </cell>
          <cell r="T3113">
            <v>0</v>
          </cell>
          <cell r="U3113">
            <v>0</v>
          </cell>
        </row>
        <row r="3114">
          <cell r="A3114">
            <v>9025209</v>
          </cell>
          <cell r="T3114">
            <v>0</v>
          </cell>
          <cell r="U3114">
            <v>0</v>
          </cell>
        </row>
        <row r="3115">
          <cell r="A3115">
            <v>9025210</v>
          </cell>
          <cell r="T3115">
            <v>0</v>
          </cell>
          <cell r="U3115">
            <v>0</v>
          </cell>
        </row>
        <row r="3116">
          <cell r="A3116">
            <v>9025301</v>
          </cell>
          <cell r="T3116">
            <v>0</v>
          </cell>
          <cell r="U3116">
            <v>0</v>
          </cell>
        </row>
        <row r="3117">
          <cell r="A3117">
            <v>9025302</v>
          </cell>
          <cell r="T3117">
            <v>0</v>
          </cell>
          <cell r="U3117">
            <v>0</v>
          </cell>
        </row>
        <row r="3118">
          <cell r="A3118">
            <v>9025303</v>
          </cell>
          <cell r="T3118">
            <v>0</v>
          </cell>
          <cell r="U3118">
            <v>0</v>
          </cell>
        </row>
        <row r="3119">
          <cell r="A3119">
            <v>9025306</v>
          </cell>
          <cell r="T3119">
            <v>0</v>
          </cell>
          <cell r="U3119">
            <v>0</v>
          </cell>
        </row>
        <row r="3120">
          <cell r="A3120">
            <v>9025307</v>
          </cell>
          <cell r="T3120">
            <v>0</v>
          </cell>
          <cell r="U3120">
            <v>0</v>
          </cell>
        </row>
        <row r="3121">
          <cell r="A3121">
            <v>9025308</v>
          </cell>
          <cell r="T3121">
            <v>0</v>
          </cell>
          <cell r="U3121">
            <v>0</v>
          </cell>
        </row>
        <row r="3122">
          <cell r="A3122">
            <v>9025309</v>
          </cell>
          <cell r="T3122">
            <v>0</v>
          </cell>
          <cell r="U3122">
            <v>0</v>
          </cell>
        </row>
        <row r="3123">
          <cell r="A3123">
            <v>9025310</v>
          </cell>
          <cell r="T3123">
            <v>0</v>
          </cell>
          <cell r="U3123">
            <v>0</v>
          </cell>
        </row>
        <row r="3124">
          <cell r="A3124">
            <v>9025401</v>
          </cell>
          <cell r="T3124">
            <v>0</v>
          </cell>
          <cell r="U3124">
            <v>0</v>
          </cell>
        </row>
        <row r="3125">
          <cell r="A3125">
            <v>9025402</v>
          </cell>
          <cell r="T3125">
            <v>0</v>
          </cell>
          <cell r="U3125">
            <v>0</v>
          </cell>
        </row>
        <row r="3126">
          <cell r="A3126">
            <v>9025403</v>
          </cell>
          <cell r="T3126">
            <v>0</v>
          </cell>
          <cell r="U3126">
            <v>0</v>
          </cell>
        </row>
        <row r="3127">
          <cell r="A3127">
            <v>9025406</v>
          </cell>
          <cell r="T3127">
            <v>0</v>
          </cell>
          <cell r="U3127">
            <v>0</v>
          </cell>
        </row>
        <row r="3128">
          <cell r="A3128">
            <v>9025407</v>
          </cell>
          <cell r="T3128">
            <v>0</v>
          </cell>
          <cell r="U3128">
            <v>0</v>
          </cell>
        </row>
        <row r="3129">
          <cell r="A3129">
            <v>9025408</v>
          </cell>
          <cell r="T3129">
            <v>0</v>
          </cell>
          <cell r="U3129">
            <v>0</v>
          </cell>
        </row>
        <row r="3130">
          <cell r="A3130">
            <v>9025409</v>
          </cell>
          <cell r="T3130">
            <v>0</v>
          </cell>
          <cell r="U3130">
            <v>0</v>
          </cell>
        </row>
        <row r="3131">
          <cell r="A3131">
            <v>9025410</v>
          </cell>
          <cell r="T3131">
            <v>0</v>
          </cell>
          <cell r="U3131">
            <v>0</v>
          </cell>
        </row>
        <row r="3132">
          <cell r="A3132">
            <v>9025501</v>
          </cell>
          <cell r="T3132">
            <v>0</v>
          </cell>
          <cell r="U3132">
            <v>0</v>
          </cell>
        </row>
        <row r="3133">
          <cell r="A3133">
            <v>9025502</v>
          </cell>
          <cell r="T3133">
            <v>0</v>
          </cell>
          <cell r="U3133">
            <v>0</v>
          </cell>
        </row>
        <row r="3134">
          <cell r="A3134">
            <v>9025503</v>
          </cell>
          <cell r="T3134">
            <v>0</v>
          </cell>
          <cell r="U3134">
            <v>0</v>
          </cell>
        </row>
        <row r="3135">
          <cell r="A3135">
            <v>9025506</v>
          </cell>
          <cell r="T3135">
            <v>0</v>
          </cell>
          <cell r="U3135">
            <v>0</v>
          </cell>
        </row>
        <row r="3136">
          <cell r="A3136">
            <v>9025507</v>
          </cell>
          <cell r="T3136">
            <v>0</v>
          </cell>
          <cell r="U3136">
            <v>0</v>
          </cell>
        </row>
        <row r="3137">
          <cell r="A3137">
            <v>9025508</v>
          </cell>
          <cell r="T3137">
            <v>0</v>
          </cell>
          <cell r="U3137">
            <v>0</v>
          </cell>
        </row>
        <row r="3138">
          <cell r="A3138">
            <v>9025509</v>
          </cell>
          <cell r="T3138">
            <v>0</v>
          </cell>
          <cell r="U3138">
            <v>0</v>
          </cell>
        </row>
        <row r="3139">
          <cell r="A3139">
            <v>9025510</v>
          </cell>
          <cell r="T3139">
            <v>0</v>
          </cell>
          <cell r="U3139">
            <v>0</v>
          </cell>
        </row>
        <row r="3140">
          <cell r="A3140">
            <v>9050201</v>
          </cell>
          <cell r="T3140">
            <v>0</v>
          </cell>
          <cell r="U3140">
            <v>0</v>
          </cell>
        </row>
        <row r="3141">
          <cell r="A3141">
            <v>9050202</v>
          </cell>
          <cell r="T3141">
            <v>0</v>
          </cell>
          <cell r="U3141">
            <v>0</v>
          </cell>
        </row>
        <row r="3142">
          <cell r="A3142">
            <v>9050203</v>
          </cell>
          <cell r="T3142">
            <v>0</v>
          </cell>
          <cell r="U3142">
            <v>0</v>
          </cell>
        </row>
        <row r="3143">
          <cell r="A3143">
            <v>9050206</v>
          </cell>
          <cell r="T3143">
            <v>0</v>
          </cell>
          <cell r="U3143">
            <v>0</v>
          </cell>
        </row>
        <row r="3144">
          <cell r="A3144">
            <v>9050207</v>
          </cell>
          <cell r="T3144">
            <v>0</v>
          </cell>
          <cell r="U3144">
            <v>0</v>
          </cell>
        </row>
        <row r="3145">
          <cell r="A3145">
            <v>9050208</v>
          </cell>
          <cell r="T3145">
            <v>0</v>
          </cell>
          <cell r="U3145">
            <v>0</v>
          </cell>
        </row>
        <row r="3146">
          <cell r="A3146">
            <v>9050209</v>
          </cell>
          <cell r="T3146">
            <v>0</v>
          </cell>
          <cell r="U3146">
            <v>0</v>
          </cell>
        </row>
        <row r="3147">
          <cell r="A3147">
            <v>9050210</v>
          </cell>
          <cell r="T3147">
            <v>0</v>
          </cell>
          <cell r="U3147">
            <v>0</v>
          </cell>
        </row>
        <row r="3148">
          <cell r="A3148">
            <v>9050301</v>
          </cell>
          <cell r="T3148">
            <v>0</v>
          </cell>
          <cell r="U3148">
            <v>0</v>
          </cell>
        </row>
        <row r="3149">
          <cell r="A3149">
            <v>9050302</v>
          </cell>
          <cell r="T3149">
            <v>0</v>
          </cell>
          <cell r="U3149">
            <v>0</v>
          </cell>
        </row>
        <row r="3150">
          <cell r="A3150">
            <v>9050303</v>
          </cell>
          <cell r="T3150">
            <v>0</v>
          </cell>
          <cell r="U3150">
            <v>0</v>
          </cell>
        </row>
        <row r="3151">
          <cell r="A3151">
            <v>9050306</v>
          </cell>
          <cell r="T3151">
            <v>0</v>
          </cell>
          <cell r="U3151">
            <v>0</v>
          </cell>
        </row>
        <row r="3152">
          <cell r="A3152">
            <v>9050307</v>
          </cell>
          <cell r="T3152">
            <v>0</v>
          </cell>
          <cell r="U3152">
            <v>0</v>
          </cell>
        </row>
        <row r="3153">
          <cell r="A3153">
            <v>9050308</v>
          </cell>
          <cell r="T3153">
            <v>0</v>
          </cell>
          <cell r="U3153">
            <v>0</v>
          </cell>
        </row>
        <row r="3154">
          <cell r="A3154">
            <v>9050309</v>
          </cell>
          <cell r="T3154">
            <v>0</v>
          </cell>
          <cell r="U3154">
            <v>0</v>
          </cell>
        </row>
        <row r="3155">
          <cell r="A3155">
            <v>9050310</v>
          </cell>
          <cell r="T3155">
            <v>0</v>
          </cell>
          <cell r="U3155">
            <v>0</v>
          </cell>
        </row>
        <row r="3156">
          <cell r="A3156">
            <v>9050401</v>
          </cell>
          <cell r="T3156">
            <v>0</v>
          </cell>
          <cell r="U3156">
            <v>0</v>
          </cell>
        </row>
        <row r="3157">
          <cell r="A3157">
            <v>9050402</v>
          </cell>
          <cell r="T3157">
            <v>0</v>
          </cell>
          <cell r="U3157">
            <v>0</v>
          </cell>
        </row>
        <row r="3158">
          <cell r="A3158">
            <v>9050403</v>
          </cell>
          <cell r="T3158">
            <v>0</v>
          </cell>
          <cell r="U3158">
            <v>0</v>
          </cell>
        </row>
        <row r="3159">
          <cell r="A3159">
            <v>9050406</v>
          </cell>
          <cell r="T3159">
            <v>0</v>
          </cell>
          <cell r="U3159">
            <v>0</v>
          </cell>
        </row>
        <row r="3160">
          <cell r="A3160">
            <v>9050407</v>
          </cell>
          <cell r="T3160">
            <v>0</v>
          </cell>
          <cell r="U3160">
            <v>0</v>
          </cell>
        </row>
        <row r="3161">
          <cell r="A3161">
            <v>9050408</v>
          </cell>
          <cell r="T3161">
            <v>0</v>
          </cell>
          <cell r="U3161">
            <v>0</v>
          </cell>
        </row>
        <row r="3162">
          <cell r="A3162">
            <v>9050409</v>
          </cell>
          <cell r="T3162">
            <v>0</v>
          </cell>
          <cell r="U3162">
            <v>0</v>
          </cell>
        </row>
        <row r="3163">
          <cell r="A3163">
            <v>9050410</v>
          </cell>
          <cell r="T3163">
            <v>0</v>
          </cell>
          <cell r="U3163">
            <v>0</v>
          </cell>
        </row>
        <row r="3164">
          <cell r="A3164">
            <v>9050501</v>
          </cell>
          <cell r="T3164">
            <v>0</v>
          </cell>
          <cell r="U3164">
            <v>0</v>
          </cell>
        </row>
        <row r="3165">
          <cell r="A3165">
            <v>9050502</v>
          </cell>
          <cell r="T3165">
            <v>0</v>
          </cell>
          <cell r="U3165">
            <v>0</v>
          </cell>
        </row>
        <row r="3166">
          <cell r="A3166">
            <v>9050503</v>
          </cell>
          <cell r="T3166">
            <v>0</v>
          </cell>
          <cell r="U3166">
            <v>0</v>
          </cell>
        </row>
        <row r="3167">
          <cell r="A3167">
            <v>9050506</v>
          </cell>
          <cell r="T3167">
            <v>0</v>
          </cell>
          <cell r="U3167">
            <v>0</v>
          </cell>
        </row>
        <row r="3168">
          <cell r="A3168">
            <v>9050507</v>
          </cell>
          <cell r="T3168">
            <v>0</v>
          </cell>
          <cell r="U3168">
            <v>0</v>
          </cell>
        </row>
        <row r="3169">
          <cell r="A3169">
            <v>9050508</v>
          </cell>
          <cell r="T3169">
            <v>0</v>
          </cell>
          <cell r="U3169">
            <v>0</v>
          </cell>
        </row>
        <row r="3170">
          <cell r="A3170">
            <v>9050509</v>
          </cell>
          <cell r="T3170">
            <v>0</v>
          </cell>
          <cell r="U3170">
            <v>0</v>
          </cell>
        </row>
        <row r="3171">
          <cell r="A3171">
            <v>9050510</v>
          </cell>
          <cell r="T3171">
            <v>0</v>
          </cell>
          <cell r="U3171">
            <v>0</v>
          </cell>
        </row>
        <row r="3172">
          <cell r="A3172">
            <v>9075201</v>
          </cell>
          <cell r="T3172">
            <v>0</v>
          </cell>
          <cell r="U3172">
            <v>0</v>
          </cell>
        </row>
        <row r="3173">
          <cell r="A3173">
            <v>9075202</v>
          </cell>
          <cell r="T3173">
            <v>0</v>
          </cell>
          <cell r="U3173">
            <v>0</v>
          </cell>
        </row>
        <row r="3174">
          <cell r="A3174">
            <v>9075203</v>
          </cell>
          <cell r="T3174">
            <v>0</v>
          </cell>
          <cell r="U3174">
            <v>0</v>
          </cell>
        </row>
        <row r="3175">
          <cell r="A3175">
            <v>9075206</v>
          </cell>
          <cell r="T3175">
            <v>0</v>
          </cell>
          <cell r="U3175">
            <v>0</v>
          </cell>
        </row>
        <row r="3176">
          <cell r="A3176">
            <v>9075207</v>
          </cell>
          <cell r="T3176">
            <v>0</v>
          </cell>
          <cell r="U3176">
            <v>0</v>
          </cell>
        </row>
        <row r="3177">
          <cell r="A3177">
            <v>9075208</v>
          </cell>
          <cell r="T3177">
            <v>0</v>
          </cell>
          <cell r="U3177">
            <v>0</v>
          </cell>
        </row>
        <row r="3178">
          <cell r="A3178">
            <v>9075209</v>
          </cell>
          <cell r="T3178">
            <v>0</v>
          </cell>
          <cell r="U3178">
            <v>0</v>
          </cell>
        </row>
        <row r="3179">
          <cell r="A3179">
            <v>9075210</v>
          </cell>
          <cell r="T3179">
            <v>0</v>
          </cell>
          <cell r="U3179">
            <v>0</v>
          </cell>
        </row>
        <row r="3180">
          <cell r="A3180">
            <v>9075301</v>
          </cell>
          <cell r="T3180">
            <v>0</v>
          </cell>
          <cell r="U3180">
            <v>0</v>
          </cell>
        </row>
        <row r="3181">
          <cell r="A3181">
            <v>9075302</v>
          </cell>
          <cell r="T3181">
            <v>0</v>
          </cell>
          <cell r="U3181">
            <v>0</v>
          </cell>
        </row>
        <row r="3182">
          <cell r="A3182">
            <v>9075303</v>
          </cell>
          <cell r="T3182">
            <v>0</v>
          </cell>
          <cell r="U3182">
            <v>0</v>
          </cell>
        </row>
        <row r="3183">
          <cell r="A3183">
            <v>9075306</v>
          </cell>
          <cell r="T3183">
            <v>0</v>
          </cell>
          <cell r="U3183">
            <v>0</v>
          </cell>
        </row>
        <row r="3184">
          <cell r="A3184">
            <v>9075307</v>
          </cell>
          <cell r="T3184">
            <v>0</v>
          </cell>
          <cell r="U3184">
            <v>0</v>
          </cell>
        </row>
        <row r="3185">
          <cell r="A3185">
            <v>9075308</v>
          </cell>
          <cell r="T3185">
            <v>0</v>
          </cell>
          <cell r="U3185">
            <v>0</v>
          </cell>
        </row>
        <row r="3186">
          <cell r="A3186">
            <v>9075309</v>
          </cell>
          <cell r="T3186">
            <v>0</v>
          </cell>
          <cell r="U3186">
            <v>0</v>
          </cell>
        </row>
        <row r="3187">
          <cell r="A3187">
            <v>9075310</v>
          </cell>
          <cell r="T3187">
            <v>0</v>
          </cell>
          <cell r="U3187">
            <v>0</v>
          </cell>
        </row>
        <row r="3188">
          <cell r="A3188">
            <v>9075401</v>
          </cell>
          <cell r="T3188">
            <v>0</v>
          </cell>
          <cell r="U3188">
            <v>0</v>
          </cell>
        </row>
        <row r="3189">
          <cell r="A3189">
            <v>9075402</v>
          </cell>
          <cell r="T3189">
            <v>0</v>
          </cell>
          <cell r="U3189">
            <v>0</v>
          </cell>
        </row>
        <row r="3190">
          <cell r="A3190">
            <v>9075403</v>
          </cell>
          <cell r="T3190">
            <v>0</v>
          </cell>
          <cell r="U3190">
            <v>0</v>
          </cell>
        </row>
        <row r="3191">
          <cell r="A3191">
            <v>9075406</v>
          </cell>
          <cell r="T3191">
            <v>0</v>
          </cell>
          <cell r="U3191">
            <v>0</v>
          </cell>
        </row>
        <row r="3192">
          <cell r="A3192">
            <v>9075407</v>
          </cell>
          <cell r="T3192">
            <v>0</v>
          </cell>
          <cell r="U3192">
            <v>0</v>
          </cell>
        </row>
        <row r="3193">
          <cell r="A3193">
            <v>9075408</v>
          </cell>
          <cell r="T3193">
            <v>0</v>
          </cell>
          <cell r="U3193">
            <v>0</v>
          </cell>
        </row>
        <row r="3194">
          <cell r="A3194">
            <v>9075409</v>
          </cell>
          <cell r="T3194">
            <v>0</v>
          </cell>
          <cell r="U3194">
            <v>0</v>
          </cell>
        </row>
        <row r="3195">
          <cell r="A3195">
            <v>9075410</v>
          </cell>
          <cell r="T3195">
            <v>0</v>
          </cell>
          <cell r="U3195">
            <v>0</v>
          </cell>
        </row>
        <row r="3196">
          <cell r="A3196">
            <v>9075501</v>
          </cell>
          <cell r="T3196">
            <v>0</v>
          </cell>
          <cell r="U3196">
            <v>0</v>
          </cell>
        </row>
        <row r="3197">
          <cell r="A3197">
            <v>9075502</v>
          </cell>
          <cell r="T3197">
            <v>0</v>
          </cell>
          <cell r="U3197">
            <v>0</v>
          </cell>
        </row>
        <row r="3198">
          <cell r="A3198">
            <v>9075503</v>
          </cell>
          <cell r="T3198">
            <v>0</v>
          </cell>
          <cell r="U3198">
            <v>0</v>
          </cell>
        </row>
        <row r="3199">
          <cell r="A3199">
            <v>9075506</v>
          </cell>
          <cell r="T3199">
            <v>0</v>
          </cell>
          <cell r="U3199">
            <v>0</v>
          </cell>
        </row>
        <row r="3200">
          <cell r="A3200">
            <v>9075507</v>
          </cell>
          <cell r="T3200">
            <v>0</v>
          </cell>
          <cell r="U3200">
            <v>0</v>
          </cell>
        </row>
        <row r="3201">
          <cell r="A3201">
            <v>9075508</v>
          </cell>
          <cell r="T3201">
            <v>0</v>
          </cell>
          <cell r="U3201">
            <v>0</v>
          </cell>
        </row>
        <row r="3202">
          <cell r="A3202">
            <v>9075509</v>
          </cell>
          <cell r="T3202">
            <v>0</v>
          </cell>
          <cell r="U3202">
            <v>0</v>
          </cell>
        </row>
        <row r="3203">
          <cell r="A3203">
            <v>9075510</v>
          </cell>
          <cell r="T3203">
            <v>0</v>
          </cell>
          <cell r="U3203">
            <v>0</v>
          </cell>
        </row>
        <row r="3204">
          <cell r="A3204">
            <v>9100201</v>
          </cell>
          <cell r="T3204">
            <v>0</v>
          </cell>
          <cell r="U3204">
            <v>0</v>
          </cell>
        </row>
        <row r="3205">
          <cell r="A3205">
            <v>9100202</v>
          </cell>
          <cell r="T3205">
            <v>0</v>
          </cell>
          <cell r="U3205">
            <v>0</v>
          </cell>
        </row>
        <row r="3206">
          <cell r="A3206">
            <v>9100203</v>
          </cell>
          <cell r="T3206">
            <v>0</v>
          </cell>
          <cell r="U3206">
            <v>0</v>
          </cell>
        </row>
        <row r="3207">
          <cell r="A3207">
            <v>9100206</v>
          </cell>
          <cell r="T3207">
            <v>0</v>
          </cell>
          <cell r="U3207">
            <v>0</v>
          </cell>
        </row>
        <row r="3208">
          <cell r="A3208">
            <v>9100207</v>
          </cell>
          <cell r="T3208">
            <v>0</v>
          </cell>
          <cell r="U3208">
            <v>0</v>
          </cell>
        </row>
        <row r="3209">
          <cell r="A3209">
            <v>9100208</v>
          </cell>
          <cell r="T3209">
            <v>0</v>
          </cell>
          <cell r="U3209">
            <v>0</v>
          </cell>
        </row>
        <row r="3210">
          <cell r="A3210">
            <v>9100209</v>
          </cell>
          <cell r="T3210">
            <v>0</v>
          </cell>
          <cell r="U3210">
            <v>0</v>
          </cell>
        </row>
        <row r="3211">
          <cell r="A3211">
            <v>9100210</v>
          </cell>
          <cell r="T3211">
            <v>0</v>
          </cell>
          <cell r="U3211">
            <v>0</v>
          </cell>
        </row>
        <row r="3212">
          <cell r="A3212">
            <v>9100301</v>
          </cell>
          <cell r="T3212">
            <v>0</v>
          </cell>
          <cell r="U3212">
            <v>0</v>
          </cell>
        </row>
        <row r="3213">
          <cell r="A3213">
            <v>9100302</v>
          </cell>
          <cell r="T3213">
            <v>0</v>
          </cell>
          <cell r="U3213">
            <v>0</v>
          </cell>
        </row>
        <row r="3214">
          <cell r="A3214">
            <v>9100303</v>
          </cell>
          <cell r="T3214">
            <v>0</v>
          </cell>
          <cell r="U3214">
            <v>0</v>
          </cell>
        </row>
        <row r="3215">
          <cell r="A3215">
            <v>9100306</v>
          </cell>
          <cell r="T3215">
            <v>0</v>
          </cell>
          <cell r="U3215">
            <v>0</v>
          </cell>
        </row>
        <row r="3216">
          <cell r="A3216">
            <v>9100307</v>
          </cell>
          <cell r="T3216">
            <v>0</v>
          </cell>
          <cell r="U3216">
            <v>0</v>
          </cell>
        </row>
        <row r="3217">
          <cell r="A3217">
            <v>9100308</v>
          </cell>
          <cell r="T3217">
            <v>0</v>
          </cell>
          <cell r="U3217">
            <v>0</v>
          </cell>
        </row>
        <row r="3218">
          <cell r="A3218">
            <v>9100309</v>
          </cell>
          <cell r="T3218">
            <v>0</v>
          </cell>
          <cell r="U3218">
            <v>0</v>
          </cell>
        </row>
        <row r="3219">
          <cell r="A3219">
            <v>9100310</v>
          </cell>
          <cell r="T3219">
            <v>0</v>
          </cell>
          <cell r="U3219">
            <v>0</v>
          </cell>
        </row>
        <row r="3220">
          <cell r="A3220">
            <v>9100401</v>
          </cell>
          <cell r="T3220">
            <v>0</v>
          </cell>
          <cell r="U3220">
            <v>0</v>
          </cell>
        </row>
        <row r="3221">
          <cell r="A3221">
            <v>9100402</v>
          </cell>
          <cell r="T3221">
            <v>0</v>
          </cell>
          <cell r="U3221">
            <v>0</v>
          </cell>
        </row>
        <row r="3222">
          <cell r="A3222">
            <v>9100403</v>
          </cell>
          <cell r="T3222">
            <v>0</v>
          </cell>
          <cell r="U3222">
            <v>0</v>
          </cell>
        </row>
        <row r="3223">
          <cell r="A3223">
            <v>9100406</v>
          </cell>
          <cell r="T3223">
            <v>0</v>
          </cell>
          <cell r="U3223">
            <v>0</v>
          </cell>
        </row>
        <row r="3224">
          <cell r="A3224">
            <v>9100407</v>
          </cell>
          <cell r="T3224">
            <v>0</v>
          </cell>
          <cell r="U3224">
            <v>0</v>
          </cell>
        </row>
        <row r="3225">
          <cell r="A3225">
            <v>9100408</v>
          </cell>
          <cell r="T3225">
            <v>0</v>
          </cell>
          <cell r="U3225">
            <v>0</v>
          </cell>
        </row>
        <row r="3226">
          <cell r="A3226">
            <v>9100409</v>
          </cell>
          <cell r="T3226">
            <v>0</v>
          </cell>
          <cell r="U3226">
            <v>0</v>
          </cell>
        </row>
        <row r="3227">
          <cell r="A3227">
            <v>9100410</v>
          </cell>
          <cell r="T3227">
            <v>0</v>
          </cell>
          <cell r="U3227">
            <v>0</v>
          </cell>
        </row>
        <row r="3228">
          <cell r="A3228">
            <v>9100501</v>
          </cell>
          <cell r="T3228">
            <v>0</v>
          </cell>
          <cell r="U3228">
            <v>0</v>
          </cell>
        </row>
        <row r="3229">
          <cell r="A3229">
            <v>9100502</v>
          </cell>
          <cell r="T3229">
            <v>0</v>
          </cell>
          <cell r="U3229">
            <v>0</v>
          </cell>
        </row>
        <row r="3230">
          <cell r="A3230">
            <v>9100503</v>
          </cell>
          <cell r="T3230">
            <v>0</v>
          </cell>
          <cell r="U3230">
            <v>0</v>
          </cell>
        </row>
        <row r="3231">
          <cell r="A3231">
            <v>9100506</v>
          </cell>
          <cell r="T3231">
            <v>0</v>
          </cell>
          <cell r="U3231">
            <v>0</v>
          </cell>
        </row>
        <row r="3232">
          <cell r="A3232">
            <v>9100507</v>
          </cell>
          <cell r="T3232">
            <v>0</v>
          </cell>
          <cell r="U3232">
            <v>0</v>
          </cell>
        </row>
        <row r="3233">
          <cell r="A3233">
            <v>9100508</v>
          </cell>
          <cell r="T3233">
            <v>0</v>
          </cell>
          <cell r="U3233">
            <v>0</v>
          </cell>
        </row>
        <row r="3234">
          <cell r="A3234">
            <v>9100509</v>
          </cell>
          <cell r="T3234">
            <v>0</v>
          </cell>
          <cell r="U3234">
            <v>0</v>
          </cell>
        </row>
        <row r="3235">
          <cell r="A3235">
            <v>9100510</v>
          </cell>
          <cell r="T3235">
            <v>0</v>
          </cell>
          <cell r="U3235">
            <v>0</v>
          </cell>
        </row>
        <row r="3236">
          <cell r="A3236">
            <v>9125201</v>
          </cell>
          <cell r="T3236">
            <v>0</v>
          </cell>
          <cell r="U3236">
            <v>0</v>
          </cell>
        </row>
        <row r="3237">
          <cell r="A3237">
            <v>9125202</v>
          </cell>
          <cell r="T3237">
            <v>0</v>
          </cell>
          <cell r="U3237">
            <v>0</v>
          </cell>
        </row>
        <row r="3238">
          <cell r="A3238">
            <v>9125203</v>
          </cell>
          <cell r="T3238">
            <v>0</v>
          </cell>
          <cell r="U3238">
            <v>0</v>
          </cell>
        </row>
        <row r="3239">
          <cell r="A3239">
            <v>9125206</v>
          </cell>
          <cell r="T3239">
            <v>0</v>
          </cell>
          <cell r="U3239">
            <v>0</v>
          </cell>
        </row>
        <row r="3240">
          <cell r="A3240">
            <v>9125207</v>
          </cell>
          <cell r="T3240">
            <v>0</v>
          </cell>
          <cell r="U3240">
            <v>0</v>
          </cell>
        </row>
        <row r="3241">
          <cell r="A3241">
            <v>9125208</v>
          </cell>
          <cell r="T3241">
            <v>0</v>
          </cell>
          <cell r="U3241">
            <v>0</v>
          </cell>
        </row>
        <row r="3242">
          <cell r="A3242">
            <v>9125209</v>
          </cell>
          <cell r="T3242">
            <v>0</v>
          </cell>
          <cell r="U3242">
            <v>0</v>
          </cell>
        </row>
        <row r="3243">
          <cell r="A3243">
            <v>9125210</v>
          </cell>
          <cell r="T3243">
            <v>0</v>
          </cell>
          <cell r="U3243">
            <v>0</v>
          </cell>
        </row>
        <row r="3244">
          <cell r="A3244">
            <v>9125301</v>
          </cell>
          <cell r="T3244">
            <v>0</v>
          </cell>
          <cell r="U3244">
            <v>0</v>
          </cell>
        </row>
        <row r="3245">
          <cell r="A3245">
            <v>9125302</v>
          </cell>
          <cell r="T3245">
            <v>0</v>
          </cell>
          <cell r="U3245">
            <v>0</v>
          </cell>
        </row>
        <row r="3246">
          <cell r="A3246">
            <v>9125303</v>
          </cell>
          <cell r="T3246">
            <v>0</v>
          </cell>
          <cell r="U3246">
            <v>0</v>
          </cell>
        </row>
        <row r="3247">
          <cell r="A3247">
            <v>9125306</v>
          </cell>
          <cell r="T3247">
            <v>0</v>
          </cell>
          <cell r="U3247">
            <v>0</v>
          </cell>
        </row>
        <row r="3248">
          <cell r="A3248">
            <v>9125307</v>
          </cell>
          <cell r="T3248">
            <v>0</v>
          </cell>
          <cell r="U3248">
            <v>0</v>
          </cell>
        </row>
        <row r="3249">
          <cell r="A3249">
            <v>9125308</v>
          </cell>
          <cell r="T3249">
            <v>0</v>
          </cell>
          <cell r="U3249">
            <v>0</v>
          </cell>
        </row>
        <row r="3250">
          <cell r="A3250">
            <v>9125309</v>
          </cell>
          <cell r="T3250">
            <v>0</v>
          </cell>
          <cell r="U3250">
            <v>0</v>
          </cell>
        </row>
        <row r="3251">
          <cell r="A3251">
            <v>9125310</v>
          </cell>
          <cell r="T3251">
            <v>0</v>
          </cell>
          <cell r="U3251">
            <v>0</v>
          </cell>
        </row>
        <row r="3252">
          <cell r="A3252">
            <v>9125401</v>
          </cell>
          <cell r="T3252">
            <v>0</v>
          </cell>
          <cell r="U3252">
            <v>0</v>
          </cell>
        </row>
        <row r="3253">
          <cell r="A3253">
            <v>9125402</v>
          </cell>
          <cell r="T3253">
            <v>0</v>
          </cell>
          <cell r="U3253">
            <v>0</v>
          </cell>
        </row>
        <row r="3254">
          <cell r="A3254">
            <v>9125403</v>
          </cell>
          <cell r="T3254">
            <v>0</v>
          </cell>
          <cell r="U3254">
            <v>0</v>
          </cell>
        </row>
        <row r="3255">
          <cell r="A3255">
            <v>9125406</v>
          </cell>
          <cell r="T3255">
            <v>0</v>
          </cell>
          <cell r="U3255">
            <v>0</v>
          </cell>
        </row>
        <row r="3256">
          <cell r="A3256">
            <v>9125407</v>
          </cell>
          <cell r="T3256">
            <v>0</v>
          </cell>
          <cell r="U3256">
            <v>0</v>
          </cell>
        </row>
        <row r="3257">
          <cell r="A3257">
            <v>9125408</v>
          </cell>
          <cell r="T3257">
            <v>0</v>
          </cell>
          <cell r="U3257">
            <v>0</v>
          </cell>
        </row>
        <row r="3258">
          <cell r="A3258">
            <v>9125409</v>
          </cell>
          <cell r="T3258">
            <v>0</v>
          </cell>
          <cell r="U3258">
            <v>0</v>
          </cell>
        </row>
        <row r="3259">
          <cell r="A3259">
            <v>9125410</v>
          </cell>
          <cell r="T3259">
            <v>0</v>
          </cell>
          <cell r="U3259">
            <v>0</v>
          </cell>
        </row>
        <row r="3260">
          <cell r="A3260">
            <v>9125501</v>
          </cell>
          <cell r="T3260">
            <v>0</v>
          </cell>
          <cell r="U3260">
            <v>0</v>
          </cell>
        </row>
        <row r="3261">
          <cell r="A3261">
            <v>9125502</v>
          </cell>
          <cell r="T3261">
            <v>0</v>
          </cell>
          <cell r="U3261">
            <v>0</v>
          </cell>
        </row>
        <row r="3262">
          <cell r="A3262">
            <v>9125503</v>
          </cell>
          <cell r="T3262">
            <v>0</v>
          </cell>
          <cell r="U3262">
            <v>0</v>
          </cell>
        </row>
        <row r="3263">
          <cell r="A3263">
            <v>9125506</v>
          </cell>
          <cell r="T3263">
            <v>0</v>
          </cell>
          <cell r="U3263">
            <v>0</v>
          </cell>
        </row>
        <row r="3264">
          <cell r="A3264">
            <v>9125507</v>
          </cell>
          <cell r="T3264">
            <v>0</v>
          </cell>
          <cell r="U3264">
            <v>0</v>
          </cell>
        </row>
        <row r="3265">
          <cell r="A3265">
            <v>9125508</v>
          </cell>
          <cell r="T3265">
            <v>0</v>
          </cell>
          <cell r="U3265">
            <v>0</v>
          </cell>
        </row>
        <row r="3266">
          <cell r="A3266">
            <v>9125509</v>
          </cell>
          <cell r="T3266">
            <v>0</v>
          </cell>
          <cell r="U3266">
            <v>0</v>
          </cell>
        </row>
        <row r="3267">
          <cell r="A3267">
            <v>9125510</v>
          </cell>
          <cell r="T3267">
            <v>0</v>
          </cell>
          <cell r="U3267">
            <v>0</v>
          </cell>
        </row>
        <row r="3268">
          <cell r="A3268">
            <v>9150201</v>
          </cell>
          <cell r="T3268">
            <v>0</v>
          </cell>
          <cell r="U3268">
            <v>0</v>
          </cell>
        </row>
        <row r="3269">
          <cell r="A3269">
            <v>9150202</v>
          </cell>
          <cell r="T3269">
            <v>0</v>
          </cell>
          <cell r="U3269">
            <v>0</v>
          </cell>
        </row>
        <row r="3270">
          <cell r="A3270">
            <v>9150203</v>
          </cell>
          <cell r="T3270">
            <v>0</v>
          </cell>
          <cell r="U3270">
            <v>0</v>
          </cell>
        </row>
        <row r="3271">
          <cell r="A3271">
            <v>9150206</v>
          </cell>
          <cell r="T3271">
            <v>0</v>
          </cell>
          <cell r="U3271">
            <v>0</v>
          </cell>
        </row>
        <row r="3272">
          <cell r="A3272">
            <v>9150207</v>
          </cell>
          <cell r="T3272">
            <v>0</v>
          </cell>
          <cell r="U3272">
            <v>0</v>
          </cell>
        </row>
        <row r="3273">
          <cell r="A3273">
            <v>9150208</v>
          </cell>
          <cell r="T3273">
            <v>0</v>
          </cell>
          <cell r="U3273">
            <v>0</v>
          </cell>
        </row>
        <row r="3274">
          <cell r="A3274">
            <v>9150209</v>
          </cell>
          <cell r="T3274">
            <v>0</v>
          </cell>
          <cell r="U3274">
            <v>0</v>
          </cell>
        </row>
        <row r="3275">
          <cell r="A3275">
            <v>9150210</v>
          </cell>
          <cell r="T3275">
            <v>0</v>
          </cell>
          <cell r="U3275">
            <v>0</v>
          </cell>
        </row>
        <row r="3276">
          <cell r="A3276">
            <v>9150301</v>
          </cell>
          <cell r="T3276">
            <v>0</v>
          </cell>
          <cell r="U3276">
            <v>0</v>
          </cell>
        </row>
        <row r="3277">
          <cell r="A3277">
            <v>9150302</v>
          </cell>
          <cell r="T3277">
            <v>0</v>
          </cell>
          <cell r="U3277">
            <v>0</v>
          </cell>
        </row>
        <row r="3278">
          <cell r="A3278">
            <v>9150303</v>
          </cell>
          <cell r="T3278">
            <v>0</v>
          </cell>
          <cell r="U3278">
            <v>0</v>
          </cell>
        </row>
        <row r="3279">
          <cell r="A3279">
            <v>9150306</v>
          </cell>
          <cell r="T3279">
            <v>0</v>
          </cell>
          <cell r="U3279">
            <v>0</v>
          </cell>
        </row>
        <row r="3280">
          <cell r="A3280">
            <v>9150307</v>
          </cell>
          <cell r="T3280">
            <v>0</v>
          </cell>
          <cell r="U3280">
            <v>0</v>
          </cell>
        </row>
        <row r="3281">
          <cell r="A3281">
            <v>9150308</v>
          </cell>
          <cell r="T3281">
            <v>0</v>
          </cell>
          <cell r="U3281">
            <v>0</v>
          </cell>
        </row>
        <row r="3282">
          <cell r="A3282">
            <v>9150309</v>
          </cell>
          <cell r="T3282">
            <v>0</v>
          </cell>
          <cell r="U3282">
            <v>0</v>
          </cell>
        </row>
        <row r="3283">
          <cell r="A3283">
            <v>9150310</v>
          </cell>
          <cell r="T3283">
            <v>0</v>
          </cell>
          <cell r="U3283">
            <v>0</v>
          </cell>
        </row>
        <row r="3284">
          <cell r="A3284">
            <v>9150401</v>
          </cell>
          <cell r="T3284">
            <v>0</v>
          </cell>
          <cell r="U3284">
            <v>0</v>
          </cell>
        </row>
        <row r="3285">
          <cell r="A3285">
            <v>9150402</v>
          </cell>
          <cell r="T3285">
            <v>0</v>
          </cell>
          <cell r="U3285">
            <v>0</v>
          </cell>
        </row>
        <row r="3286">
          <cell r="A3286">
            <v>9150403</v>
          </cell>
          <cell r="T3286">
            <v>0</v>
          </cell>
          <cell r="U3286">
            <v>0</v>
          </cell>
        </row>
        <row r="3287">
          <cell r="A3287">
            <v>9150406</v>
          </cell>
          <cell r="T3287">
            <v>0</v>
          </cell>
          <cell r="U3287">
            <v>0</v>
          </cell>
        </row>
        <row r="3288">
          <cell r="A3288">
            <v>9150407</v>
          </cell>
          <cell r="T3288">
            <v>0</v>
          </cell>
          <cell r="U3288">
            <v>0</v>
          </cell>
        </row>
        <row r="3289">
          <cell r="A3289">
            <v>9150408</v>
          </cell>
          <cell r="T3289">
            <v>0</v>
          </cell>
          <cell r="U3289">
            <v>0</v>
          </cell>
        </row>
        <row r="3290">
          <cell r="A3290">
            <v>9150409</v>
          </cell>
          <cell r="T3290">
            <v>0</v>
          </cell>
          <cell r="U3290">
            <v>0</v>
          </cell>
        </row>
        <row r="3291">
          <cell r="A3291">
            <v>9150410</v>
          </cell>
          <cell r="T3291">
            <v>0</v>
          </cell>
          <cell r="U3291">
            <v>0</v>
          </cell>
        </row>
        <row r="3292">
          <cell r="A3292">
            <v>9150501</v>
          </cell>
          <cell r="T3292">
            <v>0</v>
          </cell>
          <cell r="U3292">
            <v>0</v>
          </cell>
        </row>
        <row r="3293">
          <cell r="A3293">
            <v>9150502</v>
          </cell>
          <cell r="T3293">
            <v>0</v>
          </cell>
          <cell r="U3293">
            <v>0</v>
          </cell>
        </row>
        <row r="3294">
          <cell r="A3294">
            <v>9150503</v>
          </cell>
          <cell r="T3294">
            <v>0</v>
          </cell>
          <cell r="U3294">
            <v>0</v>
          </cell>
        </row>
        <row r="3295">
          <cell r="A3295">
            <v>9150506</v>
          </cell>
          <cell r="T3295">
            <v>0</v>
          </cell>
          <cell r="U3295">
            <v>0</v>
          </cell>
        </row>
        <row r="3296">
          <cell r="A3296">
            <v>9150507</v>
          </cell>
          <cell r="T3296">
            <v>0</v>
          </cell>
          <cell r="U3296">
            <v>0</v>
          </cell>
        </row>
        <row r="3297">
          <cell r="A3297">
            <v>9150508</v>
          </cell>
          <cell r="T3297">
            <v>0</v>
          </cell>
          <cell r="U3297">
            <v>0</v>
          </cell>
        </row>
        <row r="3298">
          <cell r="A3298">
            <v>9150509</v>
          </cell>
          <cell r="T3298">
            <v>0</v>
          </cell>
          <cell r="U3298">
            <v>0</v>
          </cell>
        </row>
        <row r="3299">
          <cell r="A3299">
            <v>9150510</v>
          </cell>
          <cell r="T3299">
            <v>0</v>
          </cell>
          <cell r="U3299">
            <v>0</v>
          </cell>
        </row>
        <row r="3300">
          <cell r="A3300">
            <v>9175201</v>
          </cell>
          <cell r="T3300">
            <v>0</v>
          </cell>
          <cell r="U3300">
            <v>0</v>
          </cell>
        </row>
        <row r="3301">
          <cell r="A3301">
            <v>9175202</v>
          </cell>
          <cell r="T3301">
            <v>0</v>
          </cell>
          <cell r="U3301">
            <v>0</v>
          </cell>
        </row>
        <row r="3302">
          <cell r="A3302">
            <v>9175203</v>
          </cell>
          <cell r="T3302">
            <v>0</v>
          </cell>
          <cell r="U3302">
            <v>0</v>
          </cell>
        </row>
        <row r="3303">
          <cell r="A3303">
            <v>9175206</v>
          </cell>
          <cell r="T3303">
            <v>0</v>
          </cell>
          <cell r="U3303">
            <v>0</v>
          </cell>
        </row>
        <row r="3304">
          <cell r="A3304">
            <v>9175207</v>
          </cell>
          <cell r="T3304">
            <v>0</v>
          </cell>
          <cell r="U3304">
            <v>0</v>
          </cell>
        </row>
        <row r="3305">
          <cell r="A3305">
            <v>9175208</v>
          </cell>
          <cell r="T3305">
            <v>0</v>
          </cell>
          <cell r="U3305">
            <v>0</v>
          </cell>
        </row>
        <row r="3306">
          <cell r="A3306">
            <v>9175209</v>
          </cell>
          <cell r="T3306">
            <v>0</v>
          </cell>
          <cell r="U3306">
            <v>0</v>
          </cell>
        </row>
        <row r="3307">
          <cell r="A3307">
            <v>9175210</v>
          </cell>
          <cell r="T3307">
            <v>0</v>
          </cell>
          <cell r="U3307">
            <v>0</v>
          </cell>
        </row>
        <row r="3308">
          <cell r="A3308">
            <v>9175301</v>
          </cell>
          <cell r="T3308">
            <v>0</v>
          </cell>
          <cell r="U3308">
            <v>0</v>
          </cell>
        </row>
        <row r="3309">
          <cell r="A3309">
            <v>9175302</v>
          </cell>
          <cell r="T3309">
            <v>0</v>
          </cell>
          <cell r="U3309">
            <v>0</v>
          </cell>
        </row>
        <row r="3310">
          <cell r="A3310">
            <v>9175303</v>
          </cell>
          <cell r="T3310">
            <v>0</v>
          </cell>
          <cell r="U3310">
            <v>0</v>
          </cell>
        </row>
        <row r="3311">
          <cell r="A3311">
            <v>9175306</v>
          </cell>
          <cell r="T3311">
            <v>0</v>
          </cell>
          <cell r="U3311">
            <v>0</v>
          </cell>
        </row>
        <row r="3312">
          <cell r="A3312">
            <v>9175307</v>
          </cell>
          <cell r="T3312">
            <v>0</v>
          </cell>
          <cell r="U3312">
            <v>0</v>
          </cell>
        </row>
        <row r="3313">
          <cell r="A3313">
            <v>9175308</v>
          </cell>
          <cell r="T3313">
            <v>0</v>
          </cell>
          <cell r="U3313">
            <v>0</v>
          </cell>
        </row>
        <row r="3314">
          <cell r="A3314">
            <v>9175309</v>
          </cell>
          <cell r="T3314">
            <v>0</v>
          </cell>
          <cell r="U3314">
            <v>0</v>
          </cell>
        </row>
        <row r="3315">
          <cell r="A3315">
            <v>9175310</v>
          </cell>
          <cell r="T3315">
            <v>0</v>
          </cell>
          <cell r="U3315">
            <v>0</v>
          </cell>
        </row>
        <row r="3316">
          <cell r="A3316">
            <v>9175401</v>
          </cell>
          <cell r="T3316">
            <v>0</v>
          </cell>
          <cell r="U3316">
            <v>0</v>
          </cell>
        </row>
        <row r="3317">
          <cell r="A3317">
            <v>9175402</v>
          </cell>
          <cell r="T3317">
            <v>0</v>
          </cell>
          <cell r="U3317">
            <v>0</v>
          </cell>
        </row>
        <row r="3318">
          <cell r="A3318">
            <v>9175403</v>
          </cell>
          <cell r="T3318">
            <v>0</v>
          </cell>
          <cell r="U3318">
            <v>0</v>
          </cell>
        </row>
        <row r="3319">
          <cell r="A3319">
            <v>9175406</v>
          </cell>
          <cell r="T3319">
            <v>0</v>
          </cell>
          <cell r="U3319">
            <v>0</v>
          </cell>
        </row>
        <row r="3320">
          <cell r="A3320">
            <v>9175407</v>
          </cell>
          <cell r="T3320">
            <v>0</v>
          </cell>
          <cell r="U3320">
            <v>0</v>
          </cell>
        </row>
        <row r="3321">
          <cell r="A3321">
            <v>9175408</v>
          </cell>
          <cell r="T3321">
            <v>0</v>
          </cell>
          <cell r="U3321">
            <v>0</v>
          </cell>
        </row>
        <row r="3322">
          <cell r="A3322">
            <v>9175409</v>
          </cell>
          <cell r="T3322">
            <v>0</v>
          </cell>
          <cell r="U3322">
            <v>0</v>
          </cell>
        </row>
        <row r="3323">
          <cell r="A3323">
            <v>9175410</v>
          </cell>
          <cell r="T3323">
            <v>0</v>
          </cell>
          <cell r="U3323">
            <v>0</v>
          </cell>
        </row>
        <row r="3324">
          <cell r="A3324">
            <v>9175501</v>
          </cell>
          <cell r="T3324">
            <v>0</v>
          </cell>
          <cell r="U3324">
            <v>0</v>
          </cell>
        </row>
        <row r="3325">
          <cell r="A3325">
            <v>9175502</v>
          </cell>
          <cell r="T3325">
            <v>0</v>
          </cell>
          <cell r="U3325">
            <v>0</v>
          </cell>
        </row>
        <row r="3326">
          <cell r="A3326">
            <v>9175503</v>
          </cell>
          <cell r="T3326">
            <v>0</v>
          </cell>
          <cell r="U3326">
            <v>0</v>
          </cell>
        </row>
        <row r="3327">
          <cell r="A3327">
            <v>9175506</v>
          </cell>
          <cell r="T3327">
            <v>0</v>
          </cell>
          <cell r="U3327">
            <v>0</v>
          </cell>
        </row>
        <row r="3328">
          <cell r="A3328">
            <v>9175507</v>
          </cell>
          <cell r="T3328">
            <v>0</v>
          </cell>
          <cell r="U3328">
            <v>0</v>
          </cell>
        </row>
        <row r="3329">
          <cell r="A3329">
            <v>9175508</v>
          </cell>
          <cell r="T3329">
            <v>0</v>
          </cell>
          <cell r="U3329">
            <v>0</v>
          </cell>
        </row>
        <row r="3330">
          <cell r="A3330">
            <v>9175509</v>
          </cell>
          <cell r="T3330">
            <v>0</v>
          </cell>
          <cell r="U3330">
            <v>0</v>
          </cell>
        </row>
        <row r="3331">
          <cell r="A3331">
            <v>9175510</v>
          </cell>
          <cell r="T3331">
            <v>0</v>
          </cell>
          <cell r="U3331">
            <v>0</v>
          </cell>
        </row>
        <row r="3332">
          <cell r="A3332">
            <v>9200201</v>
          </cell>
          <cell r="T3332">
            <v>0</v>
          </cell>
          <cell r="U3332">
            <v>0</v>
          </cell>
        </row>
        <row r="3333">
          <cell r="A3333">
            <v>9200202</v>
          </cell>
          <cell r="T3333">
            <v>0</v>
          </cell>
          <cell r="U3333">
            <v>0</v>
          </cell>
        </row>
        <row r="3334">
          <cell r="A3334">
            <v>9200203</v>
          </cell>
          <cell r="T3334">
            <v>0</v>
          </cell>
          <cell r="U3334">
            <v>0</v>
          </cell>
        </row>
        <row r="3335">
          <cell r="A3335">
            <v>9200206</v>
          </cell>
          <cell r="T3335">
            <v>0</v>
          </cell>
          <cell r="U3335">
            <v>0</v>
          </cell>
        </row>
        <row r="3336">
          <cell r="A3336">
            <v>9200207</v>
          </cell>
          <cell r="T3336">
            <v>0</v>
          </cell>
          <cell r="U3336">
            <v>0</v>
          </cell>
        </row>
        <row r="3337">
          <cell r="A3337">
            <v>9200208</v>
          </cell>
          <cell r="T3337">
            <v>0</v>
          </cell>
          <cell r="U3337">
            <v>0</v>
          </cell>
        </row>
        <row r="3338">
          <cell r="A3338">
            <v>9200209</v>
          </cell>
          <cell r="T3338">
            <v>0</v>
          </cell>
          <cell r="U3338">
            <v>0</v>
          </cell>
        </row>
        <row r="3339">
          <cell r="A3339">
            <v>9200210</v>
          </cell>
          <cell r="T3339">
            <v>0</v>
          </cell>
          <cell r="U3339">
            <v>0</v>
          </cell>
        </row>
        <row r="3340">
          <cell r="A3340">
            <v>9200301</v>
          </cell>
          <cell r="T3340">
            <v>0</v>
          </cell>
          <cell r="U3340">
            <v>0</v>
          </cell>
        </row>
        <row r="3341">
          <cell r="A3341">
            <v>9200302</v>
          </cell>
          <cell r="T3341">
            <v>0</v>
          </cell>
          <cell r="U3341">
            <v>0</v>
          </cell>
        </row>
        <row r="3342">
          <cell r="A3342">
            <v>9200303</v>
          </cell>
          <cell r="T3342">
            <v>0</v>
          </cell>
          <cell r="U3342">
            <v>0</v>
          </cell>
        </row>
        <row r="3343">
          <cell r="A3343">
            <v>9200306</v>
          </cell>
          <cell r="T3343">
            <v>0</v>
          </cell>
          <cell r="U3343">
            <v>0</v>
          </cell>
        </row>
        <row r="3344">
          <cell r="A3344">
            <v>9200307</v>
          </cell>
          <cell r="T3344">
            <v>0</v>
          </cell>
          <cell r="U3344">
            <v>0</v>
          </cell>
        </row>
        <row r="3345">
          <cell r="A3345">
            <v>9200308</v>
          </cell>
          <cell r="T3345">
            <v>0</v>
          </cell>
          <cell r="U3345">
            <v>0</v>
          </cell>
        </row>
        <row r="3346">
          <cell r="A3346">
            <v>9200309</v>
          </cell>
          <cell r="T3346">
            <v>0</v>
          </cell>
          <cell r="U3346">
            <v>0</v>
          </cell>
        </row>
        <row r="3347">
          <cell r="A3347">
            <v>9200310</v>
          </cell>
          <cell r="T3347">
            <v>0</v>
          </cell>
          <cell r="U3347">
            <v>0</v>
          </cell>
        </row>
        <row r="3348">
          <cell r="A3348">
            <v>9200401</v>
          </cell>
          <cell r="T3348">
            <v>0</v>
          </cell>
          <cell r="U3348">
            <v>0</v>
          </cell>
        </row>
        <row r="3349">
          <cell r="A3349">
            <v>9200402</v>
          </cell>
          <cell r="T3349">
            <v>0</v>
          </cell>
          <cell r="U3349">
            <v>0</v>
          </cell>
        </row>
        <row r="3350">
          <cell r="A3350">
            <v>9200403</v>
          </cell>
          <cell r="T3350">
            <v>0</v>
          </cell>
          <cell r="U3350">
            <v>0</v>
          </cell>
        </row>
        <row r="3351">
          <cell r="A3351">
            <v>9200406</v>
          </cell>
          <cell r="T3351">
            <v>0</v>
          </cell>
          <cell r="U3351">
            <v>0</v>
          </cell>
        </row>
        <row r="3352">
          <cell r="A3352">
            <v>9200407</v>
          </cell>
          <cell r="T3352">
            <v>0</v>
          </cell>
          <cell r="U3352">
            <v>0</v>
          </cell>
        </row>
        <row r="3353">
          <cell r="A3353">
            <v>9200408</v>
          </cell>
          <cell r="T3353">
            <v>0</v>
          </cell>
          <cell r="U3353">
            <v>0</v>
          </cell>
        </row>
        <row r="3354">
          <cell r="A3354">
            <v>9200409</v>
          </cell>
          <cell r="T3354">
            <v>0</v>
          </cell>
          <cell r="U3354">
            <v>0</v>
          </cell>
        </row>
        <row r="3355">
          <cell r="A3355">
            <v>9200410</v>
          </cell>
          <cell r="T3355">
            <v>0</v>
          </cell>
          <cell r="U3355">
            <v>0</v>
          </cell>
        </row>
        <row r="3356">
          <cell r="A3356">
            <v>9200501</v>
          </cell>
          <cell r="T3356">
            <v>0</v>
          </cell>
          <cell r="U3356">
            <v>0</v>
          </cell>
        </row>
        <row r="3357">
          <cell r="A3357">
            <v>9200502</v>
          </cell>
          <cell r="T3357">
            <v>0</v>
          </cell>
          <cell r="U3357">
            <v>0</v>
          </cell>
        </row>
        <row r="3358">
          <cell r="A3358">
            <v>9200503</v>
          </cell>
          <cell r="T3358">
            <v>0</v>
          </cell>
          <cell r="U3358">
            <v>0</v>
          </cell>
        </row>
        <row r="3359">
          <cell r="A3359">
            <v>9200506</v>
          </cell>
          <cell r="T3359">
            <v>0</v>
          </cell>
          <cell r="U3359">
            <v>0</v>
          </cell>
        </row>
        <row r="3360">
          <cell r="A3360">
            <v>9200507</v>
          </cell>
          <cell r="T3360">
            <v>0</v>
          </cell>
          <cell r="U3360">
            <v>0</v>
          </cell>
        </row>
        <row r="3361">
          <cell r="A3361">
            <v>9200508</v>
          </cell>
          <cell r="T3361">
            <v>0</v>
          </cell>
          <cell r="U3361">
            <v>0</v>
          </cell>
        </row>
        <row r="3362">
          <cell r="A3362">
            <v>9200509</v>
          </cell>
          <cell r="T3362">
            <v>0</v>
          </cell>
          <cell r="U3362">
            <v>0</v>
          </cell>
        </row>
        <row r="3363">
          <cell r="A3363">
            <v>9200510</v>
          </cell>
          <cell r="T3363">
            <v>0</v>
          </cell>
          <cell r="U3363">
            <v>0</v>
          </cell>
        </row>
        <row r="3364">
          <cell r="A3364">
            <v>9210201</v>
          </cell>
          <cell r="T3364">
            <v>0</v>
          </cell>
          <cell r="U3364">
            <v>0</v>
          </cell>
        </row>
        <row r="3365">
          <cell r="A3365">
            <v>9210202</v>
          </cell>
          <cell r="T3365">
            <v>0</v>
          </cell>
          <cell r="U3365">
            <v>0</v>
          </cell>
        </row>
        <row r="3366">
          <cell r="A3366">
            <v>9210203</v>
          </cell>
          <cell r="T3366">
            <v>0</v>
          </cell>
          <cell r="U3366">
            <v>0</v>
          </cell>
        </row>
        <row r="3367">
          <cell r="A3367">
            <v>9210206</v>
          </cell>
          <cell r="T3367">
            <v>0</v>
          </cell>
          <cell r="U3367">
            <v>0</v>
          </cell>
        </row>
        <row r="3368">
          <cell r="A3368">
            <v>9210207</v>
          </cell>
          <cell r="T3368">
            <v>0</v>
          </cell>
          <cell r="U3368">
            <v>0</v>
          </cell>
        </row>
        <row r="3369">
          <cell r="A3369">
            <v>9210208</v>
          </cell>
          <cell r="T3369">
            <v>0</v>
          </cell>
          <cell r="U3369">
            <v>0</v>
          </cell>
        </row>
        <row r="3370">
          <cell r="A3370">
            <v>9210209</v>
          </cell>
          <cell r="T3370">
            <v>0</v>
          </cell>
          <cell r="U3370">
            <v>0</v>
          </cell>
        </row>
        <row r="3371">
          <cell r="A3371">
            <v>9210210</v>
          </cell>
          <cell r="T3371">
            <v>0</v>
          </cell>
          <cell r="U3371">
            <v>0</v>
          </cell>
        </row>
        <row r="3372">
          <cell r="A3372">
            <v>9210301</v>
          </cell>
          <cell r="T3372">
            <v>0</v>
          </cell>
          <cell r="U3372">
            <v>0</v>
          </cell>
        </row>
        <row r="3373">
          <cell r="A3373">
            <v>9210302</v>
          </cell>
          <cell r="T3373">
            <v>0</v>
          </cell>
          <cell r="U3373">
            <v>0</v>
          </cell>
        </row>
        <row r="3374">
          <cell r="A3374">
            <v>9210303</v>
          </cell>
          <cell r="T3374">
            <v>0</v>
          </cell>
          <cell r="U3374">
            <v>0</v>
          </cell>
        </row>
        <row r="3375">
          <cell r="A3375">
            <v>9210306</v>
          </cell>
          <cell r="T3375">
            <v>0</v>
          </cell>
          <cell r="U3375">
            <v>0</v>
          </cell>
        </row>
        <row r="3376">
          <cell r="A3376">
            <v>9210307</v>
          </cell>
          <cell r="T3376">
            <v>0</v>
          </cell>
          <cell r="U3376">
            <v>0</v>
          </cell>
        </row>
        <row r="3377">
          <cell r="A3377">
            <v>9210308</v>
          </cell>
          <cell r="T3377">
            <v>0</v>
          </cell>
          <cell r="U3377">
            <v>0</v>
          </cell>
        </row>
        <row r="3378">
          <cell r="A3378">
            <v>9210309</v>
          </cell>
          <cell r="T3378">
            <v>0</v>
          </cell>
          <cell r="U3378">
            <v>0</v>
          </cell>
        </row>
        <row r="3379">
          <cell r="A3379">
            <v>9210310</v>
          </cell>
          <cell r="T3379">
            <v>0</v>
          </cell>
          <cell r="U3379">
            <v>0</v>
          </cell>
        </row>
        <row r="3380">
          <cell r="A3380">
            <v>9210401</v>
          </cell>
          <cell r="T3380">
            <v>0</v>
          </cell>
          <cell r="U3380">
            <v>0</v>
          </cell>
        </row>
        <row r="3381">
          <cell r="A3381">
            <v>9210402</v>
          </cell>
          <cell r="T3381">
            <v>0</v>
          </cell>
          <cell r="U3381">
            <v>0</v>
          </cell>
        </row>
        <row r="3382">
          <cell r="A3382">
            <v>9210403</v>
          </cell>
          <cell r="T3382">
            <v>0</v>
          </cell>
          <cell r="U3382">
            <v>0</v>
          </cell>
        </row>
        <row r="3383">
          <cell r="A3383">
            <v>9210406</v>
          </cell>
          <cell r="T3383">
            <v>0</v>
          </cell>
          <cell r="U3383">
            <v>0</v>
          </cell>
        </row>
        <row r="3384">
          <cell r="A3384">
            <v>9210407</v>
          </cell>
          <cell r="T3384">
            <v>0</v>
          </cell>
          <cell r="U3384">
            <v>0</v>
          </cell>
        </row>
        <row r="3385">
          <cell r="A3385">
            <v>9210408</v>
          </cell>
          <cell r="T3385">
            <v>0</v>
          </cell>
          <cell r="U3385">
            <v>0</v>
          </cell>
        </row>
        <row r="3386">
          <cell r="A3386">
            <v>9210409</v>
          </cell>
          <cell r="T3386">
            <v>0</v>
          </cell>
          <cell r="U3386">
            <v>0</v>
          </cell>
        </row>
        <row r="3387">
          <cell r="A3387">
            <v>9210410</v>
          </cell>
          <cell r="T3387">
            <v>0</v>
          </cell>
          <cell r="U3387">
            <v>0</v>
          </cell>
        </row>
        <row r="3388">
          <cell r="A3388">
            <v>9210501</v>
          </cell>
          <cell r="T3388">
            <v>0</v>
          </cell>
          <cell r="U3388">
            <v>0</v>
          </cell>
        </row>
        <row r="3389">
          <cell r="A3389">
            <v>9210502</v>
          </cell>
          <cell r="T3389">
            <v>0</v>
          </cell>
          <cell r="U3389">
            <v>0</v>
          </cell>
        </row>
        <row r="3390">
          <cell r="A3390">
            <v>9210503</v>
          </cell>
          <cell r="T3390">
            <v>0</v>
          </cell>
          <cell r="U3390">
            <v>0</v>
          </cell>
        </row>
        <row r="3391">
          <cell r="A3391">
            <v>9210506</v>
          </cell>
          <cell r="T3391">
            <v>0</v>
          </cell>
          <cell r="U3391">
            <v>0</v>
          </cell>
        </row>
        <row r="3392">
          <cell r="A3392">
            <v>9210507</v>
          </cell>
          <cell r="T3392">
            <v>0</v>
          </cell>
          <cell r="U3392">
            <v>0</v>
          </cell>
        </row>
        <row r="3393">
          <cell r="A3393">
            <v>9210508</v>
          </cell>
          <cell r="T3393">
            <v>0</v>
          </cell>
          <cell r="U3393">
            <v>0</v>
          </cell>
        </row>
        <row r="3394">
          <cell r="A3394">
            <v>9210509</v>
          </cell>
          <cell r="T3394">
            <v>0</v>
          </cell>
          <cell r="U3394">
            <v>0</v>
          </cell>
        </row>
        <row r="3395">
          <cell r="A3395">
            <v>9210510</v>
          </cell>
          <cell r="T3395">
            <v>0</v>
          </cell>
          <cell r="U3395">
            <v>0</v>
          </cell>
        </row>
        <row r="3396">
          <cell r="A3396">
            <v>9220201</v>
          </cell>
          <cell r="T3396">
            <v>0</v>
          </cell>
          <cell r="U3396">
            <v>0</v>
          </cell>
        </row>
        <row r="3397">
          <cell r="A3397">
            <v>9220202</v>
          </cell>
          <cell r="T3397">
            <v>0</v>
          </cell>
          <cell r="U3397">
            <v>0</v>
          </cell>
        </row>
        <row r="3398">
          <cell r="A3398">
            <v>9220203</v>
          </cell>
          <cell r="T3398">
            <v>0</v>
          </cell>
          <cell r="U3398">
            <v>0</v>
          </cell>
        </row>
        <row r="3399">
          <cell r="A3399">
            <v>9220206</v>
          </cell>
          <cell r="T3399">
            <v>0</v>
          </cell>
          <cell r="U3399">
            <v>0</v>
          </cell>
        </row>
        <row r="3400">
          <cell r="A3400">
            <v>9220207</v>
          </cell>
          <cell r="T3400">
            <v>0</v>
          </cell>
          <cell r="U3400">
            <v>0</v>
          </cell>
        </row>
        <row r="3401">
          <cell r="A3401">
            <v>9220208</v>
          </cell>
          <cell r="T3401">
            <v>0</v>
          </cell>
          <cell r="U3401">
            <v>0</v>
          </cell>
        </row>
        <row r="3402">
          <cell r="A3402">
            <v>9220209</v>
          </cell>
          <cell r="T3402">
            <v>0</v>
          </cell>
          <cell r="U3402">
            <v>0</v>
          </cell>
        </row>
        <row r="3403">
          <cell r="A3403">
            <v>9220210</v>
          </cell>
          <cell r="T3403">
            <v>0</v>
          </cell>
          <cell r="U3403">
            <v>0</v>
          </cell>
        </row>
        <row r="3404">
          <cell r="A3404">
            <v>9220301</v>
          </cell>
          <cell r="T3404">
            <v>0</v>
          </cell>
          <cell r="U3404">
            <v>0</v>
          </cell>
        </row>
        <row r="3405">
          <cell r="A3405">
            <v>9220302</v>
          </cell>
          <cell r="T3405">
            <v>0</v>
          </cell>
          <cell r="U3405">
            <v>0</v>
          </cell>
        </row>
        <row r="3406">
          <cell r="A3406">
            <v>9220303</v>
          </cell>
          <cell r="T3406">
            <v>0</v>
          </cell>
          <cell r="U3406">
            <v>0</v>
          </cell>
        </row>
        <row r="3407">
          <cell r="A3407">
            <v>9220306</v>
          </cell>
          <cell r="T3407">
            <v>0</v>
          </cell>
          <cell r="U3407">
            <v>0</v>
          </cell>
        </row>
        <row r="3408">
          <cell r="A3408">
            <v>9220307</v>
          </cell>
          <cell r="T3408">
            <v>0</v>
          </cell>
          <cell r="U3408">
            <v>0</v>
          </cell>
        </row>
        <row r="3409">
          <cell r="A3409">
            <v>9220308</v>
          </cell>
          <cell r="T3409">
            <v>0</v>
          </cell>
          <cell r="U3409">
            <v>0</v>
          </cell>
        </row>
        <row r="3410">
          <cell r="A3410">
            <v>9220309</v>
          </cell>
          <cell r="T3410">
            <v>0</v>
          </cell>
          <cell r="U3410">
            <v>0</v>
          </cell>
        </row>
        <row r="3411">
          <cell r="A3411">
            <v>9220310</v>
          </cell>
          <cell r="T3411">
            <v>0</v>
          </cell>
          <cell r="U3411">
            <v>0</v>
          </cell>
        </row>
        <row r="3412">
          <cell r="A3412">
            <v>9220401</v>
          </cell>
          <cell r="T3412">
            <v>0</v>
          </cell>
          <cell r="U3412">
            <v>0</v>
          </cell>
        </row>
        <row r="3413">
          <cell r="A3413">
            <v>9220402</v>
          </cell>
          <cell r="T3413">
            <v>0</v>
          </cell>
          <cell r="U3413">
            <v>0</v>
          </cell>
        </row>
        <row r="3414">
          <cell r="A3414">
            <v>9220403</v>
          </cell>
          <cell r="T3414">
            <v>0</v>
          </cell>
          <cell r="U3414">
            <v>0</v>
          </cell>
        </row>
        <row r="3415">
          <cell r="A3415">
            <v>9220406</v>
          </cell>
          <cell r="T3415">
            <v>0</v>
          </cell>
          <cell r="U3415">
            <v>0</v>
          </cell>
        </row>
        <row r="3416">
          <cell r="A3416">
            <v>9220407</v>
          </cell>
          <cell r="T3416">
            <v>0</v>
          </cell>
          <cell r="U3416">
            <v>0</v>
          </cell>
        </row>
        <row r="3417">
          <cell r="A3417">
            <v>9220408</v>
          </cell>
          <cell r="T3417">
            <v>0</v>
          </cell>
          <cell r="U3417">
            <v>0</v>
          </cell>
        </row>
        <row r="3418">
          <cell r="A3418">
            <v>9220409</v>
          </cell>
          <cell r="T3418">
            <v>0</v>
          </cell>
          <cell r="U3418">
            <v>0</v>
          </cell>
        </row>
        <row r="3419">
          <cell r="A3419">
            <v>9220410</v>
          </cell>
          <cell r="T3419">
            <v>0</v>
          </cell>
          <cell r="U3419">
            <v>0</v>
          </cell>
        </row>
        <row r="3420">
          <cell r="A3420">
            <v>9220501</v>
          </cell>
          <cell r="T3420">
            <v>0</v>
          </cell>
          <cell r="U3420">
            <v>0</v>
          </cell>
        </row>
        <row r="3421">
          <cell r="A3421">
            <v>9220502</v>
          </cell>
          <cell r="T3421">
            <v>0</v>
          </cell>
          <cell r="U3421">
            <v>0</v>
          </cell>
        </row>
        <row r="3422">
          <cell r="A3422">
            <v>9220503</v>
          </cell>
          <cell r="T3422">
            <v>0</v>
          </cell>
          <cell r="U3422">
            <v>0</v>
          </cell>
        </row>
        <row r="3423">
          <cell r="A3423">
            <v>9220506</v>
          </cell>
          <cell r="T3423">
            <v>0</v>
          </cell>
          <cell r="U3423">
            <v>0</v>
          </cell>
        </row>
        <row r="3424">
          <cell r="A3424">
            <v>9220507</v>
          </cell>
          <cell r="T3424">
            <v>0</v>
          </cell>
          <cell r="U3424">
            <v>0</v>
          </cell>
        </row>
        <row r="3425">
          <cell r="A3425">
            <v>9220508</v>
          </cell>
          <cell r="T3425">
            <v>0</v>
          </cell>
          <cell r="U3425">
            <v>0</v>
          </cell>
        </row>
        <row r="3426">
          <cell r="A3426">
            <v>9220509</v>
          </cell>
          <cell r="T3426">
            <v>0</v>
          </cell>
          <cell r="U3426">
            <v>0</v>
          </cell>
        </row>
        <row r="3427">
          <cell r="A3427">
            <v>9220510</v>
          </cell>
          <cell r="T3427">
            <v>0</v>
          </cell>
          <cell r="U3427">
            <v>0</v>
          </cell>
        </row>
        <row r="3428">
          <cell r="A3428">
            <v>9230201</v>
          </cell>
          <cell r="T3428">
            <v>0</v>
          </cell>
          <cell r="U3428">
            <v>0</v>
          </cell>
        </row>
        <row r="3429">
          <cell r="A3429">
            <v>9230202</v>
          </cell>
          <cell r="T3429">
            <v>0</v>
          </cell>
          <cell r="U3429">
            <v>0</v>
          </cell>
        </row>
        <row r="3430">
          <cell r="A3430">
            <v>9230203</v>
          </cell>
          <cell r="T3430">
            <v>0</v>
          </cell>
          <cell r="U3430">
            <v>0</v>
          </cell>
        </row>
        <row r="3431">
          <cell r="A3431">
            <v>9230206</v>
          </cell>
          <cell r="T3431">
            <v>0</v>
          </cell>
          <cell r="U3431">
            <v>0</v>
          </cell>
        </row>
        <row r="3432">
          <cell r="A3432">
            <v>9230207</v>
          </cell>
          <cell r="T3432">
            <v>0</v>
          </cell>
          <cell r="U3432">
            <v>0</v>
          </cell>
        </row>
        <row r="3433">
          <cell r="A3433">
            <v>9230208</v>
          </cell>
          <cell r="T3433">
            <v>0</v>
          </cell>
          <cell r="U3433">
            <v>0</v>
          </cell>
        </row>
        <row r="3434">
          <cell r="A3434">
            <v>9230209</v>
          </cell>
          <cell r="T3434">
            <v>0</v>
          </cell>
          <cell r="U3434">
            <v>0</v>
          </cell>
        </row>
        <row r="3435">
          <cell r="A3435">
            <v>9230210</v>
          </cell>
          <cell r="T3435">
            <v>0</v>
          </cell>
          <cell r="U3435">
            <v>0</v>
          </cell>
        </row>
        <row r="3436">
          <cell r="A3436">
            <v>9230301</v>
          </cell>
          <cell r="T3436">
            <v>0</v>
          </cell>
          <cell r="U3436">
            <v>0</v>
          </cell>
        </row>
        <row r="3437">
          <cell r="A3437">
            <v>9230302</v>
          </cell>
          <cell r="T3437">
            <v>0</v>
          </cell>
          <cell r="U3437">
            <v>0</v>
          </cell>
        </row>
        <row r="3438">
          <cell r="A3438">
            <v>9230303</v>
          </cell>
          <cell r="T3438">
            <v>0</v>
          </cell>
          <cell r="U3438">
            <v>0</v>
          </cell>
        </row>
        <row r="3439">
          <cell r="A3439">
            <v>9230306</v>
          </cell>
          <cell r="T3439">
            <v>0</v>
          </cell>
          <cell r="U3439">
            <v>0</v>
          </cell>
        </row>
        <row r="3440">
          <cell r="A3440">
            <v>9230307</v>
          </cell>
          <cell r="T3440">
            <v>0</v>
          </cell>
          <cell r="U3440">
            <v>0</v>
          </cell>
        </row>
        <row r="3441">
          <cell r="A3441">
            <v>9230308</v>
          </cell>
          <cell r="T3441">
            <v>0</v>
          </cell>
          <cell r="U3441">
            <v>0</v>
          </cell>
        </row>
        <row r="3442">
          <cell r="A3442">
            <v>9230309</v>
          </cell>
          <cell r="T3442">
            <v>0</v>
          </cell>
          <cell r="U3442">
            <v>0</v>
          </cell>
        </row>
        <row r="3443">
          <cell r="A3443">
            <v>9230310</v>
          </cell>
          <cell r="T3443">
            <v>0</v>
          </cell>
          <cell r="U3443">
            <v>0</v>
          </cell>
        </row>
        <row r="3444">
          <cell r="A3444">
            <v>9230401</v>
          </cell>
          <cell r="T3444">
            <v>0</v>
          </cell>
          <cell r="U3444">
            <v>0</v>
          </cell>
        </row>
        <row r="3445">
          <cell r="A3445">
            <v>9230402</v>
          </cell>
          <cell r="T3445">
            <v>0</v>
          </cell>
          <cell r="U3445">
            <v>0</v>
          </cell>
        </row>
        <row r="3446">
          <cell r="A3446">
            <v>9230403</v>
          </cell>
          <cell r="T3446">
            <v>0</v>
          </cell>
          <cell r="U3446">
            <v>0</v>
          </cell>
        </row>
        <row r="3447">
          <cell r="A3447">
            <v>9230406</v>
          </cell>
          <cell r="T3447">
            <v>0</v>
          </cell>
          <cell r="U3447">
            <v>0</v>
          </cell>
        </row>
        <row r="3448">
          <cell r="A3448">
            <v>9230407</v>
          </cell>
          <cell r="T3448">
            <v>0</v>
          </cell>
          <cell r="U3448">
            <v>0</v>
          </cell>
        </row>
        <row r="3449">
          <cell r="A3449">
            <v>9230408</v>
          </cell>
          <cell r="T3449">
            <v>0</v>
          </cell>
          <cell r="U3449">
            <v>0</v>
          </cell>
        </row>
        <row r="3450">
          <cell r="A3450">
            <v>9230409</v>
          </cell>
          <cell r="T3450">
            <v>0</v>
          </cell>
          <cell r="U3450">
            <v>0</v>
          </cell>
        </row>
        <row r="3451">
          <cell r="A3451">
            <v>9230410</v>
          </cell>
          <cell r="T3451">
            <v>0</v>
          </cell>
          <cell r="U3451">
            <v>0</v>
          </cell>
        </row>
        <row r="3452">
          <cell r="A3452">
            <v>9230501</v>
          </cell>
          <cell r="T3452">
            <v>0</v>
          </cell>
          <cell r="U3452">
            <v>0</v>
          </cell>
        </row>
        <row r="3453">
          <cell r="A3453">
            <v>9230502</v>
          </cell>
          <cell r="T3453">
            <v>0</v>
          </cell>
          <cell r="U3453">
            <v>0</v>
          </cell>
        </row>
        <row r="3454">
          <cell r="A3454">
            <v>9230503</v>
          </cell>
          <cell r="T3454">
            <v>0</v>
          </cell>
          <cell r="U3454">
            <v>0</v>
          </cell>
        </row>
        <row r="3455">
          <cell r="A3455">
            <v>9230506</v>
          </cell>
          <cell r="T3455">
            <v>0</v>
          </cell>
          <cell r="U3455">
            <v>0</v>
          </cell>
        </row>
        <row r="3456">
          <cell r="A3456">
            <v>9230507</v>
          </cell>
          <cell r="T3456">
            <v>0</v>
          </cell>
          <cell r="U3456">
            <v>0</v>
          </cell>
        </row>
        <row r="3457">
          <cell r="A3457">
            <v>9230508</v>
          </cell>
          <cell r="T3457">
            <v>0</v>
          </cell>
          <cell r="U3457">
            <v>0</v>
          </cell>
        </row>
        <row r="3458">
          <cell r="A3458">
            <v>9230509</v>
          </cell>
          <cell r="T3458">
            <v>0</v>
          </cell>
          <cell r="U3458">
            <v>0</v>
          </cell>
        </row>
        <row r="3459">
          <cell r="A3459">
            <v>9230510</v>
          </cell>
          <cell r="T3459">
            <v>0</v>
          </cell>
          <cell r="U3459">
            <v>0</v>
          </cell>
        </row>
        <row r="3460">
          <cell r="A3460">
            <v>9240201</v>
          </cell>
          <cell r="T3460">
            <v>0</v>
          </cell>
          <cell r="U3460">
            <v>0</v>
          </cell>
        </row>
        <row r="3461">
          <cell r="A3461">
            <v>9240202</v>
          </cell>
          <cell r="T3461">
            <v>0</v>
          </cell>
          <cell r="U3461">
            <v>0</v>
          </cell>
        </row>
        <row r="3462">
          <cell r="A3462">
            <v>9240203</v>
          </cell>
          <cell r="T3462">
            <v>0</v>
          </cell>
          <cell r="U3462">
            <v>0</v>
          </cell>
        </row>
        <row r="3463">
          <cell r="A3463">
            <v>9240206</v>
          </cell>
          <cell r="T3463">
            <v>0</v>
          </cell>
          <cell r="U3463">
            <v>0</v>
          </cell>
        </row>
        <row r="3464">
          <cell r="A3464">
            <v>9240207</v>
          </cell>
          <cell r="T3464">
            <v>0</v>
          </cell>
          <cell r="U3464">
            <v>0</v>
          </cell>
        </row>
        <row r="3465">
          <cell r="A3465">
            <v>9240208</v>
          </cell>
          <cell r="T3465">
            <v>0</v>
          </cell>
          <cell r="U3465">
            <v>0</v>
          </cell>
        </row>
        <row r="3466">
          <cell r="A3466">
            <v>9240209</v>
          </cell>
          <cell r="T3466">
            <v>0</v>
          </cell>
          <cell r="U3466">
            <v>0</v>
          </cell>
        </row>
        <row r="3467">
          <cell r="A3467">
            <v>9240210</v>
          </cell>
          <cell r="T3467">
            <v>0</v>
          </cell>
          <cell r="U3467">
            <v>0</v>
          </cell>
        </row>
        <row r="3468">
          <cell r="A3468">
            <v>9240301</v>
          </cell>
          <cell r="T3468">
            <v>0</v>
          </cell>
          <cell r="U3468">
            <v>0</v>
          </cell>
        </row>
        <row r="3469">
          <cell r="A3469">
            <v>9240302</v>
          </cell>
          <cell r="T3469">
            <v>0</v>
          </cell>
          <cell r="U3469">
            <v>0</v>
          </cell>
        </row>
        <row r="3470">
          <cell r="A3470">
            <v>9240303</v>
          </cell>
          <cell r="T3470">
            <v>0</v>
          </cell>
          <cell r="U3470">
            <v>0</v>
          </cell>
        </row>
        <row r="3471">
          <cell r="A3471">
            <v>9240306</v>
          </cell>
          <cell r="T3471">
            <v>0</v>
          </cell>
          <cell r="U3471">
            <v>0</v>
          </cell>
        </row>
        <row r="3472">
          <cell r="A3472">
            <v>9240307</v>
          </cell>
          <cell r="T3472">
            <v>0</v>
          </cell>
          <cell r="U3472">
            <v>0</v>
          </cell>
        </row>
        <row r="3473">
          <cell r="A3473">
            <v>9240308</v>
          </cell>
          <cell r="T3473">
            <v>0</v>
          </cell>
          <cell r="U3473">
            <v>0</v>
          </cell>
        </row>
        <row r="3474">
          <cell r="A3474">
            <v>9240309</v>
          </cell>
          <cell r="T3474">
            <v>0</v>
          </cell>
          <cell r="U3474">
            <v>0</v>
          </cell>
        </row>
        <row r="3475">
          <cell r="A3475">
            <v>9240310</v>
          </cell>
          <cell r="T3475">
            <v>0</v>
          </cell>
          <cell r="U3475">
            <v>0</v>
          </cell>
        </row>
        <row r="3476">
          <cell r="A3476">
            <v>9240401</v>
          </cell>
          <cell r="T3476">
            <v>0</v>
          </cell>
          <cell r="U3476">
            <v>0</v>
          </cell>
        </row>
        <row r="3477">
          <cell r="A3477">
            <v>9240402</v>
          </cell>
          <cell r="T3477">
            <v>0</v>
          </cell>
          <cell r="U3477">
            <v>0</v>
          </cell>
        </row>
        <row r="3478">
          <cell r="A3478">
            <v>9240403</v>
          </cell>
          <cell r="T3478">
            <v>0</v>
          </cell>
          <cell r="U3478">
            <v>0</v>
          </cell>
        </row>
        <row r="3479">
          <cell r="A3479">
            <v>9240406</v>
          </cell>
          <cell r="T3479">
            <v>0</v>
          </cell>
          <cell r="U3479">
            <v>0</v>
          </cell>
        </row>
        <row r="3480">
          <cell r="A3480">
            <v>9240407</v>
          </cell>
          <cell r="T3480">
            <v>0</v>
          </cell>
          <cell r="U3480">
            <v>0</v>
          </cell>
        </row>
        <row r="3481">
          <cell r="A3481">
            <v>9240408</v>
          </cell>
          <cell r="T3481">
            <v>0</v>
          </cell>
          <cell r="U3481">
            <v>0</v>
          </cell>
        </row>
        <row r="3482">
          <cell r="A3482">
            <v>9240409</v>
          </cell>
          <cell r="T3482">
            <v>0</v>
          </cell>
          <cell r="U3482">
            <v>0</v>
          </cell>
        </row>
        <row r="3483">
          <cell r="A3483">
            <v>9240410</v>
          </cell>
          <cell r="T3483">
            <v>0</v>
          </cell>
          <cell r="U3483">
            <v>0</v>
          </cell>
        </row>
        <row r="3484">
          <cell r="A3484">
            <v>9240501</v>
          </cell>
          <cell r="T3484">
            <v>0</v>
          </cell>
          <cell r="U3484">
            <v>0</v>
          </cell>
        </row>
        <row r="3485">
          <cell r="A3485">
            <v>9240502</v>
          </cell>
          <cell r="T3485">
            <v>0</v>
          </cell>
          <cell r="U3485">
            <v>0</v>
          </cell>
        </row>
        <row r="3486">
          <cell r="A3486">
            <v>9240503</v>
          </cell>
          <cell r="T3486">
            <v>0</v>
          </cell>
          <cell r="U3486">
            <v>0</v>
          </cell>
        </row>
        <row r="3487">
          <cell r="A3487">
            <v>9240506</v>
          </cell>
          <cell r="T3487">
            <v>0</v>
          </cell>
          <cell r="U3487">
            <v>0</v>
          </cell>
        </row>
        <row r="3488">
          <cell r="A3488">
            <v>9240507</v>
          </cell>
          <cell r="T3488">
            <v>0</v>
          </cell>
          <cell r="U3488">
            <v>0</v>
          </cell>
        </row>
        <row r="3489">
          <cell r="A3489">
            <v>9240508</v>
          </cell>
          <cell r="T3489">
            <v>0</v>
          </cell>
          <cell r="U3489">
            <v>0</v>
          </cell>
        </row>
        <row r="3490">
          <cell r="A3490">
            <v>9240509</v>
          </cell>
          <cell r="T3490">
            <v>0</v>
          </cell>
          <cell r="U3490">
            <v>0</v>
          </cell>
        </row>
        <row r="3491">
          <cell r="A3491">
            <v>9240510</v>
          </cell>
          <cell r="T3491">
            <v>0</v>
          </cell>
          <cell r="U3491">
            <v>0</v>
          </cell>
        </row>
        <row r="3492">
          <cell r="A3492">
            <v>9250201</v>
          </cell>
          <cell r="T3492">
            <v>0</v>
          </cell>
          <cell r="U3492">
            <v>0</v>
          </cell>
        </row>
        <row r="3493">
          <cell r="A3493">
            <v>9250202</v>
          </cell>
          <cell r="T3493">
            <v>0</v>
          </cell>
          <cell r="U3493">
            <v>0</v>
          </cell>
        </row>
        <row r="3494">
          <cell r="A3494">
            <v>9250203</v>
          </cell>
          <cell r="T3494">
            <v>0</v>
          </cell>
          <cell r="U3494">
            <v>0</v>
          </cell>
        </row>
        <row r="3495">
          <cell r="A3495">
            <v>9250206</v>
          </cell>
          <cell r="T3495">
            <v>0</v>
          </cell>
          <cell r="U3495">
            <v>0</v>
          </cell>
        </row>
        <row r="3496">
          <cell r="A3496">
            <v>9250207</v>
          </cell>
          <cell r="T3496">
            <v>0</v>
          </cell>
          <cell r="U3496">
            <v>0</v>
          </cell>
        </row>
        <row r="3497">
          <cell r="A3497">
            <v>9250208</v>
          </cell>
          <cell r="T3497">
            <v>0</v>
          </cell>
          <cell r="U3497">
            <v>0</v>
          </cell>
        </row>
        <row r="3498">
          <cell r="A3498">
            <v>9250209</v>
          </cell>
          <cell r="T3498">
            <v>0</v>
          </cell>
          <cell r="U3498">
            <v>0</v>
          </cell>
        </row>
        <row r="3499">
          <cell r="A3499">
            <v>9250210</v>
          </cell>
          <cell r="T3499">
            <v>0</v>
          </cell>
          <cell r="U3499">
            <v>0</v>
          </cell>
        </row>
        <row r="3500">
          <cell r="A3500">
            <v>9250301</v>
          </cell>
          <cell r="T3500">
            <v>0</v>
          </cell>
          <cell r="U3500">
            <v>0</v>
          </cell>
        </row>
        <row r="3501">
          <cell r="A3501">
            <v>9250302</v>
          </cell>
          <cell r="T3501">
            <v>0</v>
          </cell>
          <cell r="U3501">
            <v>0</v>
          </cell>
        </row>
        <row r="3502">
          <cell r="A3502">
            <v>9250303</v>
          </cell>
          <cell r="T3502">
            <v>0</v>
          </cell>
          <cell r="U3502">
            <v>0</v>
          </cell>
        </row>
        <row r="3503">
          <cell r="A3503">
            <v>9250306</v>
          </cell>
          <cell r="T3503">
            <v>0</v>
          </cell>
          <cell r="U3503">
            <v>0</v>
          </cell>
        </row>
        <row r="3504">
          <cell r="A3504">
            <v>9250307</v>
          </cell>
          <cell r="T3504">
            <v>0</v>
          </cell>
          <cell r="U3504">
            <v>0</v>
          </cell>
        </row>
        <row r="3505">
          <cell r="A3505">
            <v>9250308</v>
          </cell>
          <cell r="T3505">
            <v>0</v>
          </cell>
          <cell r="U3505">
            <v>0</v>
          </cell>
        </row>
        <row r="3506">
          <cell r="A3506">
            <v>9250309</v>
          </cell>
          <cell r="T3506">
            <v>0</v>
          </cell>
          <cell r="U3506">
            <v>0</v>
          </cell>
        </row>
        <row r="3507">
          <cell r="A3507">
            <v>9250310</v>
          </cell>
          <cell r="T3507">
            <v>0</v>
          </cell>
          <cell r="U3507">
            <v>0</v>
          </cell>
        </row>
        <row r="3508">
          <cell r="A3508">
            <v>9250401</v>
          </cell>
          <cell r="T3508">
            <v>0</v>
          </cell>
          <cell r="U3508">
            <v>0</v>
          </cell>
        </row>
        <row r="3509">
          <cell r="A3509">
            <v>9250402</v>
          </cell>
          <cell r="T3509">
            <v>0</v>
          </cell>
          <cell r="U3509">
            <v>0</v>
          </cell>
        </row>
        <row r="3510">
          <cell r="A3510">
            <v>9250403</v>
          </cell>
          <cell r="T3510">
            <v>0</v>
          </cell>
          <cell r="U3510">
            <v>0</v>
          </cell>
        </row>
        <row r="3511">
          <cell r="A3511">
            <v>9250406</v>
          </cell>
          <cell r="T3511">
            <v>0</v>
          </cell>
          <cell r="U3511">
            <v>0</v>
          </cell>
        </row>
        <row r="3512">
          <cell r="A3512">
            <v>9250407</v>
          </cell>
          <cell r="T3512">
            <v>0</v>
          </cell>
          <cell r="U3512">
            <v>0</v>
          </cell>
        </row>
        <row r="3513">
          <cell r="A3513">
            <v>9250408</v>
          </cell>
          <cell r="T3513">
            <v>0</v>
          </cell>
          <cell r="U3513">
            <v>0</v>
          </cell>
        </row>
        <row r="3514">
          <cell r="A3514">
            <v>9250409</v>
          </cell>
          <cell r="T3514">
            <v>0</v>
          </cell>
          <cell r="U3514">
            <v>0</v>
          </cell>
        </row>
        <row r="3515">
          <cell r="A3515">
            <v>9250410</v>
          </cell>
          <cell r="T3515">
            <v>0</v>
          </cell>
          <cell r="U3515">
            <v>0</v>
          </cell>
        </row>
        <row r="3516">
          <cell r="A3516">
            <v>9250501</v>
          </cell>
          <cell r="T3516">
            <v>0</v>
          </cell>
          <cell r="U3516">
            <v>0</v>
          </cell>
        </row>
        <row r="3517">
          <cell r="A3517">
            <v>9250502</v>
          </cell>
          <cell r="T3517">
            <v>0</v>
          </cell>
          <cell r="U3517">
            <v>0</v>
          </cell>
        </row>
        <row r="3518">
          <cell r="A3518">
            <v>9250503</v>
          </cell>
          <cell r="T3518">
            <v>0</v>
          </cell>
          <cell r="U3518">
            <v>0</v>
          </cell>
        </row>
        <row r="3519">
          <cell r="A3519">
            <v>9250506</v>
          </cell>
          <cell r="T3519">
            <v>0</v>
          </cell>
          <cell r="U3519">
            <v>0</v>
          </cell>
        </row>
        <row r="3520">
          <cell r="A3520">
            <v>9250507</v>
          </cell>
          <cell r="T3520">
            <v>0</v>
          </cell>
          <cell r="U3520">
            <v>0</v>
          </cell>
        </row>
        <row r="3521">
          <cell r="A3521">
            <v>9250508</v>
          </cell>
          <cell r="T3521">
            <v>0</v>
          </cell>
          <cell r="U3521">
            <v>0</v>
          </cell>
        </row>
        <row r="3522">
          <cell r="A3522">
            <v>9250509</v>
          </cell>
          <cell r="T3522">
            <v>0</v>
          </cell>
          <cell r="U3522">
            <v>0</v>
          </cell>
        </row>
        <row r="3523">
          <cell r="A3523">
            <v>9250510</v>
          </cell>
          <cell r="T3523">
            <v>0</v>
          </cell>
          <cell r="U3523">
            <v>0</v>
          </cell>
        </row>
        <row r="3524">
          <cell r="A3524">
            <v>9260201</v>
          </cell>
          <cell r="T3524">
            <v>0</v>
          </cell>
          <cell r="U3524">
            <v>0</v>
          </cell>
        </row>
        <row r="3525">
          <cell r="A3525">
            <v>9260202</v>
          </cell>
          <cell r="T3525">
            <v>0</v>
          </cell>
          <cell r="U3525">
            <v>0</v>
          </cell>
        </row>
        <row r="3526">
          <cell r="A3526">
            <v>9260203</v>
          </cell>
          <cell r="T3526">
            <v>0</v>
          </cell>
          <cell r="U3526">
            <v>0</v>
          </cell>
        </row>
        <row r="3527">
          <cell r="A3527">
            <v>9260206</v>
          </cell>
          <cell r="T3527">
            <v>0</v>
          </cell>
          <cell r="U3527">
            <v>0</v>
          </cell>
        </row>
        <row r="3528">
          <cell r="A3528">
            <v>9260207</v>
          </cell>
          <cell r="T3528">
            <v>0</v>
          </cell>
          <cell r="U3528">
            <v>0</v>
          </cell>
        </row>
        <row r="3529">
          <cell r="A3529">
            <v>9260208</v>
          </cell>
          <cell r="T3529">
            <v>0</v>
          </cell>
          <cell r="U3529">
            <v>0</v>
          </cell>
        </row>
        <row r="3530">
          <cell r="A3530">
            <v>9260209</v>
          </cell>
          <cell r="T3530">
            <v>0</v>
          </cell>
          <cell r="U3530">
            <v>0</v>
          </cell>
        </row>
        <row r="3531">
          <cell r="A3531">
            <v>9260210</v>
          </cell>
          <cell r="T3531">
            <v>0</v>
          </cell>
          <cell r="U3531">
            <v>0</v>
          </cell>
        </row>
        <row r="3532">
          <cell r="A3532">
            <v>9260301</v>
          </cell>
          <cell r="T3532">
            <v>0</v>
          </cell>
          <cell r="U3532">
            <v>0</v>
          </cell>
        </row>
        <row r="3533">
          <cell r="A3533">
            <v>9260302</v>
          </cell>
          <cell r="T3533">
            <v>0</v>
          </cell>
          <cell r="U3533">
            <v>0</v>
          </cell>
        </row>
        <row r="3534">
          <cell r="A3534">
            <v>9260303</v>
          </cell>
          <cell r="T3534">
            <v>0</v>
          </cell>
          <cell r="U3534">
            <v>0</v>
          </cell>
        </row>
        <row r="3535">
          <cell r="A3535">
            <v>9260306</v>
          </cell>
          <cell r="T3535">
            <v>0</v>
          </cell>
          <cell r="U3535">
            <v>0</v>
          </cell>
        </row>
        <row r="3536">
          <cell r="A3536">
            <v>9260307</v>
          </cell>
          <cell r="T3536">
            <v>0</v>
          </cell>
          <cell r="U3536">
            <v>0</v>
          </cell>
        </row>
        <row r="3537">
          <cell r="A3537">
            <v>9260308</v>
          </cell>
          <cell r="T3537">
            <v>0</v>
          </cell>
          <cell r="U3537">
            <v>0</v>
          </cell>
        </row>
        <row r="3538">
          <cell r="A3538">
            <v>9260309</v>
          </cell>
          <cell r="T3538">
            <v>0</v>
          </cell>
          <cell r="U3538">
            <v>0</v>
          </cell>
        </row>
        <row r="3539">
          <cell r="A3539">
            <v>9260310</v>
          </cell>
          <cell r="T3539">
            <v>0</v>
          </cell>
          <cell r="U3539">
            <v>0</v>
          </cell>
        </row>
        <row r="3540">
          <cell r="A3540">
            <v>9260401</v>
          </cell>
          <cell r="T3540">
            <v>0</v>
          </cell>
          <cell r="U3540">
            <v>0</v>
          </cell>
        </row>
        <row r="3541">
          <cell r="A3541">
            <v>9260402</v>
          </cell>
          <cell r="T3541">
            <v>0</v>
          </cell>
          <cell r="U3541">
            <v>0</v>
          </cell>
        </row>
        <row r="3542">
          <cell r="A3542">
            <v>9260403</v>
          </cell>
          <cell r="T3542">
            <v>0</v>
          </cell>
          <cell r="U3542">
            <v>0</v>
          </cell>
        </row>
        <row r="3543">
          <cell r="A3543">
            <v>9260406</v>
          </cell>
          <cell r="T3543">
            <v>0</v>
          </cell>
          <cell r="U3543">
            <v>0</v>
          </cell>
        </row>
        <row r="3544">
          <cell r="A3544">
            <v>9260407</v>
          </cell>
          <cell r="T3544">
            <v>0</v>
          </cell>
          <cell r="U3544">
            <v>0</v>
          </cell>
        </row>
        <row r="3545">
          <cell r="A3545">
            <v>9260408</v>
          </cell>
          <cell r="T3545">
            <v>0</v>
          </cell>
          <cell r="U3545">
            <v>0</v>
          </cell>
        </row>
        <row r="3546">
          <cell r="A3546">
            <v>9260409</v>
          </cell>
          <cell r="T3546">
            <v>0</v>
          </cell>
          <cell r="U3546">
            <v>0</v>
          </cell>
        </row>
        <row r="3547">
          <cell r="A3547">
            <v>9260410</v>
          </cell>
          <cell r="T3547">
            <v>0</v>
          </cell>
          <cell r="U3547">
            <v>0</v>
          </cell>
        </row>
        <row r="3548">
          <cell r="A3548">
            <v>9260501</v>
          </cell>
          <cell r="T3548">
            <v>0</v>
          </cell>
          <cell r="U3548">
            <v>0</v>
          </cell>
        </row>
        <row r="3549">
          <cell r="A3549">
            <v>9260502</v>
          </cell>
          <cell r="T3549">
            <v>0</v>
          </cell>
          <cell r="U3549">
            <v>0</v>
          </cell>
        </row>
        <row r="3550">
          <cell r="A3550">
            <v>9260503</v>
          </cell>
          <cell r="T3550">
            <v>0</v>
          </cell>
          <cell r="U3550">
            <v>0</v>
          </cell>
        </row>
        <row r="3551">
          <cell r="A3551">
            <v>9260506</v>
          </cell>
          <cell r="T3551">
            <v>0</v>
          </cell>
          <cell r="U3551">
            <v>0</v>
          </cell>
        </row>
        <row r="3552">
          <cell r="A3552">
            <v>9260507</v>
          </cell>
          <cell r="T3552">
            <v>0</v>
          </cell>
          <cell r="U3552">
            <v>0</v>
          </cell>
        </row>
        <row r="3553">
          <cell r="A3553">
            <v>9260508</v>
          </cell>
          <cell r="T3553">
            <v>0</v>
          </cell>
          <cell r="U3553">
            <v>0</v>
          </cell>
        </row>
        <row r="3554">
          <cell r="A3554">
            <v>9260509</v>
          </cell>
          <cell r="T3554">
            <v>0</v>
          </cell>
          <cell r="U3554">
            <v>0</v>
          </cell>
        </row>
        <row r="3555">
          <cell r="A3555">
            <v>9260510</v>
          </cell>
          <cell r="T3555">
            <v>0</v>
          </cell>
          <cell r="U3555">
            <v>0</v>
          </cell>
        </row>
        <row r="3556">
          <cell r="A3556">
            <v>9270201</v>
          </cell>
          <cell r="T3556">
            <v>0</v>
          </cell>
          <cell r="U3556">
            <v>0</v>
          </cell>
        </row>
        <row r="3557">
          <cell r="A3557">
            <v>9270202</v>
          </cell>
          <cell r="T3557">
            <v>0</v>
          </cell>
          <cell r="U3557">
            <v>0</v>
          </cell>
        </row>
        <row r="3558">
          <cell r="A3558">
            <v>9270203</v>
          </cell>
          <cell r="T3558">
            <v>0</v>
          </cell>
          <cell r="U3558">
            <v>0</v>
          </cell>
        </row>
        <row r="3559">
          <cell r="A3559">
            <v>9270206</v>
          </cell>
          <cell r="T3559">
            <v>0</v>
          </cell>
          <cell r="U3559">
            <v>0</v>
          </cell>
        </row>
        <row r="3560">
          <cell r="A3560">
            <v>9270207</v>
          </cell>
          <cell r="T3560">
            <v>0</v>
          </cell>
          <cell r="U3560">
            <v>0</v>
          </cell>
        </row>
        <row r="3561">
          <cell r="A3561">
            <v>9270208</v>
          </cell>
          <cell r="T3561">
            <v>0</v>
          </cell>
          <cell r="U3561">
            <v>0</v>
          </cell>
        </row>
        <row r="3562">
          <cell r="A3562">
            <v>9270209</v>
          </cell>
          <cell r="T3562">
            <v>0</v>
          </cell>
          <cell r="U3562">
            <v>0</v>
          </cell>
        </row>
        <row r="3563">
          <cell r="A3563">
            <v>9270210</v>
          </cell>
          <cell r="T3563">
            <v>0</v>
          </cell>
          <cell r="U3563">
            <v>0</v>
          </cell>
        </row>
        <row r="3564">
          <cell r="A3564">
            <v>9270301</v>
          </cell>
          <cell r="T3564">
            <v>0</v>
          </cell>
          <cell r="U3564">
            <v>0</v>
          </cell>
        </row>
        <row r="3565">
          <cell r="A3565">
            <v>9270302</v>
          </cell>
          <cell r="T3565">
            <v>0</v>
          </cell>
          <cell r="U3565">
            <v>0</v>
          </cell>
        </row>
        <row r="3566">
          <cell r="A3566">
            <v>9270303</v>
          </cell>
          <cell r="T3566">
            <v>0</v>
          </cell>
          <cell r="U3566">
            <v>0</v>
          </cell>
        </row>
        <row r="3567">
          <cell r="A3567">
            <v>9270306</v>
          </cell>
          <cell r="T3567">
            <v>0</v>
          </cell>
          <cell r="U3567">
            <v>0</v>
          </cell>
        </row>
        <row r="3568">
          <cell r="A3568">
            <v>9270307</v>
          </cell>
          <cell r="T3568">
            <v>0</v>
          </cell>
          <cell r="U3568">
            <v>0</v>
          </cell>
        </row>
        <row r="3569">
          <cell r="A3569">
            <v>9270308</v>
          </cell>
          <cell r="T3569">
            <v>0</v>
          </cell>
          <cell r="U3569">
            <v>0</v>
          </cell>
        </row>
        <row r="3570">
          <cell r="A3570">
            <v>9270309</v>
          </cell>
          <cell r="T3570">
            <v>0</v>
          </cell>
          <cell r="U3570">
            <v>0</v>
          </cell>
        </row>
        <row r="3571">
          <cell r="A3571">
            <v>9270310</v>
          </cell>
          <cell r="T3571">
            <v>0</v>
          </cell>
          <cell r="U3571">
            <v>0</v>
          </cell>
        </row>
        <row r="3572">
          <cell r="A3572">
            <v>9270401</v>
          </cell>
          <cell r="T3572">
            <v>0</v>
          </cell>
          <cell r="U3572">
            <v>0</v>
          </cell>
        </row>
        <row r="3573">
          <cell r="A3573">
            <v>9270402</v>
          </cell>
          <cell r="T3573">
            <v>0</v>
          </cell>
          <cell r="U3573">
            <v>0</v>
          </cell>
        </row>
        <row r="3574">
          <cell r="A3574">
            <v>9270403</v>
          </cell>
          <cell r="T3574">
            <v>0</v>
          </cell>
          <cell r="U3574">
            <v>0</v>
          </cell>
        </row>
        <row r="3575">
          <cell r="A3575">
            <v>9270406</v>
          </cell>
          <cell r="T3575">
            <v>0</v>
          </cell>
          <cell r="U3575">
            <v>0</v>
          </cell>
        </row>
        <row r="3576">
          <cell r="A3576">
            <v>9270407</v>
          </cell>
          <cell r="T3576">
            <v>0</v>
          </cell>
          <cell r="U3576">
            <v>0</v>
          </cell>
        </row>
        <row r="3577">
          <cell r="A3577">
            <v>9270408</v>
          </cell>
          <cell r="T3577">
            <v>0</v>
          </cell>
          <cell r="U3577">
            <v>0</v>
          </cell>
        </row>
        <row r="3578">
          <cell r="A3578">
            <v>9270409</v>
          </cell>
          <cell r="T3578">
            <v>0</v>
          </cell>
          <cell r="U3578">
            <v>0</v>
          </cell>
        </row>
        <row r="3579">
          <cell r="A3579">
            <v>9270410</v>
          </cell>
          <cell r="T3579">
            <v>0</v>
          </cell>
          <cell r="U3579">
            <v>0</v>
          </cell>
        </row>
        <row r="3580">
          <cell r="A3580">
            <v>9270501</v>
          </cell>
          <cell r="T3580">
            <v>0</v>
          </cell>
          <cell r="U3580">
            <v>0</v>
          </cell>
        </row>
        <row r="3581">
          <cell r="A3581">
            <v>9270502</v>
          </cell>
          <cell r="T3581">
            <v>0</v>
          </cell>
          <cell r="U3581">
            <v>0</v>
          </cell>
        </row>
        <row r="3582">
          <cell r="A3582">
            <v>9270503</v>
          </cell>
          <cell r="T3582">
            <v>0</v>
          </cell>
          <cell r="U3582">
            <v>0</v>
          </cell>
        </row>
        <row r="3583">
          <cell r="A3583">
            <v>9270506</v>
          </cell>
          <cell r="T3583">
            <v>0</v>
          </cell>
          <cell r="U3583">
            <v>0</v>
          </cell>
        </row>
        <row r="3584">
          <cell r="A3584">
            <v>9270507</v>
          </cell>
          <cell r="T3584">
            <v>0</v>
          </cell>
          <cell r="U3584">
            <v>0</v>
          </cell>
        </row>
        <row r="3585">
          <cell r="A3585">
            <v>9270508</v>
          </cell>
          <cell r="T3585">
            <v>0</v>
          </cell>
          <cell r="U3585">
            <v>0</v>
          </cell>
        </row>
        <row r="3586">
          <cell r="A3586">
            <v>9270509</v>
          </cell>
          <cell r="T3586">
            <v>0</v>
          </cell>
          <cell r="U3586">
            <v>0</v>
          </cell>
        </row>
        <row r="3587">
          <cell r="A3587">
            <v>9270510</v>
          </cell>
          <cell r="T3587">
            <v>0</v>
          </cell>
          <cell r="U3587">
            <v>0</v>
          </cell>
        </row>
        <row r="3588">
          <cell r="A3588">
            <v>9280201</v>
          </cell>
          <cell r="T3588">
            <v>0</v>
          </cell>
          <cell r="U3588">
            <v>0</v>
          </cell>
        </row>
        <row r="3589">
          <cell r="A3589">
            <v>9280202</v>
          </cell>
          <cell r="T3589">
            <v>0</v>
          </cell>
          <cell r="U3589">
            <v>0</v>
          </cell>
        </row>
        <row r="3590">
          <cell r="A3590">
            <v>9280203</v>
          </cell>
          <cell r="T3590">
            <v>0</v>
          </cell>
          <cell r="U3590">
            <v>0</v>
          </cell>
        </row>
        <row r="3591">
          <cell r="A3591">
            <v>9280206</v>
          </cell>
          <cell r="T3591">
            <v>0</v>
          </cell>
          <cell r="U3591">
            <v>0</v>
          </cell>
        </row>
        <row r="3592">
          <cell r="A3592">
            <v>9280207</v>
          </cell>
          <cell r="T3592">
            <v>0</v>
          </cell>
          <cell r="U3592">
            <v>0</v>
          </cell>
        </row>
        <row r="3593">
          <cell r="A3593">
            <v>9280208</v>
          </cell>
          <cell r="T3593">
            <v>0</v>
          </cell>
          <cell r="U3593">
            <v>0</v>
          </cell>
        </row>
        <row r="3594">
          <cell r="A3594">
            <v>9280209</v>
          </cell>
          <cell r="T3594">
            <v>0</v>
          </cell>
          <cell r="U3594">
            <v>0</v>
          </cell>
        </row>
        <row r="3595">
          <cell r="A3595">
            <v>9280210</v>
          </cell>
          <cell r="T3595">
            <v>0</v>
          </cell>
          <cell r="U3595">
            <v>0</v>
          </cell>
        </row>
        <row r="3596">
          <cell r="A3596">
            <v>9280301</v>
          </cell>
          <cell r="T3596">
            <v>0</v>
          </cell>
          <cell r="U3596">
            <v>0</v>
          </cell>
        </row>
        <row r="3597">
          <cell r="A3597">
            <v>9280302</v>
          </cell>
          <cell r="T3597">
            <v>0</v>
          </cell>
          <cell r="U3597">
            <v>0</v>
          </cell>
        </row>
        <row r="3598">
          <cell r="A3598">
            <v>9280303</v>
          </cell>
          <cell r="T3598">
            <v>0</v>
          </cell>
          <cell r="U3598">
            <v>0</v>
          </cell>
        </row>
        <row r="3599">
          <cell r="A3599">
            <v>9280306</v>
          </cell>
          <cell r="T3599">
            <v>0</v>
          </cell>
          <cell r="U3599">
            <v>0</v>
          </cell>
        </row>
        <row r="3600">
          <cell r="A3600">
            <v>9280307</v>
          </cell>
          <cell r="T3600">
            <v>0</v>
          </cell>
          <cell r="U3600">
            <v>0</v>
          </cell>
        </row>
        <row r="3601">
          <cell r="A3601">
            <v>9280308</v>
          </cell>
          <cell r="T3601">
            <v>0</v>
          </cell>
          <cell r="U3601">
            <v>0</v>
          </cell>
        </row>
        <row r="3602">
          <cell r="A3602">
            <v>9280309</v>
          </cell>
          <cell r="T3602">
            <v>0</v>
          </cell>
          <cell r="U3602">
            <v>0</v>
          </cell>
        </row>
        <row r="3603">
          <cell r="A3603">
            <v>9280310</v>
          </cell>
          <cell r="T3603">
            <v>0</v>
          </cell>
          <cell r="U3603">
            <v>0</v>
          </cell>
        </row>
        <row r="3604">
          <cell r="A3604">
            <v>9280401</v>
          </cell>
          <cell r="T3604">
            <v>0</v>
          </cell>
          <cell r="U3604">
            <v>0</v>
          </cell>
        </row>
        <row r="3605">
          <cell r="A3605">
            <v>9280402</v>
          </cell>
          <cell r="T3605">
            <v>0</v>
          </cell>
          <cell r="U3605">
            <v>0</v>
          </cell>
        </row>
        <row r="3606">
          <cell r="A3606">
            <v>9280403</v>
          </cell>
          <cell r="T3606">
            <v>0</v>
          </cell>
          <cell r="U3606">
            <v>0</v>
          </cell>
        </row>
        <row r="3607">
          <cell r="A3607">
            <v>9280406</v>
          </cell>
          <cell r="T3607">
            <v>0</v>
          </cell>
          <cell r="U3607">
            <v>0</v>
          </cell>
        </row>
        <row r="3608">
          <cell r="A3608">
            <v>9280407</v>
          </cell>
          <cell r="T3608">
            <v>0</v>
          </cell>
          <cell r="U3608">
            <v>0</v>
          </cell>
        </row>
        <row r="3609">
          <cell r="A3609">
            <v>9280408</v>
          </cell>
          <cell r="T3609">
            <v>0</v>
          </cell>
          <cell r="U3609">
            <v>0</v>
          </cell>
        </row>
        <row r="3610">
          <cell r="A3610">
            <v>9280409</v>
          </cell>
          <cell r="T3610">
            <v>0</v>
          </cell>
          <cell r="U3610">
            <v>0</v>
          </cell>
        </row>
        <row r="3611">
          <cell r="A3611">
            <v>9280410</v>
          </cell>
          <cell r="T3611">
            <v>0</v>
          </cell>
          <cell r="U3611">
            <v>0</v>
          </cell>
        </row>
        <row r="3612">
          <cell r="A3612">
            <v>9280501</v>
          </cell>
          <cell r="T3612">
            <v>0</v>
          </cell>
          <cell r="U3612">
            <v>0</v>
          </cell>
        </row>
        <row r="3613">
          <cell r="A3613">
            <v>9280502</v>
          </cell>
          <cell r="T3613">
            <v>0</v>
          </cell>
          <cell r="U3613">
            <v>0</v>
          </cell>
        </row>
        <row r="3614">
          <cell r="A3614">
            <v>9280503</v>
          </cell>
          <cell r="T3614">
            <v>0</v>
          </cell>
          <cell r="U3614">
            <v>0</v>
          </cell>
        </row>
        <row r="3615">
          <cell r="A3615">
            <v>9280506</v>
          </cell>
          <cell r="T3615">
            <v>0</v>
          </cell>
          <cell r="U3615">
            <v>0</v>
          </cell>
        </row>
        <row r="3616">
          <cell r="A3616">
            <v>9280507</v>
          </cell>
          <cell r="T3616">
            <v>0</v>
          </cell>
          <cell r="U3616">
            <v>0</v>
          </cell>
        </row>
        <row r="3617">
          <cell r="A3617">
            <v>9280508</v>
          </cell>
          <cell r="T3617">
            <v>0</v>
          </cell>
          <cell r="U3617">
            <v>0</v>
          </cell>
        </row>
        <row r="3618">
          <cell r="A3618">
            <v>9280509</v>
          </cell>
          <cell r="T3618">
            <v>0</v>
          </cell>
          <cell r="U3618">
            <v>0</v>
          </cell>
        </row>
        <row r="3619">
          <cell r="A3619">
            <v>9280510</v>
          </cell>
          <cell r="T3619">
            <v>0</v>
          </cell>
          <cell r="U3619">
            <v>0</v>
          </cell>
        </row>
        <row r="3620">
          <cell r="A3620">
            <v>9290201</v>
          </cell>
          <cell r="T3620">
            <v>0</v>
          </cell>
          <cell r="U3620">
            <v>0</v>
          </cell>
        </row>
        <row r="3621">
          <cell r="A3621">
            <v>9290202</v>
          </cell>
          <cell r="T3621">
            <v>0</v>
          </cell>
          <cell r="U3621">
            <v>0</v>
          </cell>
        </row>
        <row r="3622">
          <cell r="A3622">
            <v>9290203</v>
          </cell>
          <cell r="T3622">
            <v>0</v>
          </cell>
          <cell r="U3622">
            <v>0</v>
          </cell>
        </row>
        <row r="3623">
          <cell r="A3623">
            <v>9290206</v>
          </cell>
          <cell r="T3623">
            <v>0</v>
          </cell>
          <cell r="U3623">
            <v>0</v>
          </cell>
        </row>
        <row r="3624">
          <cell r="A3624">
            <v>9290207</v>
          </cell>
          <cell r="T3624">
            <v>0</v>
          </cell>
          <cell r="U3624">
            <v>0</v>
          </cell>
        </row>
        <row r="3625">
          <cell r="A3625">
            <v>9290208</v>
          </cell>
          <cell r="T3625">
            <v>0</v>
          </cell>
          <cell r="U3625">
            <v>0</v>
          </cell>
        </row>
        <row r="3626">
          <cell r="A3626">
            <v>9290209</v>
          </cell>
          <cell r="T3626">
            <v>0</v>
          </cell>
          <cell r="U3626">
            <v>0</v>
          </cell>
        </row>
        <row r="3627">
          <cell r="A3627">
            <v>9290210</v>
          </cell>
          <cell r="T3627">
            <v>0</v>
          </cell>
          <cell r="U3627">
            <v>0</v>
          </cell>
        </row>
        <row r="3628">
          <cell r="A3628">
            <v>9290301</v>
          </cell>
          <cell r="T3628">
            <v>0</v>
          </cell>
          <cell r="U3628">
            <v>0</v>
          </cell>
        </row>
        <row r="3629">
          <cell r="A3629">
            <v>9290302</v>
          </cell>
          <cell r="T3629">
            <v>0</v>
          </cell>
          <cell r="U3629">
            <v>0</v>
          </cell>
        </row>
        <row r="3630">
          <cell r="A3630">
            <v>9290303</v>
          </cell>
          <cell r="T3630">
            <v>0</v>
          </cell>
          <cell r="U3630">
            <v>0</v>
          </cell>
        </row>
        <row r="3631">
          <cell r="A3631">
            <v>9290306</v>
          </cell>
          <cell r="T3631">
            <v>0</v>
          </cell>
          <cell r="U3631">
            <v>0</v>
          </cell>
        </row>
        <row r="3632">
          <cell r="A3632">
            <v>9290307</v>
          </cell>
          <cell r="T3632">
            <v>0</v>
          </cell>
          <cell r="U3632">
            <v>0</v>
          </cell>
        </row>
        <row r="3633">
          <cell r="A3633">
            <v>9290308</v>
          </cell>
          <cell r="T3633">
            <v>0</v>
          </cell>
          <cell r="U3633">
            <v>0</v>
          </cell>
        </row>
        <row r="3634">
          <cell r="A3634">
            <v>9290309</v>
          </cell>
          <cell r="T3634">
            <v>0</v>
          </cell>
          <cell r="U3634">
            <v>0</v>
          </cell>
        </row>
        <row r="3635">
          <cell r="A3635">
            <v>9290310</v>
          </cell>
          <cell r="T3635">
            <v>0</v>
          </cell>
          <cell r="U3635">
            <v>0</v>
          </cell>
        </row>
        <row r="3636">
          <cell r="A3636">
            <v>9290401</v>
          </cell>
          <cell r="T3636">
            <v>0</v>
          </cell>
          <cell r="U3636">
            <v>0</v>
          </cell>
        </row>
        <row r="3637">
          <cell r="A3637">
            <v>9290402</v>
          </cell>
          <cell r="T3637">
            <v>0</v>
          </cell>
          <cell r="U3637">
            <v>0</v>
          </cell>
        </row>
        <row r="3638">
          <cell r="A3638">
            <v>9290403</v>
          </cell>
          <cell r="T3638">
            <v>0</v>
          </cell>
          <cell r="U3638">
            <v>0</v>
          </cell>
        </row>
        <row r="3639">
          <cell r="A3639">
            <v>9290406</v>
          </cell>
          <cell r="T3639">
            <v>0</v>
          </cell>
          <cell r="U3639">
            <v>0</v>
          </cell>
        </row>
        <row r="3640">
          <cell r="A3640">
            <v>9290407</v>
          </cell>
          <cell r="T3640">
            <v>0</v>
          </cell>
          <cell r="U3640">
            <v>0</v>
          </cell>
        </row>
        <row r="3641">
          <cell r="A3641">
            <v>9290408</v>
          </cell>
          <cell r="T3641">
            <v>0</v>
          </cell>
          <cell r="U3641">
            <v>0</v>
          </cell>
        </row>
        <row r="3642">
          <cell r="A3642">
            <v>9290409</v>
          </cell>
          <cell r="T3642">
            <v>0</v>
          </cell>
          <cell r="U3642">
            <v>0</v>
          </cell>
        </row>
        <row r="3643">
          <cell r="A3643">
            <v>9290410</v>
          </cell>
          <cell r="T3643">
            <v>0</v>
          </cell>
          <cell r="U3643">
            <v>0</v>
          </cell>
        </row>
        <row r="3644">
          <cell r="A3644">
            <v>9290501</v>
          </cell>
          <cell r="T3644">
            <v>0</v>
          </cell>
          <cell r="U3644">
            <v>0</v>
          </cell>
        </row>
        <row r="3645">
          <cell r="A3645">
            <v>9290502</v>
          </cell>
          <cell r="T3645">
            <v>0</v>
          </cell>
          <cell r="U3645">
            <v>0</v>
          </cell>
        </row>
        <row r="3646">
          <cell r="A3646">
            <v>9290503</v>
          </cell>
          <cell r="T3646">
            <v>0</v>
          </cell>
          <cell r="U3646">
            <v>0</v>
          </cell>
        </row>
        <row r="3647">
          <cell r="A3647">
            <v>9290506</v>
          </cell>
          <cell r="T3647">
            <v>0</v>
          </cell>
          <cell r="U3647">
            <v>0</v>
          </cell>
        </row>
        <row r="3648">
          <cell r="A3648">
            <v>9290507</v>
          </cell>
          <cell r="T3648">
            <v>0</v>
          </cell>
          <cell r="U3648">
            <v>0</v>
          </cell>
        </row>
        <row r="3649">
          <cell r="A3649">
            <v>9290508</v>
          </cell>
          <cell r="T3649">
            <v>0</v>
          </cell>
          <cell r="U3649">
            <v>0</v>
          </cell>
        </row>
        <row r="3650">
          <cell r="A3650">
            <v>9290509</v>
          </cell>
          <cell r="T3650">
            <v>0</v>
          </cell>
          <cell r="U3650">
            <v>0</v>
          </cell>
        </row>
        <row r="3651">
          <cell r="A3651">
            <v>9290510</v>
          </cell>
          <cell r="T3651">
            <v>0</v>
          </cell>
          <cell r="U3651">
            <v>0</v>
          </cell>
        </row>
        <row r="3652">
          <cell r="A3652">
            <v>9300201</v>
          </cell>
          <cell r="T3652">
            <v>0</v>
          </cell>
          <cell r="U3652">
            <v>0</v>
          </cell>
        </row>
        <row r="3653">
          <cell r="A3653">
            <v>9300202</v>
          </cell>
          <cell r="T3653">
            <v>0</v>
          </cell>
          <cell r="U3653">
            <v>0</v>
          </cell>
        </row>
        <row r="3654">
          <cell r="A3654">
            <v>9300203</v>
          </cell>
          <cell r="T3654">
            <v>0</v>
          </cell>
          <cell r="U3654">
            <v>0</v>
          </cell>
        </row>
        <row r="3655">
          <cell r="A3655">
            <v>9300206</v>
          </cell>
          <cell r="T3655">
            <v>0</v>
          </cell>
          <cell r="U3655">
            <v>0</v>
          </cell>
        </row>
        <row r="3656">
          <cell r="A3656">
            <v>9300207</v>
          </cell>
          <cell r="T3656">
            <v>0</v>
          </cell>
          <cell r="U3656">
            <v>0</v>
          </cell>
        </row>
        <row r="3657">
          <cell r="A3657">
            <v>9300208</v>
          </cell>
          <cell r="T3657">
            <v>0</v>
          </cell>
          <cell r="U3657">
            <v>0</v>
          </cell>
        </row>
        <row r="3658">
          <cell r="A3658">
            <v>9300209</v>
          </cell>
          <cell r="T3658">
            <v>0</v>
          </cell>
          <cell r="U3658">
            <v>0</v>
          </cell>
        </row>
        <row r="3659">
          <cell r="A3659">
            <v>9300210</v>
          </cell>
          <cell r="T3659">
            <v>0</v>
          </cell>
          <cell r="U3659">
            <v>0</v>
          </cell>
        </row>
        <row r="3660">
          <cell r="A3660">
            <v>9300301</v>
          </cell>
          <cell r="T3660">
            <v>0</v>
          </cell>
          <cell r="U3660">
            <v>0</v>
          </cell>
        </row>
        <row r="3661">
          <cell r="A3661">
            <v>9300302</v>
          </cell>
          <cell r="T3661">
            <v>0</v>
          </cell>
          <cell r="U3661">
            <v>0</v>
          </cell>
        </row>
        <row r="3662">
          <cell r="A3662">
            <v>9300303</v>
          </cell>
          <cell r="T3662">
            <v>0</v>
          </cell>
          <cell r="U3662">
            <v>0</v>
          </cell>
        </row>
        <row r="3663">
          <cell r="A3663">
            <v>9300306</v>
          </cell>
          <cell r="T3663">
            <v>0</v>
          </cell>
          <cell r="U3663">
            <v>0</v>
          </cell>
        </row>
        <row r="3664">
          <cell r="A3664">
            <v>9300307</v>
          </cell>
          <cell r="T3664">
            <v>0</v>
          </cell>
          <cell r="U3664">
            <v>0</v>
          </cell>
        </row>
        <row r="3665">
          <cell r="A3665">
            <v>9300308</v>
          </cell>
          <cell r="T3665">
            <v>0</v>
          </cell>
          <cell r="U3665">
            <v>0</v>
          </cell>
        </row>
        <row r="3666">
          <cell r="A3666">
            <v>9300309</v>
          </cell>
          <cell r="T3666">
            <v>0</v>
          </cell>
          <cell r="U3666">
            <v>0</v>
          </cell>
        </row>
        <row r="3667">
          <cell r="A3667">
            <v>9300310</v>
          </cell>
          <cell r="T3667">
            <v>0</v>
          </cell>
          <cell r="U3667">
            <v>0</v>
          </cell>
        </row>
        <row r="3668">
          <cell r="A3668">
            <v>9300401</v>
          </cell>
          <cell r="T3668">
            <v>0</v>
          </cell>
          <cell r="U3668">
            <v>0</v>
          </cell>
        </row>
        <row r="3669">
          <cell r="A3669">
            <v>9300402</v>
          </cell>
          <cell r="T3669">
            <v>0</v>
          </cell>
          <cell r="U3669">
            <v>0</v>
          </cell>
        </row>
        <row r="3670">
          <cell r="A3670">
            <v>9300403</v>
          </cell>
          <cell r="T3670">
            <v>0</v>
          </cell>
          <cell r="U3670">
            <v>0</v>
          </cell>
        </row>
        <row r="3671">
          <cell r="A3671">
            <v>9300406</v>
          </cell>
          <cell r="T3671">
            <v>0</v>
          </cell>
          <cell r="U3671">
            <v>0</v>
          </cell>
        </row>
        <row r="3672">
          <cell r="A3672">
            <v>9300407</v>
          </cell>
          <cell r="T3672">
            <v>0</v>
          </cell>
          <cell r="U3672">
            <v>0</v>
          </cell>
        </row>
        <row r="3673">
          <cell r="A3673">
            <v>9300408</v>
          </cell>
          <cell r="T3673">
            <v>0</v>
          </cell>
          <cell r="U3673">
            <v>0</v>
          </cell>
        </row>
        <row r="3674">
          <cell r="A3674">
            <v>9300409</v>
          </cell>
          <cell r="T3674">
            <v>0</v>
          </cell>
          <cell r="U3674">
            <v>0</v>
          </cell>
        </row>
        <row r="3675">
          <cell r="A3675">
            <v>9300410</v>
          </cell>
          <cell r="T3675">
            <v>0</v>
          </cell>
          <cell r="U3675">
            <v>0</v>
          </cell>
        </row>
        <row r="3676">
          <cell r="A3676">
            <v>9300501</v>
          </cell>
          <cell r="T3676">
            <v>0</v>
          </cell>
          <cell r="U3676">
            <v>0</v>
          </cell>
        </row>
        <row r="3677">
          <cell r="A3677">
            <v>9300502</v>
          </cell>
          <cell r="T3677">
            <v>0</v>
          </cell>
          <cell r="U3677">
            <v>0</v>
          </cell>
        </row>
        <row r="3678">
          <cell r="A3678">
            <v>9300503</v>
          </cell>
          <cell r="T3678">
            <v>0</v>
          </cell>
          <cell r="U3678">
            <v>0</v>
          </cell>
        </row>
        <row r="3679">
          <cell r="A3679">
            <v>9300506</v>
          </cell>
          <cell r="T3679">
            <v>0</v>
          </cell>
          <cell r="U3679">
            <v>0</v>
          </cell>
        </row>
        <row r="3680">
          <cell r="A3680">
            <v>9300507</v>
          </cell>
          <cell r="T3680">
            <v>0</v>
          </cell>
          <cell r="U3680">
            <v>0</v>
          </cell>
        </row>
        <row r="3681">
          <cell r="A3681">
            <v>9300508</v>
          </cell>
          <cell r="T3681">
            <v>0</v>
          </cell>
          <cell r="U3681">
            <v>0</v>
          </cell>
        </row>
        <row r="3682">
          <cell r="A3682">
            <v>9300509</v>
          </cell>
          <cell r="T3682">
            <v>0</v>
          </cell>
          <cell r="U3682">
            <v>0</v>
          </cell>
        </row>
        <row r="3683">
          <cell r="A3683">
            <v>9300510</v>
          </cell>
          <cell r="T3683">
            <v>0</v>
          </cell>
          <cell r="U3683">
            <v>0</v>
          </cell>
        </row>
        <row r="3684">
          <cell r="A3684">
            <v>9200601</v>
          </cell>
          <cell r="T3684">
            <v>0</v>
          </cell>
          <cell r="U3684">
            <v>0</v>
          </cell>
        </row>
        <row r="3685">
          <cell r="A3685">
            <v>9200602</v>
          </cell>
          <cell r="T3685">
            <v>0</v>
          </cell>
          <cell r="U3685">
            <v>0</v>
          </cell>
        </row>
        <row r="3686">
          <cell r="A3686">
            <v>9200603</v>
          </cell>
          <cell r="T3686">
            <v>0</v>
          </cell>
          <cell r="U3686">
            <v>0</v>
          </cell>
        </row>
        <row r="3687">
          <cell r="A3687">
            <v>9200606</v>
          </cell>
          <cell r="T3687">
            <v>0</v>
          </cell>
          <cell r="U3687">
            <v>0</v>
          </cell>
        </row>
        <row r="3688">
          <cell r="A3688">
            <v>9200607</v>
          </cell>
          <cell r="T3688">
            <v>0</v>
          </cell>
          <cell r="U3688">
            <v>0</v>
          </cell>
        </row>
        <row r="3689">
          <cell r="A3689">
            <v>9200608</v>
          </cell>
          <cell r="T3689">
            <v>0</v>
          </cell>
          <cell r="U3689">
            <v>0</v>
          </cell>
        </row>
        <row r="3690">
          <cell r="A3690">
            <v>9200609</v>
          </cell>
          <cell r="T3690">
            <v>0</v>
          </cell>
          <cell r="U3690">
            <v>0</v>
          </cell>
        </row>
        <row r="3691">
          <cell r="A3691">
            <v>9200610</v>
          </cell>
          <cell r="T3691">
            <v>0</v>
          </cell>
          <cell r="U3691">
            <v>0</v>
          </cell>
        </row>
        <row r="3692">
          <cell r="A3692">
            <v>9210601</v>
          </cell>
          <cell r="T3692">
            <v>0</v>
          </cell>
          <cell r="U3692">
            <v>0</v>
          </cell>
        </row>
        <row r="3693">
          <cell r="A3693">
            <v>9210602</v>
          </cell>
          <cell r="T3693">
            <v>0</v>
          </cell>
          <cell r="U3693">
            <v>0</v>
          </cell>
        </row>
        <row r="3694">
          <cell r="A3694">
            <v>9210603</v>
          </cell>
          <cell r="T3694">
            <v>0</v>
          </cell>
          <cell r="U3694">
            <v>0</v>
          </cell>
        </row>
        <row r="3695">
          <cell r="A3695">
            <v>9210606</v>
          </cell>
          <cell r="T3695">
            <v>0</v>
          </cell>
          <cell r="U3695">
            <v>0</v>
          </cell>
        </row>
        <row r="3696">
          <cell r="A3696">
            <v>9210607</v>
          </cell>
          <cell r="T3696">
            <v>0</v>
          </cell>
          <cell r="U3696">
            <v>0</v>
          </cell>
        </row>
        <row r="3697">
          <cell r="A3697">
            <v>9210608</v>
          </cell>
          <cell r="T3697">
            <v>0</v>
          </cell>
          <cell r="U3697">
            <v>0</v>
          </cell>
        </row>
        <row r="3698">
          <cell r="A3698">
            <v>9210609</v>
          </cell>
          <cell r="T3698">
            <v>0</v>
          </cell>
          <cell r="U3698">
            <v>0</v>
          </cell>
        </row>
        <row r="3699">
          <cell r="A3699">
            <v>9210610</v>
          </cell>
          <cell r="T3699">
            <v>0</v>
          </cell>
          <cell r="U3699">
            <v>0</v>
          </cell>
        </row>
        <row r="3700">
          <cell r="A3700">
            <v>9220601</v>
          </cell>
          <cell r="T3700">
            <v>0</v>
          </cell>
          <cell r="U3700">
            <v>0</v>
          </cell>
        </row>
        <row r="3701">
          <cell r="A3701">
            <v>9220602</v>
          </cell>
          <cell r="T3701">
            <v>0</v>
          </cell>
          <cell r="U3701">
            <v>0</v>
          </cell>
        </row>
        <row r="3702">
          <cell r="A3702">
            <v>9220603</v>
          </cell>
          <cell r="T3702">
            <v>0</v>
          </cell>
          <cell r="U3702">
            <v>0</v>
          </cell>
        </row>
        <row r="3703">
          <cell r="A3703">
            <v>9220606</v>
          </cell>
          <cell r="T3703">
            <v>0</v>
          </cell>
          <cell r="U3703">
            <v>0</v>
          </cell>
        </row>
        <row r="3704">
          <cell r="A3704">
            <v>9220607</v>
          </cell>
          <cell r="T3704">
            <v>0</v>
          </cell>
          <cell r="U3704">
            <v>0</v>
          </cell>
        </row>
        <row r="3705">
          <cell r="A3705">
            <v>9220608</v>
          </cell>
          <cell r="T3705">
            <v>0</v>
          </cell>
          <cell r="U3705">
            <v>0</v>
          </cell>
        </row>
        <row r="3706">
          <cell r="A3706">
            <v>9220609</v>
          </cell>
          <cell r="T3706">
            <v>0</v>
          </cell>
          <cell r="U3706">
            <v>0</v>
          </cell>
        </row>
        <row r="3707">
          <cell r="A3707">
            <v>9220610</v>
          </cell>
          <cell r="T3707">
            <v>0</v>
          </cell>
          <cell r="U3707">
            <v>0</v>
          </cell>
        </row>
        <row r="3708">
          <cell r="A3708">
            <v>9230601</v>
          </cell>
          <cell r="T3708">
            <v>0</v>
          </cell>
          <cell r="U3708">
            <v>0</v>
          </cell>
        </row>
        <row r="3709">
          <cell r="A3709">
            <v>9230602</v>
          </cell>
          <cell r="T3709">
            <v>0</v>
          </cell>
          <cell r="U3709">
            <v>0</v>
          </cell>
        </row>
        <row r="3710">
          <cell r="A3710">
            <v>9230603</v>
          </cell>
          <cell r="T3710">
            <v>0</v>
          </cell>
          <cell r="U3710">
            <v>0</v>
          </cell>
        </row>
        <row r="3711">
          <cell r="A3711">
            <v>9230606</v>
          </cell>
          <cell r="T3711">
            <v>0</v>
          </cell>
          <cell r="U3711">
            <v>0</v>
          </cell>
        </row>
        <row r="3712">
          <cell r="A3712">
            <v>9230607</v>
          </cell>
          <cell r="T3712">
            <v>0</v>
          </cell>
          <cell r="U3712">
            <v>0</v>
          </cell>
        </row>
        <row r="3713">
          <cell r="A3713">
            <v>9230608</v>
          </cell>
          <cell r="T3713">
            <v>0</v>
          </cell>
          <cell r="U3713">
            <v>0</v>
          </cell>
        </row>
        <row r="3714">
          <cell r="A3714">
            <v>9230609</v>
          </cell>
          <cell r="T3714">
            <v>0</v>
          </cell>
          <cell r="U3714">
            <v>0</v>
          </cell>
        </row>
        <row r="3715">
          <cell r="A3715">
            <v>9230610</v>
          </cell>
          <cell r="T3715">
            <v>0</v>
          </cell>
          <cell r="U3715">
            <v>0</v>
          </cell>
        </row>
        <row r="3716">
          <cell r="A3716">
            <v>9240601</v>
          </cell>
          <cell r="T3716">
            <v>0</v>
          </cell>
          <cell r="U3716">
            <v>0</v>
          </cell>
        </row>
        <row r="3717">
          <cell r="A3717">
            <v>9240602</v>
          </cell>
          <cell r="T3717">
            <v>0</v>
          </cell>
          <cell r="U3717">
            <v>0</v>
          </cell>
        </row>
        <row r="3718">
          <cell r="A3718">
            <v>9240603</v>
          </cell>
          <cell r="T3718">
            <v>0</v>
          </cell>
          <cell r="U3718">
            <v>0</v>
          </cell>
        </row>
        <row r="3719">
          <cell r="A3719">
            <v>9240606</v>
          </cell>
          <cell r="T3719">
            <v>0</v>
          </cell>
          <cell r="U3719">
            <v>0</v>
          </cell>
        </row>
        <row r="3720">
          <cell r="A3720">
            <v>9240607</v>
          </cell>
          <cell r="T3720">
            <v>0</v>
          </cell>
          <cell r="U3720">
            <v>0</v>
          </cell>
        </row>
        <row r="3721">
          <cell r="A3721">
            <v>9240608</v>
          </cell>
          <cell r="T3721">
            <v>0</v>
          </cell>
          <cell r="U3721">
            <v>0</v>
          </cell>
        </row>
        <row r="3722">
          <cell r="A3722">
            <v>9240609</v>
          </cell>
          <cell r="T3722">
            <v>0</v>
          </cell>
          <cell r="U3722">
            <v>0</v>
          </cell>
        </row>
        <row r="3723">
          <cell r="A3723">
            <v>9240610</v>
          </cell>
          <cell r="T3723">
            <v>0</v>
          </cell>
          <cell r="U3723">
            <v>0</v>
          </cell>
        </row>
        <row r="3724">
          <cell r="A3724">
            <v>9250601</v>
          </cell>
          <cell r="T3724">
            <v>0</v>
          </cell>
          <cell r="U3724">
            <v>0</v>
          </cell>
        </row>
        <row r="3725">
          <cell r="A3725">
            <v>9250602</v>
          </cell>
          <cell r="T3725">
            <v>0</v>
          </cell>
          <cell r="U3725">
            <v>0</v>
          </cell>
        </row>
        <row r="3726">
          <cell r="A3726">
            <v>9250603</v>
          </cell>
          <cell r="T3726">
            <v>0</v>
          </cell>
          <cell r="U3726">
            <v>0</v>
          </cell>
        </row>
        <row r="3727">
          <cell r="A3727">
            <v>9250606</v>
          </cell>
          <cell r="T3727">
            <v>0</v>
          </cell>
          <cell r="U3727">
            <v>0</v>
          </cell>
        </row>
        <row r="3728">
          <cell r="A3728">
            <v>9250607</v>
          </cell>
          <cell r="T3728">
            <v>0</v>
          </cell>
          <cell r="U3728">
            <v>0</v>
          </cell>
        </row>
        <row r="3729">
          <cell r="A3729">
            <v>9250608</v>
          </cell>
          <cell r="T3729">
            <v>0</v>
          </cell>
          <cell r="U3729">
            <v>0</v>
          </cell>
        </row>
        <row r="3730">
          <cell r="A3730">
            <v>9250609</v>
          </cell>
          <cell r="T3730">
            <v>0</v>
          </cell>
          <cell r="U3730">
            <v>0</v>
          </cell>
        </row>
        <row r="3731">
          <cell r="A3731">
            <v>9250610</v>
          </cell>
          <cell r="T3731">
            <v>0</v>
          </cell>
          <cell r="U3731">
            <v>0</v>
          </cell>
        </row>
        <row r="3732">
          <cell r="A3732">
            <v>9260601</v>
          </cell>
          <cell r="T3732">
            <v>0</v>
          </cell>
          <cell r="U3732">
            <v>0</v>
          </cell>
        </row>
        <row r="3733">
          <cell r="A3733">
            <v>9260602</v>
          </cell>
          <cell r="T3733">
            <v>0</v>
          </cell>
          <cell r="U3733">
            <v>0</v>
          </cell>
        </row>
        <row r="3734">
          <cell r="A3734">
            <v>9260603</v>
          </cell>
          <cell r="T3734">
            <v>0</v>
          </cell>
          <cell r="U3734">
            <v>0</v>
          </cell>
        </row>
        <row r="3735">
          <cell r="A3735">
            <v>9260606</v>
          </cell>
          <cell r="T3735">
            <v>0</v>
          </cell>
          <cell r="U3735">
            <v>0</v>
          </cell>
        </row>
        <row r="3736">
          <cell r="A3736">
            <v>9260607</v>
          </cell>
          <cell r="T3736">
            <v>0</v>
          </cell>
          <cell r="U3736">
            <v>0</v>
          </cell>
        </row>
        <row r="3737">
          <cell r="A3737">
            <v>9260608</v>
          </cell>
          <cell r="T3737">
            <v>0</v>
          </cell>
          <cell r="U3737">
            <v>0</v>
          </cell>
        </row>
        <row r="3738">
          <cell r="A3738">
            <v>9260609</v>
          </cell>
          <cell r="T3738">
            <v>0</v>
          </cell>
          <cell r="U3738">
            <v>0</v>
          </cell>
        </row>
        <row r="3739">
          <cell r="A3739">
            <v>9260610</v>
          </cell>
          <cell r="T3739">
            <v>0</v>
          </cell>
          <cell r="U3739">
            <v>0</v>
          </cell>
        </row>
        <row r="3740">
          <cell r="A3740">
            <v>9270601</v>
          </cell>
          <cell r="T3740">
            <v>0</v>
          </cell>
          <cell r="U3740">
            <v>0</v>
          </cell>
        </row>
        <row r="3741">
          <cell r="A3741">
            <v>9270602</v>
          </cell>
          <cell r="T3741">
            <v>0</v>
          </cell>
          <cell r="U3741">
            <v>0</v>
          </cell>
        </row>
        <row r="3742">
          <cell r="A3742">
            <v>9270603</v>
          </cell>
          <cell r="T3742">
            <v>0</v>
          </cell>
          <cell r="U3742">
            <v>0</v>
          </cell>
        </row>
        <row r="3743">
          <cell r="A3743">
            <v>9270606</v>
          </cell>
          <cell r="T3743">
            <v>0</v>
          </cell>
          <cell r="U3743">
            <v>0</v>
          </cell>
        </row>
        <row r="3744">
          <cell r="A3744">
            <v>9270607</v>
          </cell>
          <cell r="T3744">
            <v>0</v>
          </cell>
          <cell r="U3744">
            <v>0</v>
          </cell>
        </row>
        <row r="3745">
          <cell r="A3745">
            <v>9270608</v>
          </cell>
          <cell r="T3745">
            <v>0</v>
          </cell>
          <cell r="U3745">
            <v>0</v>
          </cell>
        </row>
        <row r="3746">
          <cell r="A3746">
            <v>9270609</v>
          </cell>
          <cell r="T3746">
            <v>0</v>
          </cell>
          <cell r="U3746">
            <v>0</v>
          </cell>
        </row>
        <row r="3747">
          <cell r="A3747">
            <v>9270610</v>
          </cell>
          <cell r="T3747">
            <v>0</v>
          </cell>
          <cell r="U3747">
            <v>0</v>
          </cell>
        </row>
        <row r="3748">
          <cell r="A3748">
            <v>9280601</v>
          </cell>
          <cell r="T3748">
            <v>0</v>
          </cell>
          <cell r="U3748">
            <v>0</v>
          </cell>
        </row>
        <row r="3749">
          <cell r="A3749">
            <v>9280602</v>
          </cell>
          <cell r="T3749">
            <v>0</v>
          </cell>
          <cell r="U3749">
            <v>0</v>
          </cell>
        </row>
        <row r="3750">
          <cell r="A3750">
            <v>9280603</v>
          </cell>
          <cell r="T3750">
            <v>0</v>
          </cell>
          <cell r="U3750">
            <v>0</v>
          </cell>
        </row>
        <row r="3751">
          <cell r="A3751">
            <v>9280606</v>
          </cell>
          <cell r="T3751">
            <v>0</v>
          </cell>
          <cell r="U3751">
            <v>0</v>
          </cell>
        </row>
        <row r="3752">
          <cell r="A3752">
            <v>9280607</v>
          </cell>
          <cell r="T3752">
            <v>0</v>
          </cell>
          <cell r="U3752">
            <v>0</v>
          </cell>
        </row>
        <row r="3753">
          <cell r="A3753">
            <v>9280608</v>
          </cell>
          <cell r="T3753">
            <v>0</v>
          </cell>
          <cell r="U3753">
            <v>0</v>
          </cell>
        </row>
        <row r="3754">
          <cell r="A3754">
            <v>9280609</v>
          </cell>
          <cell r="T3754">
            <v>0</v>
          </cell>
          <cell r="U3754">
            <v>0</v>
          </cell>
        </row>
        <row r="3755">
          <cell r="A3755">
            <v>9280610</v>
          </cell>
          <cell r="T3755">
            <v>0</v>
          </cell>
          <cell r="U3755">
            <v>0</v>
          </cell>
        </row>
        <row r="3756">
          <cell r="A3756">
            <v>9290601</v>
          </cell>
          <cell r="T3756">
            <v>0</v>
          </cell>
          <cell r="U3756">
            <v>0</v>
          </cell>
        </row>
        <row r="3757">
          <cell r="A3757">
            <v>9290602</v>
          </cell>
          <cell r="T3757">
            <v>0</v>
          </cell>
          <cell r="U3757">
            <v>0</v>
          </cell>
        </row>
        <row r="3758">
          <cell r="A3758">
            <v>9290603</v>
          </cell>
          <cell r="T3758">
            <v>0</v>
          </cell>
          <cell r="U3758">
            <v>0</v>
          </cell>
        </row>
        <row r="3759">
          <cell r="A3759">
            <v>9290606</v>
          </cell>
          <cell r="T3759">
            <v>0</v>
          </cell>
          <cell r="U3759">
            <v>0</v>
          </cell>
        </row>
        <row r="3760">
          <cell r="A3760">
            <v>9290607</v>
          </cell>
          <cell r="T3760">
            <v>0</v>
          </cell>
          <cell r="U3760">
            <v>0</v>
          </cell>
        </row>
        <row r="3761">
          <cell r="A3761">
            <v>9290608</v>
          </cell>
          <cell r="T3761">
            <v>0</v>
          </cell>
          <cell r="U3761">
            <v>0</v>
          </cell>
        </row>
        <row r="3762">
          <cell r="A3762">
            <v>9290609</v>
          </cell>
          <cell r="T3762">
            <v>0</v>
          </cell>
          <cell r="U3762">
            <v>0</v>
          </cell>
        </row>
        <row r="3763">
          <cell r="A3763">
            <v>9290610</v>
          </cell>
          <cell r="T3763">
            <v>0</v>
          </cell>
          <cell r="U3763">
            <v>0</v>
          </cell>
        </row>
        <row r="3764">
          <cell r="A3764">
            <v>9300601</v>
          </cell>
          <cell r="T3764">
            <v>0</v>
          </cell>
          <cell r="U3764">
            <v>0</v>
          </cell>
        </row>
        <row r="3765">
          <cell r="A3765">
            <v>9300602</v>
          </cell>
          <cell r="T3765">
            <v>0</v>
          </cell>
          <cell r="U3765">
            <v>0</v>
          </cell>
        </row>
        <row r="3766">
          <cell r="A3766">
            <v>9300603</v>
          </cell>
          <cell r="T3766">
            <v>0</v>
          </cell>
          <cell r="U3766">
            <v>0</v>
          </cell>
        </row>
        <row r="3767">
          <cell r="A3767">
            <v>9300606</v>
          </cell>
          <cell r="T3767">
            <v>0</v>
          </cell>
          <cell r="U3767">
            <v>0</v>
          </cell>
        </row>
        <row r="3768">
          <cell r="A3768">
            <v>9300607</v>
          </cell>
          <cell r="T3768">
            <v>0</v>
          </cell>
          <cell r="U3768">
            <v>0</v>
          </cell>
        </row>
        <row r="3769">
          <cell r="A3769">
            <v>9300608</v>
          </cell>
          <cell r="T3769">
            <v>0</v>
          </cell>
          <cell r="U3769">
            <v>0</v>
          </cell>
        </row>
        <row r="3770">
          <cell r="A3770">
            <v>9300609</v>
          </cell>
          <cell r="T3770">
            <v>0</v>
          </cell>
          <cell r="U3770">
            <v>0</v>
          </cell>
        </row>
        <row r="3771">
          <cell r="A3771">
            <v>9300610</v>
          </cell>
          <cell r="T3771">
            <v>0</v>
          </cell>
          <cell r="U3771">
            <v>0</v>
          </cell>
        </row>
        <row r="3772">
          <cell r="A3772">
            <v>11150501</v>
          </cell>
          <cell r="T3772">
            <v>0</v>
          </cell>
          <cell r="U3772">
            <v>0</v>
          </cell>
        </row>
        <row r="3773">
          <cell r="A3773">
            <v>11150502</v>
          </cell>
          <cell r="T3773">
            <v>0</v>
          </cell>
          <cell r="U3773">
            <v>0</v>
          </cell>
        </row>
        <row r="3774">
          <cell r="A3774">
            <v>11150503</v>
          </cell>
          <cell r="T3774">
            <v>0</v>
          </cell>
          <cell r="U3774">
            <v>0</v>
          </cell>
        </row>
        <row r="3775">
          <cell r="A3775">
            <v>11150506</v>
          </cell>
          <cell r="T3775">
            <v>0</v>
          </cell>
          <cell r="U3775">
            <v>0</v>
          </cell>
        </row>
        <row r="3776">
          <cell r="A3776">
            <v>11150507</v>
          </cell>
          <cell r="T3776">
            <v>0</v>
          </cell>
          <cell r="U3776">
            <v>0</v>
          </cell>
        </row>
        <row r="3777">
          <cell r="A3777">
            <v>11150508</v>
          </cell>
          <cell r="T3777">
            <v>0</v>
          </cell>
          <cell r="U3777">
            <v>0</v>
          </cell>
        </row>
        <row r="3778">
          <cell r="A3778">
            <v>11150509</v>
          </cell>
          <cell r="T3778">
            <v>0</v>
          </cell>
          <cell r="U3778">
            <v>0</v>
          </cell>
        </row>
        <row r="3779">
          <cell r="A3779">
            <v>11150510</v>
          </cell>
          <cell r="T3779">
            <v>0</v>
          </cell>
          <cell r="U3779">
            <v>0</v>
          </cell>
        </row>
        <row r="3780">
          <cell r="A3780">
            <v>13150501</v>
          </cell>
          <cell r="T3780">
            <v>0</v>
          </cell>
          <cell r="U3780">
            <v>0</v>
          </cell>
        </row>
        <row r="3781">
          <cell r="A3781">
            <v>13150502</v>
          </cell>
          <cell r="T3781">
            <v>0</v>
          </cell>
          <cell r="U3781">
            <v>0</v>
          </cell>
        </row>
        <row r="3782">
          <cell r="A3782">
            <v>13150503</v>
          </cell>
          <cell r="T3782">
            <v>0</v>
          </cell>
          <cell r="U3782">
            <v>0</v>
          </cell>
        </row>
        <row r="3783">
          <cell r="A3783">
            <v>13150506</v>
          </cell>
          <cell r="T3783">
            <v>0</v>
          </cell>
          <cell r="U3783">
            <v>0</v>
          </cell>
        </row>
        <row r="3784">
          <cell r="A3784">
            <v>13150507</v>
          </cell>
          <cell r="T3784">
            <v>0</v>
          </cell>
          <cell r="U3784">
            <v>0</v>
          </cell>
        </row>
        <row r="3785">
          <cell r="A3785">
            <v>13150508</v>
          </cell>
          <cell r="T3785">
            <v>0</v>
          </cell>
          <cell r="U3785">
            <v>0</v>
          </cell>
        </row>
        <row r="3786">
          <cell r="A3786">
            <v>13150509</v>
          </cell>
          <cell r="T3786">
            <v>0</v>
          </cell>
          <cell r="U3786">
            <v>0</v>
          </cell>
        </row>
        <row r="3787">
          <cell r="A3787">
            <v>13150510</v>
          </cell>
          <cell r="T3787">
            <v>0</v>
          </cell>
          <cell r="U3787">
            <v>0</v>
          </cell>
        </row>
        <row r="3788">
          <cell r="A3788">
            <v>16150501</v>
          </cell>
          <cell r="T3788">
            <v>0</v>
          </cell>
          <cell r="U3788">
            <v>0</v>
          </cell>
        </row>
        <row r="3789">
          <cell r="A3789">
            <v>16150502</v>
          </cell>
          <cell r="T3789">
            <v>0</v>
          </cell>
          <cell r="U3789">
            <v>0</v>
          </cell>
        </row>
        <row r="3790">
          <cell r="A3790">
            <v>16150503</v>
          </cell>
          <cell r="T3790">
            <v>0</v>
          </cell>
          <cell r="U3790">
            <v>0</v>
          </cell>
        </row>
        <row r="3791">
          <cell r="A3791">
            <v>16150506</v>
          </cell>
          <cell r="T3791">
            <v>0</v>
          </cell>
          <cell r="U3791">
            <v>0</v>
          </cell>
        </row>
        <row r="3792">
          <cell r="A3792">
            <v>16150507</v>
          </cell>
          <cell r="T3792">
            <v>0</v>
          </cell>
          <cell r="U3792">
            <v>0</v>
          </cell>
        </row>
        <row r="3793">
          <cell r="A3793">
            <v>16150508</v>
          </cell>
          <cell r="T3793">
            <v>0</v>
          </cell>
          <cell r="U3793">
            <v>0</v>
          </cell>
        </row>
        <row r="3794">
          <cell r="A3794">
            <v>16150509</v>
          </cell>
          <cell r="T3794">
            <v>0</v>
          </cell>
          <cell r="U3794">
            <v>0</v>
          </cell>
        </row>
        <row r="3795">
          <cell r="A3795">
            <v>16150510</v>
          </cell>
          <cell r="T3795">
            <v>0</v>
          </cell>
          <cell r="U3795">
            <v>0</v>
          </cell>
        </row>
        <row r="3796">
          <cell r="A3796">
            <v>19150501</v>
          </cell>
          <cell r="T3796">
            <v>0</v>
          </cell>
          <cell r="U3796">
            <v>0</v>
          </cell>
        </row>
        <row r="3797">
          <cell r="A3797">
            <v>19150502</v>
          </cell>
          <cell r="T3797">
            <v>0</v>
          </cell>
          <cell r="U3797">
            <v>0</v>
          </cell>
        </row>
        <row r="3798">
          <cell r="A3798">
            <v>19150503</v>
          </cell>
          <cell r="T3798">
            <v>0</v>
          </cell>
          <cell r="U3798">
            <v>0</v>
          </cell>
        </row>
        <row r="3799">
          <cell r="A3799">
            <v>19150506</v>
          </cell>
          <cell r="T3799">
            <v>0</v>
          </cell>
          <cell r="U3799">
            <v>0</v>
          </cell>
        </row>
        <row r="3800">
          <cell r="A3800">
            <v>19150507</v>
          </cell>
          <cell r="T3800">
            <v>0</v>
          </cell>
          <cell r="U3800">
            <v>0</v>
          </cell>
        </row>
        <row r="3801">
          <cell r="A3801">
            <v>19150508</v>
          </cell>
          <cell r="T3801">
            <v>0</v>
          </cell>
          <cell r="U3801">
            <v>0</v>
          </cell>
        </row>
        <row r="3802">
          <cell r="A3802">
            <v>19150509</v>
          </cell>
          <cell r="T3802">
            <v>0</v>
          </cell>
          <cell r="U3802">
            <v>0</v>
          </cell>
        </row>
        <row r="3803">
          <cell r="A3803">
            <v>19150510</v>
          </cell>
          <cell r="T3803">
            <v>0</v>
          </cell>
          <cell r="U3803">
            <v>0</v>
          </cell>
        </row>
        <row r="3804">
          <cell r="A3804">
            <v>21150501</v>
          </cell>
          <cell r="T3804">
            <v>0</v>
          </cell>
          <cell r="U3804">
            <v>0</v>
          </cell>
        </row>
        <row r="3805">
          <cell r="A3805">
            <v>21150502</v>
          </cell>
          <cell r="T3805">
            <v>0</v>
          </cell>
          <cell r="U3805">
            <v>0</v>
          </cell>
        </row>
        <row r="3806">
          <cell r="A3806">
            <v>21150503</v>
          </cell>
          <cell r="T3806">
            <v>0</v>
          </cell>
          <cell r="U3806">
            <v>0</v>
          </cell>
        </row>
        <row r="3807">
          <cell r="A3807">
            <v>21150506</v>
          </cell>
          <cell r="T3807">
            <v>0</v>
          </cell>
          <cell r="U3807">
            <v>0</v>
          </cell>
        </row>
        <row r="3808">
          <cell r="A3808">
            <v>21150507</v>
          </cell>
          <cell r="T3808">
            <v>0</v>
          </cell>
          <cell r="U3808">
            <v>0</v>
          </cell>
        </row>
        <row r="3809">
          <cell r="A3809">
            <v>21150508</v>
          </cell>
          <cell r="T3809">
            <v>0</v>
          </cell>
          <cell r="U3809">
            <v>0</v>
          </cell>
        </row>
        <row r="3810">
          <cell r="A3810">
            <v>21150509</v>
          </cell>
          <cell r="T3810">
            <v>0</v>
          </cell>
          <cell r="U3810">
            <v>0</v>
          </cell>
        </row>
        <row r="3811">
          <cell r="A3811">
            <v>21150510</v>
          </cell>
          <cell r="T3811">
            <v>0</v>
          </cell>
          <cell r="U3811">
            <v>0</v>
          </cell>
        </row>
        <row r="3812">
          <cell r="A3812">
            <v>23150501</v>
          </cell>
          <cell r="T3812">
            <v>0</v>
          </cell>
          <cell r="U3812">
            <v>0</v>
          </cell>
        </row>
        <row r="3813">
          <cell r="A3813">
            <v>23150502</v>
          </cell>
          <cell r="T3813">
            <v>0</v>
          </cell>
          <cell r="U3813">
            <v>0</v>
          </cell>
        </row>
        <row r="3814">
          <cell r="A3814">
            <v>23150503</v>
          </cell>
          <cell r="T3814">
            <v>0</v>
          </cell>
          <cell r="U3814">
            <v>0</v>
          </cell>
        </row>
        <row r="3815">
          <cell r="A3815">
            <v>23150506</v>
          </cell>
          <cell r="T3815">
            <v>0</v>
          </cell>
          <cell r="U3815">
            <v>0</v>
          </cell>
        </row>
        <row r="3816">
          <cell r="A3816">
            <v>23150507</v>
          </cell>
          <cell r="T3816">
            <v>0</v>
          </cell>
          <cell r="U3816">
            <v>0</v>
          </cell>
        </row>
        <row r="3817">
          <cell r="A3817">
            <v>23150508</v>
          </cell>
          <cell r="T3817">
            <v>0</v>
          </cell>
          <cell r="U3817">
            <v>0</v>
          </cell>
        </row>
        <row r="3818">
          <cell r="A3818">
            <v>23150509</v>
          </cell>
          <cell r="T3818">
            <v>0</v>
          </cell>
          <cell r="U3818">
            <v>0</v>
          </cell>
        </row>
        <row r="3819">
          <cell r="A3819">
            <v>23150510</v>
          </cell>
          <cell r="T3819">
            <v>0</v>
          </cell>
          <cell r="U3819">
            <v>0</v>
          </cell>
        </row>
        <row r="3820">
          <cell r="A3820">
            <v>26150501</v>
          </cell>
          <cell r="T3820">
            <v>0</v>
          </cell>
          <cell r="U3820">
            <v>0</v>
          </cell>
        </row>
        <row r="3821">
          <cell r="A3821">
            <v>26150502</v>
          </cell>
          <cell r="T3821">
            <v>0</v>
          </cell>
          <cell r="U3821">
            <v>0</v>
          </cell>
        </row>
        <row r="3822">
          <cell r="A3822">
            <v>26150503</v>
          </cell>
          <cell r="T3822">
            <v>0</v>
          </cell>
          <cell r="U3822">
            <v>0</v>
          </cell>
        </row>
        <row r="3823">
          <cell r="A3823">
            <v>26150506</v>
          </cell>
          <cell r="T3823">
            <v>0</v>
          </cell>
          <cell r="U3823">
            <v>0</v>
          </cell>
        </row>
        <row r="3824">
          <cell r="A3824">
            <v>26150507</v>
          </cell>
          <cell r="T3824">
            <v>0</v>
          </cell>
          <cell r="U3824">
            <v>0</v>
          </cell>
        </row>
        <row r="3825">
          <cell r="A3825">
            <v>26150508</v>
          </cell>
          <cell r="T3825">
            <v>0</v>
          </cell>
          <cell r="U3825">
            <v>0</v>
          </cell>
        </row>
        <row r="3826">
          <cell r="A3826">
            <v>26150509</v>
          </cell>
          <cell r="T3826">
            <v>0</v>
          </cell>
          <cell r="U3826">
            <v>0</v>
          </cell>
        </row>
        <row r="3827">
          <cell r="A3827">
            <v>26150510</v>
          </cell>
          <cell r="T3827">
            <v>0</v>
          </cell>
          <cell r="U3827">
            <v>0</v>
          </cell>
        </row>
        <row r="3828">
          <cell r="A3828">
            <v>29150501</v>
          </cell>
          <cell r="T3828">
            <v>0</v>
          </cell>
          <cell r="U3828">
            <v>0</v>
          </cell>
        </row>
        <row r="3829">
          <cell r="A3829">
            <v>29150502</v>
          </cell>
          <cell r="T3829">
            <v>0</v>
          </cell>
          <cell r="U3829">
            <v>0</v>
          </cell>
        </row>
        <row r="3830">
          <cell r="A3830">
            <v>29150503</v>
          </cell>
          <cell r="T3830">
            <v>0</v>
          </cell>
          <cell r="U3830">
            <v>0</v>
          </cell>
        </row>
        <row r="3831">
          <cell r="A3831">
            <v>29150506</v>
          </cell>
          <cell r="T3831">
            <v>0</v>
          </cell>
          <cell r="U3831">
            <v>0</v>
          </cell>
        </row>
        <row r="3832">
          <cell r="A3832">
            <v>29150507</v>
          </cell>
          <cell r="T3832">
            <v>0</v>
          </cell>
          <cell r="U3832">
            <v>0</v>
          </cell>
        </row>
        <row r="3833">
          <cell r="A3833">
            <v>29150508</v>
          </cell>
          <cell r="T3833">
            <v>0</v>
          </cell>
          <cell r="U3833">
            <v>0</v>
          </cell>
        </row>
        <row r="3834">
          <cell r="A3834">
            <v>29150509</v>
          </cell>
          <cell r="T3834">
            <v>0</v>
          </cell>
          <cell r="U3834">
            <v>0</v>
          </cell>
        </row>
        <row r="3835">
          <cell r="A3835">
            <v>29150510</v>
          </cell>
          <cell r="T3835">
            <v>0</v>
          </cell>
          <cell r="U3835">
            <v>0</v>
          </cell>
        </row>
        <row r="3836">
          <cell r="A3836">
            <v>31150501</v>
          </cell>
          <cell r="T3836">
            <v>0</v>
          </cell>
          <cell r="U3836">
            <v>0</v>
          </cell>
        </row>
        <row r="3837">
          <cell r="A3837">
            <v>31150502</v>
          </cell>
          <cell r="T3837">
            <v>0</v>
          </cell>
          <cell r="U3837">
            <v>0</v>
          </cell>
        </row>
        <row r="3838">
          <cell r="A3838">
            <v>31150503</v>
          </cell>
          <cell r="T3838">
            <v>0</v>
          </cell>
          <cell r="U3838">
            <v>0</v>
          </cell>
        </row>
        <row r="3839">
          <cell r="A3839">
            <v>31150506</v>
          </cell>
          <cell r="T3839">
            <v>0</v>
          </cell>
          <cell r="U3839">
            <v>0</v>
          </cell>
        </row>
        <row r="3840">
          <cell r="A3840">
            <v>31150507</v>
          </cell>
          <cell r="T3840">
            <v>0</v>
          </cell>
          <cell r="U3840">
            <v>0</v>
          </cell>
        </row>
        <row r="3841">
          <cell r="A3841">
            <v>31150508</v>
          </cell>
          <cell r="T3841">
            <v>0</v>
          </cell>
          <cell r="U3841">
            <v>0</v>
          </cell>
        </row>
        <row r="3842">
          <cell r="A3842">
            <v>31150509</v>
          </cell>
          <cell r="T3842">
            <v>0</v>
          </cell>
          <cell r="U3842">
            <v>0</v>
          </cell>
        </row>
        <row r="3843">
          <cell r="A3843">
            <v>31150510</v>
          </cell>
          <cell r="T3843">
            <v>0</v>
          </cell>
          <cell r="U3843">
            <v>0</v>
          </cell>
        </row>
        <row r="3844">
          <cell r="A3844">
            <v>33150501</v>
          </cell>
          <cell r="T3844">
            <v>0</v>
          </cell>
          <cell r="U3844">
            <v>0</v>
          </cell>
        </row>
        <row r="3845">
          <cell r="A3845">
            <v>33150502</v>
          </cell>
          <cell r="T3845">
            <v>0</v>
          </cell>
          <cell r="U3845">
            <v>0</v>
          </cell>
        </row>
        <row r="3846">
          <cell r="A3846">
            <v>33150503</v>
          </cell>
          <cell r="T3846">
            <v>0</v>
          </cell>
          <cell r="U3846">
            <v>0</v>
          </cell>
        </row>
        <row r="3847">
          <cell r="A3847">
            <v>33150506</v>
          </cell>
          <cell r="T3847">
            <v>0</v>
          </cell>
          <cell r="U3847">
            <v>0</v>
          </cell>
        </row>
        <row r="3848">
          <cell r="A3848">
            <v>33150507</v>
          </cell>
          <cell r="T3848">
            <v>0</v>
          </cell>
          <cell r="U3848">
            <v>0</v>
          </cell>
        </row>
        <row r="3849">
          <cell r="A3849">
            <v>33150508</v>
          </cell>
          <cell r="T3849">
            <v>0</v>
          </cell>
          <cell r="U3849">
            <v>0</v>
          </cell>
        </row>
        <row r="3850">
          <cell r="A3850">
            <v>33150509</v>
          </cell>
          <cell r="T3850">
            <v>0</v>
          </cell>
          <cell r="U3850">
            <v>0</v>
          </cell>
        </row>
        <row r="3851">
          <cell r="A3851">
            <v>33150510</v>
          </cell>
          <cell r="T3851">
            <v>0</v>
          </cell>
          <cell r="U3851">
            <v>0</v>
          </cell>
        </row>
        <row r="3852">
          <cell r="A3852">
            <v>36150501</v>
          </cell>
          <cell r="T3852">
            <v>0</v>
          </cell>
          <cell r="U3852">
            <v>0</v>
          </cell>
        </row>
        <row r="3853">
          <cell r="A3853">
            <v>36150502</v>
          </cell>
          <cell r="T3853">
            <v>0</v>
          </cell>
          <cell r="U3853">
            <v>0</v>
          </cell>
        </row>
        <row r="3854">
          <cell r="A3854">
            <v>36150503</v>
          </cell>
          <cell r="T3854">
            <v>0</v>
          </cell>
          <cell r="U3854">
            <v>0</v>
          </cell>
        </row>
        <row r="3855">
          <cell r="A3855">
            <v>36150506</v>
          </cell>
          <cell r="T3855">
            <v>0</v>
          </cell>
          <cell r="U3855">
            <v>0</v>
          </cell>
        </row>
        <row r="3856">
          <cell r="A3856">
            <v>36150507</v>
          </cell>
          <cell r="T3856">
            <v>0</v>
          </cell>
          <cell r="U3856">
            <v>0</v>
          </cell>
        </row>
        <row r="3857">
          <cell r="A3857">
            <v>36150508</v>
          </cell>
          <cell r="T3857">
            <v>0</v>
          </cell>
          <cell r="U3857">
            <v>0</v>
          </cell>
        </row>
        <row r="3858">
          <cell r="A3858">
            <v>36150509</v>
          </cell>
          <cell r="T3858">
            <v>0</v>
          </cell>
          <cell r="U3858">
            <v>0</v>
          </cell>
        </row>
        <row r="3859">
          <cell r="A3859">
            <v>36150510</v>
          </cell>
          <cell r="T3859">
            <v>0</v>
          </cell>
          <cell r="U3859">
            <v>0</v>
          </cell>
        </row>
        <row r="3860">
          <cell r="A3860">
            <v>39150501</v>
          </cell>
          <cell r="T3860">
            <v>0</v>
          </cell>
          <cell r="U3860">
            <v>0</v>
          </cell>
        </row>
        <row r="3861">
          <cell r="A3861">
            <v>39150502</v>
          </cell>
          <cell r="T3861">
            <v>0</v>
          </cell>
          <cell r="U3861">
            <v>0</v>
          </cell>
        </row>
        <row r="3862">
          <cell r="A3862">
            <v>39150503</v>
          </cell>
          <cell r="T3862">
            <v>0</v>
          </cell>
          <cell r="U3862">
            <v>0</v>
          </cell>
        </row>
        <row r="3863">
          <cell r="A3863">
            <v>39150506</v>
          </cell>
          <cell r="T3863">
            <v>0</v>
          </cell>
          <cell r="U3863">
            <v>0</v>
          </cell>
        </row>
        <row r="3864">
          <cell r="A3864">
            <v>39150507</v>
          </cell>
          <cell r="T3864">
            <v>0</v>
          </cell>
          <cell r="U3864">
            <v>0</v>
          </cell>
        </row>
        <row r="3865">
          <cell r="A3865">
            <v>39150508</v>
          </cell>
          <cell r="T3865">
            <v>0</v>
          </cell>
          <cell r="U3865">
            <v>0</v>
          </cell>
        </row>
        <row r="3866">
          <cell r="A3866">
            <v>39150509</v>
          </cell>
          <cell r="T3866">
            <v>0</v>
          </cell>
          <cell r="U3866">
            <v>0</v>
          </cell>
        </row>
        <row r="3867">
          <cell r="A3867">
            <v>39150510</v>
          </cell>
          <cell r="T3867">
            <v>0</v>
          </cell>
          <cell r="U3867">
            <v>0</v>
          </cell>
        </row>
        <row r="3868">
          <cell r="A3868">
            <v>41210601</v>
          </cell>
          <cell r="T3868">
            <v>0</v>
          </cell>
          <cell r="U3868">
            <v>0</v>
          </cell>
        </row>
        <row r="3869">
          <cell r="A3869">
            <v>41210602</v>
          </cell>
          <cell r="T3869">
            <v>0</v>
          </cell>
          <cell r="U3869">
            <v>0</v>
          </cell>
        </row>
        <row r="3870">
          <cell r="A3870">
            <v>41210603</v>
          </cell>
          <cell r="T3870">
            <v>0</v>
          </cell>
          <cell r="U3870">
            <v>0</v>
          </cell>
        </row>
        <row r="3871">
          <cell r="A3871">
            <v>41210606</v>
          </cell>
          <cell r="T3871">
            <v>0</v>
          </cell>
          <cell r="U3871">
            <v>0</v>
          </cell>
        </row>
        <row r="3872">
          <cell r="A3872">
            <v>41210607</v>
          </cell>
          <cell r="T3872">
            <v>0</v>
          </cell>
          <cell r="U3872">
            <v>0</v>
          </cell>
        </row>
        <row r="3873">
          <cell r="A3873">
            <v>41210608</v>
          </cell>
          <cell r="T3873">
            <v>0</v>
          </cell>
          <cell r="U3873">
            <v>0</v>
          </cell>
        </row>
        <row r="3874">
          <cell r="A3874">
            <v>41210609</v>
          </cell>
          <cell r="T3874">
            <v>0</v>
          </cell>
          <cell r="U3874">
            <v>0</v>
          </cell>
        </row>
        <row r="3875">
          <cell r="A3875">
            <v>41210610</v>
          </cell>
          <cell r="T3875">
            <v>0</v>
          </cell>
          <cell r="U3875">
            <v>0</v>
          </cell>
        </row>
        <row r="3876">
          <cell r="A3876">
            <v>43210601</v>
          </cell>
          <cell r="T3876">
            <v>0</v>
          </cell>
          <cell r="U3876">
            <v>0</v>
          </cell>
        </row>
        <row r="3877">
          <cell r="A3877">
            <v>43210602</v>
          </cell>
          <cell r="T3877">
            <v>0</v>
          </cell>
          <cell r="U3877">
            <v>0</v>
          </cell>
        </row>
        <row r="3878">
          <cell r="A3878">
            <v>43210603</v>
          </cell>
          <cell r="T3878">
            <v>0</v>
          </cell>
          <cell r="U3878">
            <v>0</v>
          </cell>
        </row>
        <row r="3879">
          <cell r="A3879">
            <v>43210606</v>
          </cell>
          <cell r="T3879">
            <v>0</v>
          </cell>
          <cell r="U3879">
            <v>0</v>
          </cell>
        </row>
        <row r="3880">
          <cell r="A3880">
            <v>43210607</v>
          </cell>
          <cell r="T3880">
            <v>0</v>
          </cell>
          <cell r="U3880">
            <v>0</v>
          </cell>
        </row>
        <row r="3881">
          <cell r="A3881">
            <v>43210608</v>
          </cell>
          <cell r="T3881">
            <v>0</v>
          </cell>
          <cell r="U3881">
            <v>0</v>
          </cell>
        </row>
        <row r="3882">
          <cell r="A3882">
            <v>43210609</v>
          </cell>
          <cell r="T3882">
            <v>0</v>
          </cell>
          <cell r="U3882">
            <v>0</v>
          </cell>
        </row>
        <row r="3883">
          <cell r="A3883">
            <v>43210610</v>
          </cell>
          <cell r="T3883">
            <v>0</v>
          </cell>
          <cell r="U3883">
            <v>0</v>
          </cell>
        </row>
        <row r="3884">
          <cell r="A3884">
            <v>46210601</v>
          </cell>
          <cell r="T3884">
            <v>0</v>
          </cell>
          <cell r="U3884">
            <v>0</v>
          </cell>
        </row>
        <row r="3885">
          <cell r="A3885">
            <v>46210602</v>
          </cell>
          <cell r="T3885">
            <v>0</v>
          </cell>
          <cell r="U3885">
            <v>0</v>
          </cell>
        </row>
        <row r="3886">
          <cell r="A3886">
            <v>46210603</v>
          </cell>
          <cell r="T3886">
            <v>0</v>
          </cell>
          <cell r="U3886">
            <v>0</v>
          </cell>
        </row>
        <row r="3887">
          <cell r="A3887">
            <v>46210606</v>
          </cell>
          <cell r="T3887">
            <v>0</v>
          </cell>
          <cell r="U3887">
            <v>0</v>
          </cell>
        </row>
        <row r="3888">
          <cell r="A3888">
            <v>46210607</v>
          </cell>
          <cell r="T3888">
            <v>0</v>
          </cell>
          <cell r="U3888">
            <v>0</v>
          </cell>
        </row>
        <row r="3889">
          <cell r="A3889">
            <v>46210608</v>
          </cell>
          <cell r="T3889">
            <v>0</v>
          </cell>
          <cell r="U3889">
            <v>0</v>
          </cell>
        </row>
        <row r="3890">
          <cell r="A3890">
            <v>46210609</v>
          </cell>
          <cell r="T3890">
            <v>0</v>
          </cell>
          <cell r="U3890">
            <v>0</v>
          </cell>
        </row>
        <row r="3891">
          <cell r="A3891">
            <v>46210610</v>
          </cell>
          <cell r="T3891">
            <v>0</v>
          </cell>
          <cell r="U3891">
            <v>0</v>
          </cell>
        </row>
        <row r="3892">
          <cell r="A3892">
            <v>49210601</v>
          </cell>
          <cell r="T3892">
            <v>0</v>
          </cell>
          <cell r="U3892">
            <v>0</v>
          </cell>
        </row>
        <row r="3893">
          <cell r="A3893">
            <v>49210602</v>
          </cell>
          <cell r="T3893">
            <v>0</v>
          </cell>
          <cell r="U3893">
            <v>0</v>
          </cell>
        </row>
        <row r="3894">
          <cell r="A3894">
            <v>49210603</v>
          </cell>
          <cell r="T3894">
            <v>0</v>
          </cell>
          <cell r="U3894">
            <v>0</v>
          </cell>
        </row>
        <row r="3895">
          <cell r="A3895">
            <v>49210606</v>
          </cell>
          <cell r="T3895">
            <v>0</v>
          </cell>
          <cell r="U3895">
            <v>0</v>
          </cell>
        </row>
        <row r="3896">
          <cell r="A3896">
            <v>49210607</v>
          </cell>
          <cell r="T3896">
            <v>0</v>
          </cell>
          <cell r="U3896">
            <v>0</v>
          </cell>
        </row>
        <row r="3897">
          <cell r="A3897">
            <v>49210608</v>
          </cell>
          <cell r="T3897">
            <v>0</v>
          </cell>
          <cell r="U3897">
            <v>0</v>
          </cell>
        </row>
        <row r="3898">
          <cell r="A3898">
            <v>49210609</v>
          </cell>
          <cell r="T3898">
            <v>0</v>
          </cell>
          <cell r="U3898">
            <v>0</v>
          </cell>
        </row>
        <row r="3899">
          <cell r="A3899">
            <v>49210610</v>
          </cell>
          <cell r="T3899">
            <v>0</v>
          </cell>
          <cell r="U3899">
            <v>0</v>
          </cell>
        </row>
        <row r="3900">
          <cell r="A3900">
            <v>49150504</v>
          </cell>
          <cell r="T3900">
            <v>0</v>
          </cell>
          <cell r="U3900">
            <v>0</v>
          </cell>
        </row>
        <row r="3901">
          <cell r="A3901">
            <v>49150505</v>
          </cell>
          <cell r="T3901">
            <v>0</v>
          </cell>
          <cell r="U3901">
            <v>0</v>
          </cell>
        </row>
        <row r="3902">
          <cell r="A3902">
            <v>5140</v>
          </cell>
          <cell r="T3902" t="str">
            <v>add_buff</v>
          </cell>
          <cell r="U3902">
            <v>20002</v>
          </cell>
        </row>
        <row r="3903">
          <cell r="A3903">
            <v>5141</v>
          </cell>
          <cell r="T3903" t="str">
            <v>add_buff</v>
          </cell>
          <cell r="U3903">
            <v>20003</v>
          </cell>
        </row>
        <row r="3904">
          <cell r="A3904">
            <v>5142</v>
          </cell>
          <cell r="T3904" t="str">
            <v>add_buff</v>
          </cell>
          <cell r="U3904">
            <v>20004</v>
          </cell>
        </row>
        <row r="3905">
          <cell r="A3905">
            <v>50001</v>
          </cell>
          <cell r="T3905" t="str">
            <v>add_pet</v>
          </cell>
          <cell r="U3905">
            <v>1</v>
          </cell>
        </row>
        <row r="3906">
          <cell r="A3906">
            <v>50002</v>
          </cell>
          <cell r="T3906" t="str">
            <v>add_pet</v>
          </cell>
          <cell r="U3906">
            <v>2</v>
          </cell>
        </row>
        <row r="3907">
          <cell r="A3907">
            <v>50003</v>
          </cell>
          <cell r="T3907" t="str">
            <v>add_pet</v>
          </cell>
          <cell r="U3907">
            <v>3</v>
          </cell>
        </row>
        <row r="3908">
          <cell r="A3908">
            <v>50004</v>
          </cell>
          <cell r="T3908" t="str">
            <v>add_pet</v>
          </cell>
          <cell r="U3908">
            <v>4</v>
          </cell>
        </row>
        <row r="3909">
          <cell r="A3909">
            <v>50005</v>
          </cell>
          <cell r="T3909" t="str">
            <v>add_pet</v>
          </cell>
          <cell r="U3909">
            <v>5</v>
          </cell>
        </row>
        <row r="3910">
          <cell r="A3910">
            <v>50006</v>
          </cell>
          <cell r="T3910" t="str">
            <v>add_pet</v>
          </cell>
          <cell r="U3910">
            <v>6</v>
          </cell>
        </row>
        <row r="3911">
          <cell r="A3911">
            <v>50007</v>
          </cell>
          <cell r="T3911" t="str">
            <v>add_pet</v>
          </cell>
          <cell r="U3911">
            <v>7</v>
          </cell>
        </row>
        <row r="3912">
          <cell r="A3912">
            <v>50008</v>
          </cell>
          <cell r="T3912" t="str">
            <v>add_pet</v>
          </cell>
          <cell r="U3912">
            <v>8</v>
          </cell>
        </row>
        <row r="3913">
          <cell r="A3913">
            <v>50009</v>
          </cell>
          <cell r="T3913" t="str">
            <v>add_pet</v>
          </cell>
          <cell r="U3913">
            <v>9</v>
          </cell>
        </row>
        <row r="3914">
          <cell r="A3914">
            <v>50010</v>
          </cell>
          <cell r="T3914" t="str">
            <v>add_pet</v>
          </cell>
          <cell r="U3914">
            <v>10</v>
          </cell>
        </row>
        <row r="3915">
          <cell r="A3915">
            <v>51097</v>
          </cell>
          <cell r="T3915">
            <v>0</v>
          </cell>
          <cell r="U3915">
            <v>0</v>
          </cell>
        </row>
        <row r="3916">
          <cell r="A3916">
            <v>51098</v>
          </cell>
          <cell r="T3916">
            <v>0</v>
          </cell>
          <cell r="U3916">
            <v>0</v>
          </cell>
        </row>
        <row r="3917">
          <cell r="A3917">
            <v>51099</v>
          </cell>
          <cell r="T3917">
            <v>0</v>
          </cell>
          <cell r="U3917">
            <v>0</v>
          </cell>
        </row>
        <row r="3918">
          <cell r="A3918">
            <v>51100</v>
          </cell>
          <cell r="T3918">
            <v>0</v>
          </cell>
          <cell r="U3918">
            <v>0</v>
          </cell>
        </row>
        <row r="3919">
          <cell r="A3919">
            <v>51101</v>
          </cell>
          <cell r="T3919">
            <v>0</v>
          </cell>
          <cell r="U3919">
            <v>0</v>
          </cell>
        </row>
        <row r="3920">
          <cell r="A3920">
            <v>51102</v>
          </cell>
          <cell r="T3920">
            <v>0</v>
          </cell>
          <cell r="U3920">
            <v>0</v>
          </cell>
        </row>
        <row r="3921">
          <cell r="A3921">
            <v>51103</v>
          </cell>
          <cell r="T3921">
            <v>0</v>
          </cell>
          <cell r="U3921">
            <v>0</v>
          </cell>
        </row>
        <row r="3922">
          <cell r="A3922">
            <v>51104</v>
          </cell>
          <cell r="T3922">
            <v>0</v>
          </cell>
          <cell r="U3922">
            <v>0</v>
          </cell>
        </row>
        <row r="3923">
          <cell r="A3923">
            <v>51105</v>
          </cell>
          <cell r="T3923">
            <v>0</v>
          </cell>
          <cell r="U3923">
            <v>0</v>
          </cell>
        </row>
        <row r="3924">
          <cell r="A3924">
            <v>51106</v>
          </cell>
          <cell r="T3924">
            <v>0</v>
          </cell>
          <cell r="U3924">
            <v>0</v>
          </cell>
        </row>
        <row r="3925">
          <cell r="A3925">
            <v>51201</v>
          </cell>
          <cell r="T3925">
            <v>0</v>
          </cell>
          <cell r="U3925">
            <v>0</v>
          </cell>
        </row>
        <row r="3926">
          <cell r="A3926">
            <v>51202</v>
          </cell>
          <cell r="T3926">
            <v>0</v>
          </cell>
          <cell r="U3926">
            <v>0</v>
          </cell>
        </row>
        <row r="3927">
          <cell r="A3927">
            <v>51203</v>
          </cell>
          <cell r="T3927">
            <v>0</v>
          </cell>
          <cell r="U3927">
            <v>0</v>
          </cell>
        </row>
        <row r="3928">
          <cell r="A3928">
            <v>51204</v>
          </cell>
          <cell r="T3928">
            <v>0</v>
          </cell>
          <cell r="U3928">
            <v>0</v>
          </cell>
        </row>
        <row r="3929">
          <cell r="A3929">
            <v>51205</v>
          </cell>
          <cell r="T3929">
            <v>0</v>
          </cell>
          <cell r="U3929">
            <v>0</v>
          </cell>
        </row>
        <row r="3930">
          <cell r="A3930">
            <v>51206</v>
          </cell>
          <cell r="T3930">
            <v>0</v>
          </cell>
          <cell r="U3930">
            <v>0</v>
          </cell>
        </row>
        <row r="3931">
          <cell r="A3931">
            <v>51301</v>
          </cell>
          <cell r="T3931">
            <v>0</v>
          </cell>
          <cell r="U3931">
            <v>0</v>
          </cell>
        </row>
        <row r="3932">
          <cell r="A3932">
            <v>51302</v>
          </cell>
          <cell r="T3932">
            <v>0</v>
          </cell>
          <cell r="U3932">
            <v>0</v>
          </cell>
        </row>
        <row r="3933">
          <cell r="A3933">
            <v>51303</v>
          </cell>
          <cell r="T3933">
            <v>0</v>
          </cell>
          <cell r="U3933">
            <v>0</v>
          </cell>
        </row>
        <row r="3934">
          <cell r="A3934">
            <v>51304</v>
          </cell>
          <cell r="T3934">
            <v>0</v>
          </cell>
          <cell r="U3934">
            <v>0</v>
          </cell>
        </row>
        <row r="3935">
          <cell r="A3935">
            <v>51305</v>
          </cell>
          <cell r="T3935">
            <v>0</v>
          </cell>
          <cell r="U3935">
            <v>0</v>
          </cell>
        </row>
        <row r="3936">
          <cell r="A3936">
            <v>51306</v>
          </cell>
          <cell r="T3936">
            <v>0</v>
          </cell>
          <cell r="U3936">
            <v>0</v>
          </cell>
        </row>
        <row r="3937">
          <cell r="A3937">
            <v>51401</v>
          </cell>
          <cell r="T3937">
            <v>0</v>
          </cell>
          <cell r="U3937">
            <v>0</v>
          </cell>
        </row>
        <row r="3938">
          <cell r="A3938">
            <v>51402</v>
          </cell>
          <cell r="T3938">
            <v>0</v>
          </cell>
          <cell r="U3938">
            <v>0</v>
          </cell>
        </row>
        <row r="3939">
          <cell r="A3939">
            <v>51403</v>
          </cell>
          <cell r="T3939">
            <v>0</v>
          </cell>
          <cell r="U3939">
            <v>0</v>
          </cell>
        </row>
        <row r="3940">
          <cell r="A3940">
            <v>51404</v>
          </cell>
          <cell r="T3940">
            <v>0</v>
          </cell>
          <cell r="U3940">
            <v>0</v>
          </cell>
        </row>
        <row r="3941">
          <cell r="A3941">
            <v>51405</v>
          </cell>
          <cell r="T3941">
            <v>0</v>
          </cell>
          <cell r="U3941">
            <v>0</v>
          </cell>
        </row>
        <row r="3942">
          <cell r="A3942">
            <v>51406</v>
          </cell>
          <cell r="T3942">
            <v>0</v>
          </cell>
          <cell r="U3942">
            <v>0</v>
          </cell>
        </row>
        <row r="3943">
          <cell r="A3943">
            <v>60000</v>
          </cell>
          <cell r="T3943">
            <v>0</v>
          </cell>
          <cell r="U3943">
            <v>0</v>
          </cell>
        </row>
        <row r="3944">
          <cell r="A3944">
            <v>60001</v>
          </cell>
          <cell r="T3944">
            <v>0</v>
          </cell>
          <cell r="U3944">
            <v>0</v>
          </cell>
        </row>
        <row r="3945">
          <cell r="A3945">
            <v>60002</v>
          </cell>
          <cell r="T3945">
            <v>0</v>
          </cell>
          <cell r="U3945">
            <v>0</v>
          </cell>
        </row>
        <row r="3946">
          <cell r="A3946">
            <v>60003</v>
          </cell>
          <cell r="T3946">
            <v>0</v>
          </cell>
          <cell r="U3946">
            <v>0</v>
          </cell>
        </row>
        <row r="3947">
          <cell r="A3947">
            <v>60004</v>
          </cell>
          <cell r="T3947">
            <v>0</v>
          </cell>
          <cell r="U3947">
            <v>0</v>
          </cell>
        </row>
        <row r="3948">
          <cell r="A3948">
            <v>60005</v>
          </cell>
          <cell r="T3948">
            <v>0</v>
          </cell>
          <cell r="U3948">
            <v>0</v>
          </cell>
        </row>
        <row r="3949">
          <cell r="A3949">
            <v>60006</v>
          </cell>
          <cell r="T3949">
            <v>0</v>
          </cell>
          <cell r="U3949">
            <v>0</v>
          </cell>
        </row>
        <row r="3950">
          <cell r="A3950">
            <v>60007</v>
          </cell>
          <cell r="T3950">
            <v>0</v>
          </cell>
          <cell r="U3950">
            <v>0</v>
          </cell>
        </row>
        <row r="3951">
          <cell r="A3951">
            <v>60008</v>
          </cell>
          <cell r="T3951">
            <v>0</v>
          </cell>
          <cell r="U3951">
            <v>0</v>
          </cell>
        </row>
        <row r="3952">
          <cell r="A3952">
            <v>60009</v>
          </cell>
          <cell r="T3952">
            <v>0</v>
          </cell>
          <cell r="U3952">
            <v>0</v>
          </cell>
        </row>
        <row r="3953">
          <cell r="A3953">
            <v>60010</v>
          </cell>
          <cell r="T3953">
            <v>0</v>
          </cell>
          <cell r="U3953">
            <v>0</v>
          </cell>
        </row>
        <row r="3954">
          <cell r="A3954">
            <v>60011</v>
          </cell>
          <cell r="T3954">
            <v>0</v>
          </cell>
          <cell r="U3954">
            <v>0</v>
          </cell>
        </row>
        <row r="3955">
          <cell r="A3955">
            <v>151010</v>
          </cell>
          <cell r="T3955">
            <v>0</v>
          </cell>
          <cell r="U3955">
            <v>0</v>
          </cell>
        </row>
        <row r="3956">
          <cell r="A3956">
            <v>151020</v>
          </cell>
          <cell r="T3956">
            <v>0</v>
          </cell>
          <cell r="U3956">
            <v>0</v>
          </cell>
        </row>
        <row r="3957">
          <cell r="A3957">
            <v>151030</v>
          </cell>
          <cell r="T3957">
            <v>0</v>
          </cell>
          <cell r="U3957">
            <v>0</v>
          </cell>
        </row>
        <row r="3958">
          <cell r="A3958">
            <v>151040</v>
          </cell>
          <cell r="T3958">
            <v>0</v>
          </cell>
          <cell r="U3958">
            <v>0</v>
          </cell>
        </row>
        <row r="3959">
          <cell r="A3959">
            <v>151050</v>
          </cell>
          <cell r="T3959">
            <v>0</v>
          </cell>
          <cell r="U3959">
            <v>0</v>
          </cell>
        </row>
        <row r="3960">
          <cell r="A3960">
            <v>151060</v>
          </cell>
          <cell r="T3960">
            <v>0</v>
          </cell>
          <cell r="U3960">
            <v>0</v>
          </cell>
        </row>
        <row r="3961">
          <cell r="A3961">
            <v>151070</v>
          </cell>
          <cell r="T3961">
            <v>0</v>
          </cell>
          <cell r="U3961">
            <v>0</v>
          </cell>
        </row>
        <row r="3962">
          <cell r="A3962">
            <v>151080</v>
          </cell>
          <cell r="T3962">
            <v>0</v>
          </cell>
          <cell r="U3962">
            <v>0</v>
          </cell>
        </row>
        <row r="3963">
          <cell r="A3963">
            <v>151090</v>
          </cell>
          <cell r="T3963">
            <v>0</v>
          </cell>
          <cell r="U3963">
            <v>0</v>
          </cell>
        </row>
        <row r="3964">
          <cell r="A3964">
            <v>151100</v>
          </cell>
          <cell r="T3964">
            <v>0</v>
          </cell>
          <cell r="U3964">
            <v>0</v>
          </cell>
        </row>
        <row r="3965">
          <cell r="A3965">
            <v>153010</v>
          </cell>
          <cell r="T3965">
            <v>0</v>
          </cell>
          <cell r="U3965">
            <v>0</v>
          </cell>
        </row>
        <row r="3966">
          <cell r="A3966">
            <v>153020</v>
          </cell>
          <cell r="T3966">
            <v>0</v>
          </cell>
          <cell r="U3966">
            <v>0</v>
          </cell>
        </row>
        <row r="3967">
          <cell r="A3967">
            <v>153030</v>
          </cell>
          <cell r="T3967">
            <v>0</v>
          </cell>
          <cell r="U3967">
            <v>0</v>
          </cell>
        </row>
        <row r="3968">
          <cell r="A3968">
            <v>153040</v>
          </cell>
          <cell r="T3968">
            <v>0</v>
          </cell>
          <cell r="U3968">
            <v>0</v>
          </cell>
        </row>
        <row r="3969">
          <cell r="A3969">
            <v>153050</v>
          </cell>
          <cell r="T3969">
            <v>0</v>
          </cell>
          <cell r="U3969">
            <v>0</v>
          </cell>
        </row>
        <row r="3970">
          <cell r="A3970">
            <v>153060</v>
          </cell>
          <cell r="T3970">
            <v>0</v>
          </cell>
          <cell r="U3970">
            <v>0</v>
          </cell>
        </row>
        <row r="3971">
          <cell r="A3971">
            <v>153070</v>
          </cell>
          <cell r="T3971">
            <v>0</v>
          </cell>
          <cell r="U3971">
            <v>0</v>
          </cell>
        </row>
        <row r="3972">
          <cell r="A3972">
            <v>153080</v>
          </cell>
          <cell r="T3972">
            <v>0</v>
          </cell>
          <cell r="U3972">
            <v>0</v>
          </cell>
        </row>
        <row r="3973">
          <cell r="A3973">
            <v>153090</v>
          </cell>
          <cell r="T3973">
            <v>0</v>
          </cell>
          <cell r="U3973">
            <v>0</v>
          </cell>
        </row>
        <row r="3974">
          <cell r="A3974">
            <v>153100</v>
          </cell>
          <cell r="T3974">
            <v>0</v>
          </cell>
          <cell r="U3974">
            <v>0</v>
          </cell>
        </row>
        <row r="3975">
          <cell r="A3975">
            <v>156010</v>
          </cell>
          <cell r="T3975">
            <v>0</v>
          </cell>
          <cell r="U3975">
            <v>0</v>
          </cell>
        </row>
        <row r="3976">
          <cell r="A3976">
            <v>156020</v>
          </cell>
          <cell r="T3976">
            <v>0</v>
          </cell>
          <cell r="U3976">
            <v>0</v>
          </cell>
        </row>
        <row r="3977">
          <cell r="A3977">
            <v>156030</v>
          </cell>
          <cell r="T3977">
            <v>0</v>
          </cell>
          <cell r="U3977">
            <v>0</v>
          </cell>
        </row>
        <row r="3978">
          <cell r="A3978">
            <v>156040</v>
          </cell>
          <cell r="T3978">
            <v>0</v>
          </cell>
          <cell r="U3978">
            <v>0</v>
          </cell>
        </row>
        <row r="3979">
          <cell r="A3979">
            <v>156050</v>
          </cell>
          <cell r="T3979">
            <v>0</v>
          </cell>
          <cell r="U3979">
            <v>0</v>
          </cell>
        </row>
        <row r="3980">
          <cell r="A3980">
            <v>156060</v>
          </cell>
          <cell r="T3980">
            <v>0</v>
          </cell>
          <cell r="U3980">
            <v>0</v>
          </cell>
        </row>
        <row r="3981">
          <cell r="A3981">
            <v>156070</v>
          </cell>
          <cell r="T3981">
            <v>0</v>
          </cell>
          <cell r="U3981">
            <v>0</v>
          </cell>
        </row>
        <row r="3982">
          <cell r="A3982">
            <v>156080</v>
          </cell>
          <cell r="T3982">
            <v>0</v>
          </cell>
          <cell r="U3982">
            <v>0</v>
          </cell>
        </row>
        <row r="3983">
          <cell r="A3983">
            <v>156090</v>
          </cell>
          <cell r="T3983">
            <v>0</v>
          </cell>
          <cell r="U3983">
            <v>0</v>
          </cell>
        </row>
        <row r="3984">
          <cell r="A3984">
            <v>156100</v>
          </cell>
          <cell r="T3984">
            <v>0</v>
          </cell>
          <cell r="U3984">
            <v>0</v>
          </cell>
        </row>
        <row r="3985">
          <cell r="A3985">
            <v>159010</v>
          </cell>
          <cell r="T3985">
            <v>0</v>
          </cell>
          <cell r="U3985">
            <v>0</v>
          </cell>
        </row>
        <row r="3986">
          <cell r="A3986">
            <v>159020</v>
          </cell>
          <cell r="T3986">
            <v>0</v>
          </cell>
          <cell r="U3986">
            <v>0</v>
          </cell>
        </row>
        <row r="3987">
          <cell r="A3987">
            <v>159030</v>
          </cell>
          <cell r="T3987">
            <v>0</v>
          </cell>
          <cell r="U3987">
            <v>0</v>
          </cell>
        </row>
        <row r="3988">
          <cell r="A3988">
            <v>159040</v>
          </cell>
          <cell r="T3988">
            <v>0</v>
          </cell>
          <cell r="U3988">
            <v>0</v>
          </cell>
        </row>
        <row r="3989">
          <cell r="A3989">
            <v>159050</v>
          </cell>
          <cell r="T3989">
            <v>0</v>
          </cell>
          <cell r="U3989">
            <v>0</v>
          </cell>
        </row>
        <row r="3990">
          <cell r="A3990">
            <v>159060</v>
          </cell>
          <cell r="T3990">
            <v>0</v>
          </cell>
          <cell r="U3990">
            <v>0</v>
          </cell>
        </row>
        <row r="3991">
          <cell r="A3991">
            <v>159070</v>
          </cell>
          <cell r="T3991">
            <v>0</v>
          </cell>
          <cell r="U3991">
            <v>0</v>
          </cell>
        </row>
        <row r="3992">
          <cell r="A3992">
            <v>159080</v>
          </cell>
          <cell r="T3992">
            <v>0</v>
          </cell>
          <cell r="U3992">
            <v>0</v>
          </cell>
        </row>
        <row r="3993">
          <cell r="A3993">
            <v>159090</v>
          </cell>
          <cell r="T3993">
            <v>0</v>
          </cell>
          <cell r="U3993">
            <v>0</v>
          </cell>
        </row>
        <row r="3994">
          <cell r="A3994">
            <v>159100</v>
          </cell>
          <cell r="T3994">
            <v>0</v>
          </cell>
          <cell r="U3994">
            <v>0</v>
          </cell>
        </row>
        <row r="3995">
          <cell r="A3995">
            <v>11004</v>
          </cell>
          <cell r="T3995">
            <v>0</v>
          </cell>
          <cell r="U3995">
            <v>0</v>
          </cell>
        </row>
        <row r="3996">
          <cell r="A3996">
            <v>11005</v>
          </cell>
          <cell r="T3996">
            <v>0</v>
          </cell>
          <cell r="U3996">
            <v>0</v>
          </cell>
        </row>
        <row r="3997">
          <cell r="A3997">
            <v>11006</v>
          </cell>
          <cell r="T3997">
            <v>0</v>
          </cell>
          <cell r="U3997">
            <v>0</v>
          </cell>
        </row>
        <row r="3998">
          <cell r="A3998">
            <v>11007</v>
          </cell>
          <cell r="T3998">
            <v>0</v>
          </cell>
          <cell r="U3998">
            <v>0</v>
          </cell>
        </row>
        <row r="3999">
          <cell r="A3999">
            <v>11008</v>
          </cell>
          <cell r="T3999">
            <v>0</v>
          </cell>
          <cell r="U3999">
            <v>0</v>
          </cell>
        </row>
        <row r="4000">
          <cell r="A4000">
            <v>11009</v>
          </cell>
          <cell r="T4000">
            <v>0</v>
          </cell>
          <cell r="U4000">
            <v>0</v>
          </cell>
        </row>
        <row r="4001">
          <cell r="A4001">
            <v>11010</v>
          </cell>
          <cell r="T4001">
            <v>0</v>
          </cell>
          <cell r="U4001">
            <v>0</v>
          </cell>
        </row>
        <row r="4002">
          <cell r="A4002">
            <v>11011</v>
          </cell>
          <cell r="T4002">
            <v>0</v>
          </cell>
          <cell r="U4002">
            <v>0</v>
          </cell>
        </row>
        <row r="4003">
          <cell r="A4003">
            <v>11012</v>
          </cell>
          <cell r="T4003">
            <v>0</v>
          </cell>
          <cell r="U4003">
            <v>0</v>
          </cell>
        </row>
        <row r="4004">
          <cell r="A4004">
            <v>11013</v>
          </cell>
          <cell r="T4004">
            <v>0</v>
          </cell>
          <cell r="U4004">
            <v>0</v>
          </cell>
        </row>
        <row r="4005">
          <cell r="A4005">
            <v>11014</v>
          </cell>
          <cell r="T4005">
            <v>0</v>
          </cell>
          <cell r="U4005">
            <v>0</v>
          </cell>
        </row>
        <row r="4006">
          <cell r="A4006">
            <v>11015</v>
          </cell>
          <cell r="T4006">
            <v>0</v>
          </cell>
          <cell r="U4006">
            <v>0</v>
          </cell>
        </row>
        <row r="4007">
          <cell r="A4007">
            <v>11016</v>
          </cell>
          <cell r="T4007">
            <v>0</v>
          </cell>
          <cell r="U4007">
            <v>0</v>
          </cell>
        </row>
        <row r="4008">
          <cell r="A4008">
            <v>11017</v>
          </cell>
          <cell r="T4008">
            <v>0</v>
          </cell>
          <cell r="U4008">
            <v>0</v>
          </cell>
        </row>
        <row r="4009">
          <cell r="A4009">
            <v>11018</v>
          </cell>
          <cell r="T4009">
            <v>0</v>
          </cell>
          <cell r="U4009">
            <v>0</v>
          </cell>
        </row>
        <row r="4010">
          <cell r="A4010">
            <v>11019</v>
          </cell>
          <cell r="T4010">
            <v>0</v>
          </cell>
          <cell r="U4010">
            <v>0</v>
          </cell>
        </row>
        <row r="4011">
          <cell r="A4011">
            <v>11020</v>
          </cell>
          <cell r="T4011">
            <v>0</v>
          </cell>
          <cell r="U4011">
            <v>0</v>
          </cell>
        </row>
        <row r="4012">
          <cell r="A4012">
            <v>11021</v>
          </cell>
          <cell r="T4012">
            <v>0</v>
          </cell>
          <cell r="U4012">
            <v>0</v>
          </cell>
        </row>
        <row r="4013">
          <cell r="A4013">
            <v>5001</v>
          </cell>
          <cell r="T4013" t="str">
            <v>0</v>
          </cell>
          <cell r="U4013" t="str">
            <v>0</v>
          </cell>
        </row>
        <row r="4014">
          <cell r="A4014">
            <v>5002</v>
          </cell>
          <cell r="T4014" t="str">
            <v>0</v>
          </cell>
          <cell r="U4014" t="str">
            <v>0</v>
          </cell>
        </row>
        <row r="4015">
          <cell r="A4015">
            <v>2017</v>
          </cell>
          <cell r="T4015" t="str">
            <v>0</v>
          </cell>
          <cell r="U4015" t="str">
            <v>3</v>
          </cell>
        </row>
        <row r="4016">
          <cell r="A4016">
            <v>2018</v>
          </cell>
          <cell r="T4016">
            <v>0</v>
          </cell>
          <cell r="U4016">
            <v>0</v>
          </cell>
        </row>
        <row r="4017">
          <cell r="A4017">
            <v>2019</v>
          </cell>
          <cell r="T4017">
            <v>0</v>
          </cell>
          <cell r="U4017">
            <v>0</v>
          </cell>
        </row>
        <row r="4018">
          <cell r="A4018">
            <v>2020</v>
          </cell>
          <cell r="T4018">
            <v>0</v>
          </cell>
          <cell r="U4018">
            <v>0</v>
          </cell>
        </row>
        <row r="4019">
          <cell r="A4019">
            <v>2021</v>
          </cell>
          <cell r="T4019">
            <v>0</v>
          </cell>
          <cell r="U4019">
            <v>0</v>
          </cell>
        </row>
        <row r="4020">
          <cell r="A4020">
            <v>2022</v>
          </cell>
          <cell r="T4020">
            <v>0</v>
          </cell>
          <cell r="U4020">
            <v>0</v>
          </cell>
        </row>
        <row r="4021">
          <cell r="A4021">
            <v>2023</v>
          </cell>
          <cell r="T4021">
            <v>0</v>
          </cell>
          <cell r="U4021">
            <v>0</v>
          </cell>
        </row>
        <row r="4022">
          <cell r="A4022">
            <v>2024</v>
          </cell>
          <cell r="T4022">
            <v>0</v>
          </cell>
          <cell r="U4022">
            <v>0</v>
          </cell>
        </row>
        <row r="4023">
          <cell r="A4023">
            <v>2025</v>
          </cell>
          <cell r="T4023">
            <v>0</v>
          </cell>
          <cell r="U4023">
            <v>0</v>
          </cell>
        </row>
        <row r="4024">
          <cell r="A4024">
            <v>2026</v>
          </cell>
          <cell r="T4024">
            <v>0</v>
          </cell>
          <cell r="U4024">
            <v>0</v>
          </cell>
        </row>
        <row r="4025">
          <cell r="A4025">
            <v>2027</v>
          </cell>
          <cell r="T4025">
            <v>0</v>
          </cell>
          <cell r="U4025">
            <v>0</v>
          </cell>
        </row>
        <row r="4026">
          <cell r="A4026">
            <v>2028</v>
          </cell>
          <cell r="T4026">
            <v>0</v>
          </cell>
          <cell r="U4026">
            <v>0</v>
          </cell>
        </row>
        <row r="4027">
          <cell r="A4027">
            <v>2029</v>
          </cell>
          <cell r="T4027">
            <v>0</v>
          </cell>
          <cell r="U4027">
            <v>0</v>
          </cell>
        </row>
        <row r="4028">
          <cell r="A4028">
            <v>2030</v>
          </cell>
          <cell r="T4028">
            <v>0</v>
          </cell>
          <cell r="U4028">
            <v>0</v>
          </cell>
        </row>
        <row r="4029">
          <cell r="A4029">
            <v>2031</v>
          </cell>
          <cell r="T4029">
            <v>0</v>
          </cell>
          <cell r="U4029">
            <v>0</v>
          </cell>
        </row>
        <row r="4030">
          <cell r="A4030">
            <v>2032</v>
          </cell>
          <cell r="T4030">
            <v>0</v>
          </cell>
          <cell r="U4030">
            <v>0</v>
          </cell>
        </row>
        <row r="4031">
          <cell r="A4031">
            <v>2033</v>
          </cell>
          <cell r="T4031">
            <v>0</v>
          </cell>
          <cell r="U4031">
            <v>0</v>
          </cell>
        </row>
        <row r="4032">
          <cell r="A4032">
            <v>2034</v>
          </cell>
          <cell r="T4032">
            <v>0</v>
          </cell>
          <cell r="U4032">
            <v>0</v>
          </cell>
        </row>
        <row r="4033">
          <cell r="A4033">
            <v>2035</v>
          </cell>
          <cell r="T4033">
            <v>0</v>
          </cell>
          <cell r="U4033">
            <v>0</v>
          </cell>
        </row>
        <row r="4034">
          <cell r="A4034">
            <v>2036</v>
          </cell>
          <cell r="T4034">
            <v>0</v>
          </cell>
          <cell r="U4034">
            <v>0</v>
          </cell>
        </row>
        <row r="4035">
          <cell r="A4035">
            <v>2037</v>
          </cell>
          <cell r="T4035">
            <v>0</v>
          </cell>
          <cell r="U4035">
            <v>0</v>
          </cell>
        </row>
        <row r="4036">
          <cell r="A4036">
            <v>2038</v>
          </cell>
          <cell r="T4036">
            <v>0</v>
          </cell>
          <cell r="U4036">
            <v>0</v>
          </cell>
        </row>
        <row r="4037">
          <cell r="A4037">
            <v>2039</v>
          </cell>
          <cell r="T4037">
            <v>0</v>
          </cell>
          <cell r="U4037">
            <v>0</v>
          </cell>
        </row>
        <row r="4038">
          <cell r="A4038">
            <v>2040</v>
          </cell>
          <cell r="T4038">
            <v>0</v>
          </cell>
          <cell r="U4038">
            <v>0</v>
          </cell>
        </row>
        <row r="4039">
          <cell r="A4039">
            <v>2041</v>
          </cell>
          <cell r="T4039">
            <v>0</v>
          </cell>
          <cell r="U4039">
            <v>0</v>
          </cell>
        </row>
        <row r="4040">
          <cell r="A4040">
            <v>2042</v>
          </cell>
          <cell r="T4040">
            <v>0</v>
          </cell>
          <cell r="U4040">
            <v>0</v>
          </cell>
        </row>
        <row r="4041">
          <cell r="A4041">
            <v>2043</v>
          </cell>
          <cell r="T4041">
            <v>0</v>
          </cell>
          <cell r="U4041">
            <v>0</v>
          </cell>
        </row>
        <row r="4042">
          <cell r="A4042">
            <v>2044</v>
          </cell>
          <cell r="T4042">
            <v>0</v>
          </cell>
          <cell r="U4042">
            <v>0</v>
          </cell>
        </row>
        <row r="4043">
          <cell r="A4043">
            <v>2045</v>
          </cell>
          <cell r="T4043">
            <v>0</v>
          </cell>
          <cell r="U4043">
            <v>0</v>
          </cell>
        </row>
        <row r="4044">
          <cell r="A4044">
            <v>2046</v>
          </cell>
          <cell r="T4044">
            <v>0</v>
          </cell>
          <cell r="U4044">
            <v>0</v>
          </cell>
        </row>
        <row r="4045">
          <cell r="A4045">
            <v>2047</v>
          </cell>
          <cell r="T4045">
            <v>0</v>
          </cell>
          <cell r="U4045">
            <v>0</v>
          </cell>
        </row>
        <row r="4046">
          <cell r="A4046">
            <v>2048</v>
          </cell>
          <cell r="T4046">
            <v>0</v>
          </cell>
          <cell r="U4046">
            <v>0</v>
          </cell>
        </row>
        <row r="4047">
          <cell r="A4047">
            <v>2049</v>
          </cell>
          <cell r="T4047">
            <v>0</v>
          </cell>
          <cell r="U4047">
            <v>0</v>
          </cell>
        </row>
        <row r="4048">
          <cell r="A4048">
            <v>2050</v>
          </cell>
          <cell r="T4048">
            <v>0</v>
          </cell>
          <cell r="U4048">
            <v>0</v>
          </cell>
        </row>
        <row r="4049">
          <cell r="A4049">
            <v>2051</v>
          </cell>
          <cell r="T4049">
            <v>0</v>
          </cell>
          <cell r="U4049">
            <v>0</v>
          </cell>
        </row>
        <row r="4050">
          <cell r="A4050">
            <v>2052</v>
          </cell>
          <cell r="T4050">
            <v>0</v>
          </cell>
          <cell r="U4050">
            <v>0</v>
          </cell>
        </row>
        <row r="4051">
          <cell r="A4051">
            <v>2053</v>
          </cell>
          <cell r="T4051">
            <v>0</v>
          </cell>
          <cell r="U4051">
            <v>0</v>
          </cell>
        </row>
        <row r="4052">
          <cell r="A4052">
            <v>2054</v>
          </cell>
          <cell r="T4052">
            <v>0</v>
          </cell>
          <cell r="U4052">
            <v>0</v>
          </cell>
        </row>
        <row r="4053">
          <cell r="A4053">
            <v>2055</v>
          </cell>
          <cell r="T4053">
            <v>0</v>
          </cell>
          <cell r="U4053">
            <v>0</v>
          </cell>
        </row>
        <row r="4054">
          <cell r="A4054">
            <v>2056</v>
          </cell>
          <cell r="T4054">
            <v>0</v>
          </cell>
          <cell r="U4054">
            <v>0</v>
          </cell>
        </row>
        <row r="4055">
          <cell r="A4055">
            <v>2057</v>
          </cell>
          <cell r="T4055">
            <v>0</v>
          </cell>
          <cell r="U4055">
            <v>0</v>
          </cell>
        </row>
        <row r="4056">
          <cell r="A4056">
            <v>2058</v>
          </cell>
          <cell r="T4056">
            <v>0</v>
          </cell>
          <cell r="U4056">
            <v>0</v>
          </cell>
        </row>
        <row r="4057">
          <cell r="A4057">
            <v>2059</v>
          </cell>
          <cell r="T4057">
            <v>0</v>
          </cell>
          <cell r="U4057">
            <v>0</v>
          </cell>
        </row>
        <row r="4058">
          <cell r="A4058">
            <v>2060</v>
          </cell>
          <cell r="T4058">
            <v>0</v>
          </cell>
          <cell r="U4058">
            <v>0</v>
          </cell>
        </row>
        <row r="4059">
          <cell r="A4059">
            <v>2061</v>
          </cell>
          <cell r="T4059">
            <v>0</v>
          </cell>
          <cell r="U4059">
            <v>0</v>
          </cell>
        </row>
        <row r="4060">
          <cell r="A4060">
            <v>2062</v>
          </cell>
          <cell r="T4060">
            <v>0</v>
          </cell>
          <cell r="U4060">
            <v>0</v>
          </cell>
        </row>
        <row r="4061">
          <cell r="A4061">
            <v>2063</v>
          </cell>
          <cell r="T4061">
            <v>0</v>
          </cell>
          <cell r="U4061">
            <v>0</v>
          </cell>
        </row>
        <row r="4062">
          <cell r="A4062">
            <v>2064</v>
          </cell>
          <cell r="T4062">
            <v>0</v>
          </cell>
          <cell r="U4062">
            <v>0</v>
          </cell>
        </row>
        <row r="4063">
          <cell r="A4063">
            <v>2065</v>
          </cell>
          <cell r="T4063">
            <v>0</v>
          </cell>
          <cell r="U4063">
            <v>0</v>
          </cell>
        </row>
        <row r="4064">
          <cell r="A4064">
            <v>2066</v>
          </cell>
          <cell r="T4064">
            <v>0</v>
          </cell>
          <cell r="U4064">
            <v>0</v>
          </cell>
        </row>
        <row r="4065">
          <cell r="A4065">
            <v>2067</v>
          </cell>
          <cell r="T4065">
            <v>0</v>
          </cell>
          <cell r="U4065">
            <v>0</v>
          </cell>
        </row>
        <row r="4066">
          <cell r="A4066">
            <v>2068</v>
          </cell>
          <cell r="T4066">
            <v>0</v>
          </cell>
          <cell r="U4066">
            <v>0</v>
          </cell>
        </row>
        <row r="4067">
          <cell r="A4067">
            <v>2069</v>
          </cell>
          <cell r="T4067">
            <v>0</v>
          </cell>
          <cell r="U4067">
            <v>0</v>
          </cell>
        </row>
        <row r="4068">
          <cell r="A4068">
            <v>2070</v>
          </cell>
          <cell r="T4068">
            <v>0</v>
          </cell>
          <cell r="U4068">
            <v>0</v>
          </cell>
        </row>
        <row r="4069">
          <cell r="A4069">
            <v>2071</v>
          </cell>
          <cell r="T4069">
            <v>0</v>
          </cell>
          <cell r="U4069">
            <v>0</v>
          </cell>
        </row>
        <row r="4070">
          <cell r="A4070">
            <v>2072</v>
          </cell>
          <cell r="T4070">
            <v>0</v>
          </cell>
          <cell r="U4070">
            <v>0</v>
          </cell>
        </row>
        <row r="4071">
          <cell r="A4071">
            <v>2073</v>
          </cell>
          <cell r="T4071">
            <v>0</v>
          </cell>
          <cell r="U4071">
            <v>0</v>
          </cell>
        </row>
        <row r="4072">
          <cell r="A4072">
            <v>2074</v>
          </cell>
          <cell r="T4072">
            <v>0</v>
          </cell>
          <cell r="U4072">
            <v>0</v>
          </cell>
        </row>
        <row r="4073">
          <cell r="A4073">
            <v>2075</v>
          </cell>
          <cell r="T4073">
            <v>0</v>
          </cell>
          <cell r="U4073">
            <v>0</v>
          </cell>
        </row>
        <row r="4074">
          <cell r="A4074">
            <v>2076</v>
          </cell>
          <cell r="T4074">
            <v>0</v>
          </cell>
          <cell r="U4074">
            <v>0</v>
          </cell>
        </row>
        <row r="4075">
          <cell r="A4075">
            <v>2077</v>
          </cell>
          <cell r="T4075">
            <v>0</v>
          </cell>
          <cell r="U4075">
            <v>0</v>
          </cell>
        </row>
        <row r="4076">
          <cell r="A4076">
            <v>2078</v>
          </cell>
          <cell r="T4076">
            <v>0</v>
          </cell>
          <cell r="U4076">
            <v>0</v>
          </cell>
        </row>
        <row r="4077">
          <cell r="A4077">
            <v>2079</v>
          </cell>
          <cell r="T4077">
            <v>0</v>
          </cell>
          <cell r="U4077">
            <v>0</v>
          </cell>
        </row>
        <row r="4078">
          <cell r="A4078">
            <v>2080</v>
          </cell>
          <cell r="T4078">
            <v>0</v>
          </cell>
          <cell r="U4078">
            <v>0</v>
          </cell>
        </row>
        <row r="4079">
          <cell r="A4079">
            <v>2081</v>
          </cell>
          <cell r="T4079">
            <v>0</v>
          </cell>
          <cell r="U4079">
            <v>0</v>
          </cell>
        </row>
        <row r="4080">
          <cell r="A4080">
            <v>2082</v>
          </cell>
          <cell r="T4080">
            <v>0</v>
          </cell>
          <cell r="U4080">
            <v>0</v>
          </cell>
        </row>
        <row r="4081">
          <cell r="A4081">
            <v>2083</v>
          </cell>
          <cell r="T4081">
            <v>0</v>
          </cell>
          <cell r="U4081">
            <v>0</v>
          </cell>
        </row>
        <row r="4082">
          <cell r="A4082">
            <v>2084</v>
          </cell>
          <cell r="T4082">
            <v>0</v>
          </cell>
          <cell r="U4082">
            <v>0</v>
          </cell>
        </row>
        <row r="4083">
          <cell r="A4083">
            <v>2085</v>
          </cell>
          <cell r="T4083">
            <v>0</v>
          </cell>
          <cell r="U4083">
            <v>0</v>
          </cell>
        </row>
        <row r="4084">
          <cell r="A4084">
            <v>2086</v>
          </cell>
          <cell r="T4084">
            <v>0</v>
          </cell>
          <cell r="U4084">
            <v>0</v>
          </cell>
        </row>
        <row r="4085">
          <cell r="A4085">
            <v>2087</v>
          </cell>
          <cell r="T4085">
            <v>0</v>
          </cell>
          <cell r="U4085">
            <v>0</v>
          </cell>
        </row>
        <row r="4086">
          <cell r="A4086">
            <v>2088</v>
          </cell>
          <cell r="T4086">
            <v>0</v>
          </cell>
          <cell r="U4086">
            <v>0</v>
          </cell>
        </row>
        <row r="4087">
          <cell r="A4087">
            <v>2089</v>
          </cell>
          <cell r="T4087">
            <v>0</v>
          </cell>
          <cell r="U4087">
            <v>0</v>
          </cell>
        </row>
        <row r="4088">
          <cell r="A4088">
            <v>2090</v>
          </cell>
          <cell r="T4088">
            <v>0</v>
          </cell>
          <cell r="U4088">
            <v>0</v>
          </cell>
        </row>
        <row r="4089">
          <cell r="A4089">
            <v>2091</v>
          </cell>
          <cell r="T4089">
            <v>0</v>
          </cell>
          <cell r="U4089">
            <v>0</v>
          </cell>
        </row>
        <row r="4090">
          <cell r="A4090">
            <v>2092</v>
          </cell>
          <cell r="T4090">
            <v>0</v>
          </cell>
          <cell r="U4090">
            <v>0</v>
          </cell>
        </row>
        <row r="4091">
          <cell r="A4091">
            <v>2093</v>
          </cell>
          <cell r="T4091">
            <v>0</v>
          </cell>
          <cell r="U4091">
            <v>0</v>
          </cell>
        </row>
        <row r="4092">
          <cell r="A4092">
            <v>2094</v>
          </cell>
          <cell r="T4092">
            <v>0</v>
          </cell>
          <cell r="U4092">
            <v>0</v>
          </cell>
        </row>
        <row r="4093">
          <cell r="A4093">
            <v>2095</v>
          </cell>
          <cell r="T4093">
            <v>0</v>
          </cell>
          <cell r="U4093">
            <v>0</v>
          </cell>
        </row>
        <row r="4094">
          <cell r="A4094">
            <v>2096</v>
          </cell>
          <cell r="T4094">
            <v>0</v>
          </cell>
          <cell r="U4094">
            <v>0</v>
          </cell>
        </row>
        <row r="4095">
          <cell r="A4095">
            <v>2097</v>
          </cell>
          <cell r="T4095">
            <v>0</v>
          </cell>
          <cell r="U4095">
            <v>0</v>
          </cell>
        </row>
        <row r="4096">
          <cell r="A4096">
            <v>2098</v>
          </cell>
          <cell r="T4096">
            <v>0</v>
          </cell>
          <cell r="U4096">
            <v>0</v>
          </cell>
        </row>
        <row r="4097">
          <cell r="A4097">
            <v>2099</v>
          </cell>
          <cell r="T4097">
            <v>0</v>
          </cell>
          <cell r="U4097">
            <v>0</v>
          </cell>
        </row>
        <row r="4098">
          <cell r="A4098">
            <v>2100</v>
          </cell>
          <cell r="T4098">
            <v>0</v>
          </cell>
          <cell r="U4098">
            <v>0</v>
          </cell>
        </row>
        <row r="4099">
          <cell r="A4099">
            <v>2101</v>
          </cell>
          <cell r="T4099">
            <v>0</v>
          </cell>
          <cell r="U4099">
            <v>0</v>
          </cell>
        </row>
        <row r="4100">
          <cell r="A4100">
            <v>2102</v>
          </cell>
          <cell r="T4100">
            <v>0</v>
          </cell>
          <cell r="U4100">
            <v>0</v>
          </cell>
        </row>
        <row r="4101">
          <cell r="A4101">
            <v>2103</v>
          </cell>
          <cell r="T4101">
            <v>0</v>
          </cell>
          <cell r="U4101">
            <v>0</v>
          </cell>
        </row>
        <row r="4102">
          <cell r="A4102">
            <v>2104</v>
          </cell>
          <cell r="T4102">
            <v>0</v>
          </cell>
          <cell r="U4102">
            <v>0</v>
          </cell>
        </row>
        <row r="4103">
          <cell r="A4103">
            <v>2105</v>
          </cell>
          <cell r="T4103">
            <v>0</v>
          </cell>
          <cell r="U4103">
            <v>0</v>
          </cell>
        </row>
        <row r="4104">
          <cell r="A4104">
            <v>2106</v>
          </cell>
          <cell r="T4104">
            <v>0</v>
          </cell>
          <cell r="U4104">
            <v>0</v>
          </cell>
        </row>
        <row r="4105">
          <cell r="A4105">
            <v>2107</v>
          </cell>
          <cell r="T4105">
            <v>0</v>
          </cell>
          <cell r="U4105">
            <v>0</v>
          </cell>
        </row>
        <row r="4106">
          <cell r="A4106">
            <v>2108</v>
          </cell>
          <cell r="T4106">
            <v>0</v>
          </cell>
          <cell r="U4106">
            <v>0</v>
          </cell>
        </row>
        <row r="4107">
          <cell r="A4107">
            <v>2109</v>
          </cell>
          <cell r="T4107">
            <v>0</v>
          </cell>
          <cell r="U4107">
            <v>0</v>
          </cell>
        </row>
        <row r="4108">
          <cell r="A4108">
            <v>2110</v>
          </cell>
          <cell r="T4108">
            <v>0</v>
          </cell>
          <cell r="U4108">
            <v>0</v>
          </cell>
        </row>
        <row r="4109">
          <cell r="A4109">
            <v>2111</v>
          </cell>
          <cell r="T4109">
            <v>0</v>
          </cell>
          <cell r="U4109">
            <v>0</v>
          </cell>
        </row>
        <row r="4110">
          <cell r="A4110">
            <v>2112</v>
          </cell>
          <cell r="T4110">
            <v>0</v>
          </cell>
          <cell r="U4110">
            <v>0</v>
          </cell>
        </row>
        <row r="4111">
          <cell r="A4111">
            <v>2113</v>
          </cell>
          <cell r="T4111">
            <v>0</v>
          </cell>
          <cell r="U4111">
            <v>0</v>
          </cell>
        </row>
        <row r="4112">
          <cell r="A4112">
            <v>2220</v>
          </cell>
          <cell r="T4112">
            <v>0</v>
          </cell>
          <cell r="U4112">
            <v>0</v>
          </cell>
        </row>
        <row r="4113">
          <cell r="A4113">
            <v>2221</v>
          </cell>
          <cell r="T4113">
            <v>0</v>
          </cell>
          <cell r="U4113">
            <v>0</v>
          </cell>
        </row>
        <row r="4114">
          <cell r="A4114">
            <v>2222</v>
          </cell>
          <cell r="T4114">
            <v>0</v>
          </cell>
          <cell r="U4114">
            <v>0</v>
          </cell>
        </row>
        <row r="4115">
          <cell r="A4115">
            <v>2223</v>
          </cell>
          <cell r="T4115">
            <v>0</v>
          </cell>
          <cell r="U4115">
            <v>0</v>
          </cell>
        </row>
        <row r="4116">
          <cell r="A4116">
            <v>2224</v>
          </cell>
          <cell r="T4116">
            <v>0</v>
          </cell>
          <cell r="U4116">
            <v>0</v>
          </cell>
        </row>
        <row r="4117">
          <cell r="A4117">
            <v>1031</v>
          </cell>
          <cell r="T4117">
            <v>0</v>
          </cell>
          <cell r="U4117">
            <v>0</v>
          </cell>
        </row>
        <row r="4118">
          <cell r="A4118">
            <v>1032</v>
          </cell>
          <cell r="T4118">
            <v>0</v>
          </cell>
          <cell r="U4118">
            <v>0</v>
          </cell>
        </row>
        <row r="4119">
          <cell r="A4119">
            <v>1033</v>
          </cell>
          <cell r="T4119">
            <v>0</v>
          </cell>
          <cell r="U4119">
            <v>0</v>
          </cell>
        </row>
        <row r="4120">
          <cell r="A4120">
            <v>1034</v>
          </cell>
          <cell r="T4120">
            <v>0</v>
          </cell>
          <cell r="U4120">
            <v>0</v>
          </cell>
        </row>
        <row r="4121">
          <cell r="A4121">
            <v>1035</v>
          </cell>
          <cell r="T4121">
            <v>0</v>
          </cell>
          <cell r="U4121">
            <v>0</v>
          </cell>
        </row>
        <row r="4122">
          <cell r="A4122">
            <v>1036</v>
          </cell>
          <cell r="T4122">
            <v>0</v>
          </cell>
          <cell r="U4122">
            <v>0</v>
          </cell>
        </row>
        <row r="4123">
          <cell r="A4123">
            <v>1037</v>
          </cell>
          <cell r="T4123">
            <v>0</v>
          </cell>
          <cell r="U4123">
            <v>0</v>
          </cell>
        </row>
        <row r="4124">
          <cell r="A4124">
            <v>1038</v>
          </cell>
          <cell r="T4124">
            <v>0</v>
          </cell>
          <cell r="U4124">
            <v>0</v>
          </cell>
        </row>
        <row r="4125">
          <cell r="A4125">
            <v>1039</v>
          </cell>
          <cell r="T4125">
            <v>0</v>
          </cell>
          <cell r="U4125">
            <v>0</v>
          </cell>
        </row>
        <row r="4126">
          <cell r="A4126">
            <v>1040</v>
          </cell>
          <cell r="T4126">
            <v>0</v>
          </cell>
          <cell r="U4126">
            <v>0</v>
          </cell>
        </row>
        <row r="4127">
          <cell r="A4127">
            <v>1041</v>
          </cell>
          <cell r="T4127">
            <v>0</v>
          </cell>
          <cell r="U4127">
            <v>0</v>
          </cell>
        </row>
        <row r="4128">
          <cell r="A4128">
            <v>1042</v>
          </cell>
          <cell r="T4128">
            <v>0</v>
          </cell>
          <cell r="U4128">
            <v>0</v>
          </cell>
        </row>
        <row r="4129">
          <cell r="A4129">
            <v>1043</v>
          </cell>
          <cell r="T4129">
            <v>0</v>
          </cell>
          <cell r="U4129">
            <v>0</v>
          </cell>
        </row>
        <row r="4130">
          <cell r="A4130">
            <v>1044</v>
          </cell>
          <cell r="T4130">
            <v>0</v>
          </cell>
          <cell r="U4130">
            <v>0</v>
          </cell>
        </row>
        <row r="4131">
          <cell r="A4131">
            <v>1045</v>
          </cell>
          <cell r="T4131">
            <v>0</v>
          </cell>
          <cell r="U4131">
            <v>0</v>
          </cell>
        </row>
        <row r="4132">
          <cell r="A4132">
            <v>1046</v>
          </cell>
          <cell r="T4132">
            <v>0</v>
          </cell>
          <cell r="U4132">
            <v>0</v>
          </cell>
        </row>
        <row r="4133">
          <cell r="A4133">
            <v>1047</v>
          </cell>
          <cell r="T4133">
            <v>0</v>
          </cell>
          <cell r="U4133">
            <v>0</v>
          </cell>
        </row>
        <row r="4134">
          <cell r="A4134">
            <v>1048</v>
          </cell>
          <cell r="T4134">
            <v>0</v>
          </cell>
          <cell r="U4134">
            <v>0</v>
          </cell>
        </row>
        <row r="4135">
          <cell r="A4135">
            <v>1049</v>
          </cell>
          <cell r="T4135">
            <v>0</v>
          </cell>
          <cell r="U4135">
            <v>0</v>
          </cell>
        </row>
        <row r="4136">
          <cell r="A4136">
            <v>1050</v>
          </cell>
          <cell r="T4136">
            <v>0</v>
          </cell>
          <cell r="U4136">
            <v>0</v>
          </cell>
        </row>
        <row r="4137">
          <cell r="A4137">
            <v>2114</v>
          </cell>
          <cell r="T4137">
            <v>0</v>
          </cell>
          <cell r="U4137">
            <v>0</v>
          </cell>
        </row>
        <row r="4138">
          <cell r="A4138">
            <v>2115</v>
          </cell>
          <cell r="T4138">
            <v>0</v>
          </cell>
          <cell r="U4138">
            <v>0</v>
          </cell>
        </row>
        <row r="4139">
          <cell r="A4139">
            <v>2116</v>
          </cell>
          <cell r="T4139">
            <v>0</v>
          </cell>
          <cell r="U4139">
            <v>0</v>
          </cell>
        </row>
        <row r="4140">
          <cell r="A4140">
            <v>2117</v>
          </cell>
          <cell r="T4140">
            <v>0</v>
          </cell>
          <cell r="U4140">
            <v>0</v>
          </cell>
        </row>
        <row r="4141">
          <cell r="A4141">
            <v>2118</v>
          </cell>
          <cell r="T4141">
            <v>0</v>
          </cell>
          <cell r="U4141">
            <v>0</v>
          </cell>
        </row>
        <row r="4142">
          <cell r="A4142">
            <v>2119</v>
          </cell>
          <cell r="T4142" t="str">
            <v>change_name</v>
          </cell>
          <cell r="U4142">
            <v>0</v>
          </cell>
        </row>
        <row r="4143">
          <cell r="A4143">
            <v>2120</v>
          </cell>
          <cell r="T4143" t="str">
            <v>reduce_fatigue</v>
          </cell>
          <cell r="U4143">
            <v>1000</v>
          </cell>
        </row>
        <row r="4144">
          <cell r="A4144">
            <v>1000110</v>
          </cell>
          <cell r="T4144">
            <v>0</v>
          </cell>
          <cell r="U4144">
            <v>0</v>
          </cell>
        </row>
        <row r="4145">
          <cell r="A4145">
            <v>1000120</v>
          </cell>
          <cell r="T4145">
            <v>0</v>
          </cell>
          <cell r="U4145">
            <v>0</v>
          </cell>
        </row>
        <row r="4146">
          <cell r="A4146">
            <v>1000130</v>
          </cell>
          <cell r="T4146">
            <v>0</v>
          </cell>
          <cell r="U4146">
            <v>0</v>
          </cell>
        </row>
        <row r="4147">
          <cell r="A4147">
            <v>1000240</v>
          </cell>
          <cell r="T4147">
            <v>0</v>
          </cell>
          <cell r="U4147">
            <v>0</v>
          </cell>
        </row>
        <row r="4148">
          <cell r="A4148">
            <v>1000250</v>
          </cell>
          <cell r="T4148">
            <v>0</v>
          </cell>
          <cell r="U4148">
            <v>0</v>
          </cell>
        </row>
        <row r="4149">
          <cell r="A4149">
            <v>1000260</v>
          </cell>
          <cell r="T4149">
            <v>0</v>
          </cell>
          <cell r="U4149">
            <v>0</v>
          </cell>
        </row>
        <row r="4150">
          <cell r="A4150">
            <v>1000370</v>
          </cell>
          <cell r="T4150">
            <v>0</v>
          </cell>
          <cell r="U4150">
            <v>0</v>
          </cell>
        </row>
        <row r="4151">
          <cell r="A4151">
            <v>1000380</v>
          </cell>
          <cell r="T4151">
            <v>0</v>
          </cell>
          <cell r="U4151">
            <v>0</v>
          </cell>
        </row>
        <row r="4152">
          <cell r="A4152">
            <v>1000390</v>
          </cell>
          <cell r="T4152">
            <v>0</v>
          </cell>
          <cell r="U4152">
            <v>0</v>
          </cell>
        </row>
        <row r="4153">
          <cell r="A4153">
            <v>1000500</v>
          </cell>
          <cell r="T4153">
            <v>0</v>
          </cell>
          <cell r="U4153">
            <v>0</v>
          </cell>
        </row>
        <row r="4154">
          <cell r="A4154">
            <v>1000510</v>
          </cell>
          <cell r="T4154">
            <v>0</v>
          </cell>
          <cell r="U4154">
            <v>0</v>
          </cell>
        </row>
        <row r="4155">
          <cell r="A4155">
            <v>1000520</v>
          </cell>
          <cell r="T4155">
            <v>0</v>
          </cell>
          <cell r="U4155">
            <v>0</v>
          </cell>
        </row>
        <row r="4156">
          <cell r="A4156">
            <v>1000630</v>
          </cell>
          <cell r="T4156">
            <v>0</v>
          </cell>
          <cell r="U4156">
            <v>0</v>
          </cell>
        </row>
        <row r="4157">
          <cell r="A4157">
            <v>1000640</v>
          </cell>
          <cell r="T4157">
            <v>0</v>
          </cell>
          <cell r="U4157">
            <v>0</v>
          </cell>
        </row>
        <row r="4158">
          <cell r="A4158">
            <v>1000650</v>
          </cell>
          <cell r="T4158">
            <v>0</v>
          </cell>
          <cell r="U4158">
            <v>0</v>
          </cell>
        </row>
        <row r="4159">
          <cell r="A4159">
            <v>1000760</v>
          </cell>
          <cell r="T4159">
            <v>0</v>
          </cell>
          <cell r="U4159">
            <v>0</v>
          </cell>
        </row>
        <row r="4160">
          <cell r="A4160">
            <v>1000770</v>
          </cell>
          <cell r="T4160">
            <v>0</v>
          </cell>
          <cell r="U4160">
            <v>0</v>
          </cell>
        </row>
        <row r="4161">
          <cell r="A4161">
            <v>1000780</v>
          </cell>
          <cell r="T4161">
            <v>0</v>
          </cell>
          <cell r="U4161">
            <v>0</v>
          </cell>
        </row>
        <row r="4162">
          <cell r="A4162">
            <v>1000890</v>
          </cell>
          <cell r="T4162">
            <v>0</v>
          </cell>
          <cell r="U4162">
            <v>0</v>
          </cell>
        </row>
        <row r="4163">
          <cell r="A4163">
            <v>1000900</v>
          </cell>
          <cell r="T4163">
            <v>0</v>
          </cell>
          <cell r="U4163">
            <v>0</v>
          </cell>
        </row>
        <row r="4164">
          <cell r="A4164">
            <v>1000910</v>
          </cell>
          <cell r="T4164">
            <v>0</v>
          </cell>
          <cell r="U4164">
            <v>0</v>
          </cell>
        </row>
        <row r="4165">
          <cell r="A4165">
            <v>1001020</v>
          </cell>
          <cell r="T4165">
            <v>0</v>
          </cell>
          <cell r="U4165">
            <v>0</v>
          </cell>
        </row>
        <row r="4166">
          <cell r="A4166">
            <v>1001030</v>
          </cell>
          <cell r="T4166">
            <v>0</v>
          </cell>
          <cell r="U4166">
            <v>0</v>
          </cell>
        </row>
        <row r="4167">
          <cell r="A4167">
            <v>1001040</v>
          </cell>
          <cell r="T4167">
            <v>0</v>
          </cell>
          <cell r="U4167">
            <v>0</v>
          </cell>
        </row>
        <row r="4168">
          <cell r="A4168">
            <v>1001150</v>
          </cell>
          <cell r="T4168">
            <v>0</v>
          </cell>
          <cell r="U4168">
            <v>0</v>
          </cell>
        </row>
        <row r="4169">
          <cell r="A4169">
            <v>1001160</v>
          </cell>
          <cell r="T4169">
            <v>0</v>
          </cell>
          <cell r="U4169">
            <v>0</v>
          </cell>
        </row>
        <row r="4170">
          <cell r="A4170">
            <v>1001170</v>
          </cell>
          <cell r="T4170">
            <v>0</v>
          </cell>
          <cell r="U4170">
            <v>0</v>
          </cell>
        </row>
        <row r="4171">
          <cell r="A4171">
            <v>1001280</v>
          </cell>
          <cell r="T4171">
            <v>0</v>
          </cell>
          <cell r="U4171">
            <v>0</v>
          </cell>
        </row>
        <row r="4172">
          <cell r="A4172">
            <v>1001290</v>
          </cell>
          <cell r="T4172">
            <v>0</v>
          </cell>
          <cell r="U4172">
            <v>0</v>
          </cell>
        </row>
        <row r="4173">
          <cell r="A4173">
            <v>1001300</v>
          </cell>
          <cell r="T4173">
            <v>0</v>
          </cell>
          <cell r="U4173">
            <v>0</v>
          </cell>
        </row>
        <row r="4174">
          <cell r="A4174">
            <v>20008</v>
          </cell>
          <cell r="T4174">
            <v>0</v>
          </cell>
          <cell r="U4174">
            <v>0</v>
          </cell>
        </row>
        <row r="4175">
          <cell r="A4175">
            <v>20009</v>
          </cell>
          <cell r="T4175">
            <v>0</v>
          </cell>
          <cell r="U4175">
            <v>0</v>
          </cell>
        </row>
        <row r="4176">
          <cell r="A4176">
            <v>20010</v>
          </cell>
          <cell r="T4176">
            <v>0</v>
          </cell>
          <cell r="U4176">
            <v>0</v>
          </cell>
        </row>
        <row r="4177">
          <cell r="A4177">
            <v>20011</v>
          </cell>
          <cell r="T4177">
            <v>0</v>
          </cell>
          <cell r="U4177">
            <v>0</v>
          </cell>
        </row>
        <row r="4178">
          <cell r="A4178">
            <v>20012</v>
          </cell>
          <cell r="T4178">
            <v>0</v>
          </cell>
          <cell r="U4178">
            <v>0</v>
          </cell>
        </row>
        <row r="4179">
          <cell r="A4179">
            <v>170010</v>
          </cell>
          <cell r="T4179" t="str">
            <v>add_title</v>
          </cell>
          <cell r="U4179">
            <v>1</v>
          </cell>
        </row>
        <row r="4180">
          <cell r="A4180">
            <v>170011</v>
          </cell>
          <cell r="T4180" t="str">
            <v>add_title</v>
          </cell>
          <cell r="U4180">
            <v>2</v>
          </cell>
        </row>
        <row r="4181">
          <cell r="A4181">
            <v>170012</v>
          </cell>
          <cell r="T4181" t="str">
            <v>add_title</v>
          </cell>
          <cell r="U4181">
            <v>3</v>
          </cell>
        </row>
        <row r="4182">
          <cell r="A4182">
            <v>170013</v>
          </cell>
          <cell r="T4182" t="str">
            <v>add_title</v>
          </cell>
          <cell r="U4182">
            <v>4</v>
          </cell>
        </row>
        <row r="4183">
          <cell r="A4183">
            <v>170014</v>
          </cell>
          <cell r="T4183" t="str">
            <v>add_title</v>
          </cell>
          <cell r="U4183">
            <v>5</v>
          </cell>
        </row>
        <row r="4184">
          <cell r="A4184">
            <v>170015</v>
          </cell>
          <cell r="T4184" t="str">
            <v>add_title</v>
          </cell>
          <cell r="U4184">
            <v>6</v>
          </cell>
        </row>
        <row r="4185">
          <cell r="A4185">
            <v>170016</v>
          </cell>
          <cell r="T4185" t="str">
            <v>add_title</v>
          </cell>
          <cell r="U4185">
            <v>7</v>
          </cell>
        </row>
        <row r="4186">
          <cell r="A4186">
            <v>170017</v>
          </cell>
          <cell r="T4186" t="str">
            <v>add_title</v>
          </cell>
          <cell r="U4186">
            <v>12</v>
          </cell>
        </row>
        <row r="4187">
          <cell r="A4187">
            <v>170018</v>
          </cell>
          <cell r="T4187" t="str">
            <v>add_title</v>
          </cell>
          <cell r="U4187">
            <v>13</v>
          </cell>
        </row>
        <row r="4188">
          <cell r="A4188">
            <v>170019</v>
          </cell>
          <cell r="T4188" t="str">
            <v>add_title</v>
          </cell>
          <cell r="U4188">
            <v>14</v>
          </cell>
        </row>
        <row r="4189">
          <cell r="A4189">
            <v>170020</v>
          </cell>
          <cell r="T4189" t="str">
            <v>add_title</v>
          </cell>
          <cell r="U4189">
            <v>15</v>
          </cell>
        </row>
        <row r="4190">
          <cell r="A4190">
            <v>170021</v>
          </cell>
          <cell r="T4190" t="str">
            <v>add_title</v>
          </cell>
          <cell r="U4190">
            <v>16</v>
          </cell>
        </row>
        <row r="4191">
          <cell r="A4191">
            <v>170022</v>
          </cell>
          <cell r="T4191" t="str">
            <v>add_title</v>
          </cell>
          <cell r="U4191">
            <v>17</v>
          </cell>
        </row>
        <row r="4192">
          <cell r="A4192">
            <v>170023</v>
          </cell>
          <cell r="T4192" t="str">
            <v>add_title</v>
          </cell>
          <cell r="U4192">
            <v>18</v>
          </cell>
        </row>
        <row r="4193">
          <cell r="A4193">
            <v>170024</v>
          </cell>
          <cell r="T4193" t="str">
            <v>add_title</v>
          </cell>
          <cell r="U4193">
            <v>19</v>
          </cell>
        </row>
        <row r="4194">
          <cell r="A4194">
            <v>170025</v>
          </cell>
          <cell r="T4194" t="str">
            <v>add_title</v>
          </cell>
          <cell r="U4194">
            <v>20</v>
          </cell>
        </row>
        <row r="4195">
          <cell r="A4195">
            <v>170026</v>
          </cell>
          <cell r="T4195" t="str">
            <v>add_title</v>
          </cell>
          <cell r="U4195">
            <v>21</v>
          </cell>
        </row>
        <row r="4196">
          <cell r="A4196">
            <v>170027</v>
          </cell>
          <cell r="T4196" t="str">
            <v>add_title</v>
          </cell>
          <cell r="U4196">
            <v>22</v>
          </cell>
        </row>
        <row r="4197">
          <cell r="A4197">
            <v>170028</v>
          </cell>
          <cell r="T4197" t="str">
            <v>add_title</v>
          </cell>
          <cell r="U4197">
            <v>23</v>
          </cell>
        </row>
        <row r="4198">
          <cell r="A4198">
            <v>170029</v>
          </cell>
          <cell r="T4198" t="str">
            <v>add_title</v>
          </cell>
          <cell r="U4198">
            <v>24</v>
          </cell>
        </row>
        <row r="4199">
          <cell r="A4199">
            <v>170030</v>
          </cell>
          <cell r="T4199" t="str">
            <v>add_title</v>
          </cell>
          <cell r="U4199">
            <v>25</v>
          </cell>
        </row>
        <row r="4200">
          <cell r="A4200">
            <v>170031</v>
          </cell>
          <cell r="T4200" t="str">
            <v>add_title</v>
          </cell>
          <cell r="U4200">
            <v>26</v>
          </cell>
        </row>
        <row r="4201">
          <cell r="A4201">
            <v>170032</v>
          </cell>
          <cell r="T4201" t="str">
            <v>add_title</v>
          </cell>
          <cell r="U4201">
            <v>27</v>
          </cell>
        </row>
        <row r="4202">
          <cell r="A4202">
            <v>170033</v>
          </cell>
          <cell r="T4202" t="str">
            <v>add_title</v>
          </cell>
          <cell r="U4202">
            <v>28</v>
          </cell>
        </row>
        <row r="4203">
          <cell r="A4203">
            <v>170034</v>
          </cell>
          <cell r="T4203" t="str">
            <v>add_title</v>
          </cell>
          <cell r="U4203">
            <v>29</v>
          </cell>
        </row>
        <row r="4204">
          <cell r="A4204">
            <v>170035</v>
          </cell>
          <cell r="T4204" t="str">
            <v>add_title</v>
          </cell>
          <cell r="U4204">
            <v>30</v>
          </cell>
        </row>
        <row r="4205">
          <cell r="A4205">
            <v>170036</v>
          </cell>
          <cell r="T4205" t="str">
            <v>add_title</v>
          </cell>
          <cell r="U4205">
            <v>31</v>
          </cell>
        </row>
        <row r="4206">
          <cell r="A4206">
            <v>170037</v>
          </cell>
          <cell r="T4206" t="str">
            <v>add_title</v>
          </cell>
          <cell r="U4206">
            <v>32</v>
          </cell>
        </row>
        <row r="4207">
          <cell r="A4207">
            <v>170038</v>
          </cell>
          <cell r="T4207" t="str">
            <v>add_title</v>
          </cell>
          <cell r="U4207">
            <v>33</v>
          </cell>
        </row>
        <row r="4208">
          <cell r="A4208">
            <v>170039</v>
          </cell>
          <cell r="T4208" t="str">
            <v>add_title</v>
          </cell>
          <cell r="U4208">
            <v>34</v>
          </cell>
        </row>
        <row r="4209">
          <cell r="A4209">
            <v>170040</v>
          </cell>
          <cell r="T4209" t="str">
            <v>add_title</v>
          </cell>
          <cell r="U4209">
            <v>35</v>
          </cell>
        </row>
        <row r="4210">
          <cell r="A4210">
            <v>170041</v>
          </cell>
          <cell r="T4210" t="str">
            <v>add_title</v>
          </cell>
          <cell r="U4210">
            <v>36</v>
          </cell>
        </row>
        <row r="4211">
          <cell r="A4211">
            <v>170042</v>
          </cell>
          <cell r="T4211" t="str">
            <v>add_title</v>
          </cell>
          <cell r="U4211">
            <v>37</v>
          </cell>
        </row>
        <row r="4212">
          <cell r="A4212">
            <v>170043</v>
          </cell>
          <cell r="T4212" t="str">
            <v>add_title</v>
          </cell>
          <cell r="U4212">
            <v>38</v>
          </cell>
        </row>
        <row r="4213">
          <cell r="A4213">
            <v>170044</v>
          </cell>
          <cell r="T4213" t="str">
            <v>add_title</v>
          </cell>
          <cell r="U4213">
            <v>39</v>
          </cell>
        </row>
        <row r="4214">
          <cell r="A4214">
            <v>170045</v>
          </cell>
          <cell r="T4214" t="str">
            <v>add_title</v>
          </cell>
          <cell r="U4214">
            <v>40</v>
          </cell>
        </row>
        <row r="4215">
          <cell r="A4215">
            <v>170046</v>
          </cell>
          <cell r="T4215" t="str">
            <v>add_title</v>
          </cell>
          <cell r="U4215">
            <v>41</v>
          </cell>
        </row>
        <row r="4216">
          <cell r="A4216">
            <v>170047</v>
          </cell>
          <cell r="T4216" t="str">
            <v>add_title</v>
          </cell>
          <cell r="U4216">
            <v>42</v>
          </cell>
        </row>
        <row r="4217">
          <cell r="A4217">
            <v>170048</v>
          </cell>
          <cell r="T4217" t="str">
            <v>add_title</v>
          </cell>
          <cell r="U4217">
            <v>43</v>
          </cell>
        </row>
        <row r="4218">
          <cell r="A4218">
            <v>170049</v>
          </cell>
          <cell r="T4218" t="str">
            <v>add_title</v>
          </cell>
          <cell r="U4218">
            <v>44</v>
          </cell>
        </row>
        <row r="4219">
          <cell r="A4219">
            <v>170050</v>
          </cell>
          <cell r="T4219" t="str">
            <v>add_title</v>
          </cell>
          <cell r="U4219">
            <v>45</v>
          </cell>
        </row>
        <row r="4220">
          <cell r="A4220">
            <v>170051</v>
          </cell>
          <cell r="T4220" t="str">
            <v>add_title</v>
          </cell>
          <cell r="U4220">
            <v>46</v>
          </cell>
        </row>
        <row r="4221">
          <cell r="A4221">
            <v>170052</v>
          </cell>
          <cell r="T4221" t="str">
            <v>add_title</v>
          </cell>
          <cell r="U4221">
            <v>47</v>
          </cell>
        </row>
        <row r="4222">
          <cell r="A4222">
            <v>170053</v>
          </cell>
          <cell r="T4222" t="str">
            <v>add_title</v>
          </cell>
          <cell r="U4222">
            <v>48</v>
          </cell>
        </row>
        <row r="4223">
          <cell r="A4223">
            <v>170054</v>
          </cell>
          <cell r="T4223" t="str">
            <v>add_title</v>
          </cell>
          <cell r="U4223">
            <v>49</v>
          </cell>
        </row>
        <row r="4224">
          <cell r="A4224">
            <v>170055</v>
          </cell>
          <cell r="T4224" t="str">
            <v>add_title</v>
          </cell>
          <cell r="U4224">
            <v>50</v>
          </cell>
        </row>
        <row r="4225">
          <cell r="A4225">
            <v>170056</v>
          </cell>
          <cell r="T4225" t="str">
            <v>add_title</v>
          </cell>
          <cell r="U4225">
            <v>51</v>
          </cell>
        </row>
        <row r="4226">
          <cell r="A4226">
            <v>170057</v>
          </cell>
          <cell r="T4226" t="str">
            <v>add_title</v>
          </cell>
          <cell r="U4226">
            <v>52</v>
          </cell>
        </row>
        <row r="4227">
          <cell r="A4227">
            <v>170058</v>
          </cell>
          <cell r="T4227" t="str">
            <v>add_title</v>
          </cell>
          <cell r="U4227">
            <v>53</v>
          </cell>
        </row>
        <row r="4228">
          <cell r="A4228">
            <v>170059</v>
          </cell>
          <cell r="T4228" t="str">
            <v>add_title</v>
          </cell>
          <cell r="U4228">
            <v>54</v>
          </cell>
        </row>
        <row r="4229">
          <cell r="A4229">
            <v>170060</v>
          </cell>
          <cell r="T4229" t="str">
            <v>add_title</v>
          </cell>
          <cell r="U4229">
            <v>55</v>
          </cell>
        </row>
        <row r="4230">
          <cell r="A4230">
            <v>170061</v>
          </cell>
          <cell r="T4230" t="str">
            <v>add_title</v>
          </cell>
          <cell r="U4230">
            <v>56</v>
          </cell>
        </row>
        <row r="4231">
          <cell r="A4231">
            <v>170062</v>
          </cell>
          <cell r="T4231" t="str">
            <v>add_title</v>
          </cell>
          <cell r="U4231">
            <v>57</v>
          </cell>
        </row>
        <row r="4232">
          <cell r="A4232">
            <v>170063</v>
          </cell>
          <cell r="T4232" t="str">
            <v>add_title</v>
          </cell>
          <cell r="U4232">
            <v>58</v>
          </cell>
        </row>
        <row r="4233">
          <cell r="A4233">
            <v>170064</v>
          </cell>
          <cell r="T4233" t="str">
            <v>add_title</v>
          </cell>
          <cell r="U4233">
            <v>59</v>
          </cell>
        </row>
        <row r="4234">
          <cell r="A4234">
            <v>170065</v>
          </cell>
          <cell r="T4234" t="str">
            <v>add_title</v>
          </cell>
          <cell r="U4234">
            <v>60</v>
          </cell>
        </row>
        <row r="4235">
          <cell r="A4235">
            <v>170066</v>
          </cell>
          <cell r="T4235" t="str">
            <v>add_title</v>
          </cell>
          <cell r="U4235">
            <v>61</v>
          </cell>
        </row>
        <row r="4236">
          <cell r="A4236">
            <v>170067</v>
          </cell>
          <cell r="T4236" t="str">
            <v>add_title</v>
          </cell>
          <cell r="U4236">
            <v>62</v>
          </cell>
        </row>
        <row r="4237">
          <cell r="A4237">
            <v>170068</v>
          </cell>
          <cell r="T4237" t="str">
            <v>add_title</v>
          </cell>
          <cell r="U4237">
            <v>86</v>
          </cell>
        </row>
        <row r="4238">
          <cell r="A4238">
            <v>170069</v>
          </cell>
          <cell r="T4238" t="str">
            <v>add_title</v>
          </cell>
          <cell r="U4238">
            <v>87</v>
          </cell>
        </row>
        <row r="4239">
          <cell r="A4239">
            <v>170070</v>
          </cell>
          <cell r="T4239" t="str">
            <v>add_title</v>
          </cell>
          <cell r="U4239">
            <v>92</v>
          </cell>
        </row>
        <row r="4240">
          <cell r="A4240">
            <v>170071</v>
          </cell>
          <cell r="T4240" t="str">
            <v>add_title</v>
          </cell>
          <cell r="U4240">
            <v>94</v>
          </cell>
        </row>
        <row r="4241">
          <cell r="A4241">
            <v>170072</v>
          </cell>
          <cell r="T4241" t="str">
            <v>add_title</v>
          </cell>
          <cell r="U4241">
            <v>10000</v>
          </cell>
        </row>
        <row r="4242">
          <cell r="A4242">
            <v>170073</v>
          </cell>
          <cell r="T4242" t="str">
            <v>add_title</v>
          </cell>
          <cell r="U4242">
            <v>10300</v>
          </cell>
        </row>
        <row r="4243">
          <cell r="A4243">
            <v>170074</v>
          </cell>
          <cell r="T4243" t="str">
            <v>add_title</v>
          </cell>
          <cell r="U4243">
            <v>104</v>
          </cell>
        </row>
        <row r="4244">
          <cell r="A4244">
            <v>170075</v>
          </cell>
          <cell r="T4244" t="str">
            <v>add_title</v>
          </cell>
          <cell r="U4244">
            <v>105</v>
          </cell>
        </row>
        <row r="4245">
          <cell r="A4245">
            <v>170076</v>
          </cell>
          <cell r="T4245" t="str">
            <v>add_title</v>
          </cell>
          <cell r="U4245">
            <v>106</v>
          </cell>
        </row>
        <row r="4246">
          <cell r="A4246">
            <v>170077</v>
          </cell>
          <cell r="T4246" t="str">
            <v>add_title</v>
          </cell>
          <cell r="U4246">
            <v>107</v>
          </cell>
        </row>
        <row r="4247">
          <cell r="A4247">
            <v>170078</v>
          </cell>
          <cell r="T4247" t="str">
            <v>add_title</v>
          </cell>
          <cell r="U4247">
            <v>108</v>
          </cell>
        </row>
        <row r="4248">
          <cell r="A4248">
            <v>170079</v>
          </cell>
          <cell r="T4248" t="str">
            <v>add_title</v>
          </cell>
          <cell r="U4248">
            <v>109</v>
          </cell>
        </row>
        <row r="4249">
          <cell r="A4249">
            <v>170080</v>
          </cell>
          <cell r="T4249" t="str">
            <v>add_title</v>
          </cell>
          <cell r="U4249">
            <v>110</v>
          </cell>
        </row>
        <row r="4250">
          <cell r="A4250">
            <v>170081</v>
          </cell>
          <cell r="T4250" t="str">
            <v>add_title</v>
          </cell>
          <cell r="U4250">
            <v>111</v>
          </cell>
        </row>
        <row r="4251">
          <cell r="A4251">
            <v>170082</v>
          </cell>
          <cell r="T4251" t="str">
            <v>add_title</v>
          </cell>
          <cell r="U4251">
            <v>112</v>
          </cell>
        </row>
        <row r="4252">
          <cell r="A4252">
            <v>170083</v>
          </cell>
          <cell r="T4252" t="str">
            <v>add_title</v>
          </cell>
          <cell r="U4252">
            <v>113</v>
          </cell>
        </row>
        <row r="4253">
          <cell r="A4253">
            <v>170084</v>
          </cell>
          <cell r="T4253" t="str">
            <v>add_title</v>
          </cell>
          <cell r="U4253">
            <v>114</v>
          </cell>
        </row>
        <row r="4254">
          <cell r="A4254">
            <v>170085</v>
          </cell>
          <cell r="T4254" t="str">
            <v>add_title</v>
          </cell>
          <cell r="U4254">
            <v>115</v>
          </cell>
        </row>
        <row r="4255">
          <cell r="A4255">
            <v>170086</v>
          </cell>
          <cell r="T4255" t="str">
            <v>add_title</v>
          </cell>
          <cell r="U4255">
            <v>116</v>
          </cell>
        </row>
        <row r="4256">
          <cell r="A4256">
            <v>170087</v>
          </cell>
          <cell r="T4256" t="str">
            <v>add_title</v>
          </cell>
          <cell r="U4256">
            <v>117</v>
          </cell>
        </row>
        <row r="4257">
          <cell r="A4257">
            <v>170088</v>
          </cell>
          <cell r="T4257" t="str">
            <v>add_title</v>
          </cell>
          <cell r="U4257">
            <v>118</v>
          </cell>
        </row>
        <row r="4258">
          <cell r="A4258">
            <v>170089</v>
          </cell>
          <cell r="T4258" t="str">
            <v>add_title</v>
          </cell>
          <cell r="U4258">
            <v>119</v>
          </cell>
        </row>
        <row r="4259">
          <cell r="A4259">
            <v>170090</v>
          </cell>
          <cell r="T4259" t="str">
            <v>add_title</v>
          </cell>
          <cell r="U4259">
            <v>120</v>
          </cell>
        </row>
        <row r="4260">
          <cell r="A4260">
            <v>170091</v>
          </cell>
          <cell r="T4260" t="str">
            <v>add_title</v>
          </cell>
          <cell r="U4260">
            <v>121</v>
          </cell>
        </row>
        <row r="4261">
          <cell r="A4261">
            <v>170092</v>
          </cell>
          <cell r="T4261" t="str">
            <v>add_title</v>
          </cell>
          <cell r="U4261">
            <v>122</v>
          </cell>
        </row>
        <row r="4262">
          <cell r="A4262">
            <v>170093</v>
          </cell>
          <cell r="T4262" t="str">
            <v>add_title</v>
          </cell>
          <cell r="U4262">
            <v>123</v>
          </cell>
        </row>
        <row r="4263">
          <cell r="A4263">
            <v>170094</v>
          </cell>
          <cell r="T4263" t="str">
            <v>add_title</v>
          </cell>
          <cell r="U4263">
            <v>124</v>
          </cell>
        </row>
        <row r="4264">
          <cell r="A4264">
            <v>170095</v>
          </cell>
          <cell r="T4264" t="str">
            <v>add_title</v>
          </cell>
          <cell r="U4264">
            <v>125</v>
          </cell>
        </row>
        <row r="4265">
          <cell r="A4265">
            <v>170096</v>
          </cell>
          <cell r="T4265" t="str">
            <v>add_title</v>
          </cell>
          <cell r="U4265">
            <v>126</v>
          </cell>
        </row>
        <row r="4266">
          <cell r="A4266">
            <v>170097</v>
          </cell>
          <cell r="T4266" t="str">
            <v>add_title</v>
          </cell>
          <cell r="U4266">
            <v>128</v>
          </cell>
        </row>
        <row r="4267">
          <cell r="A4267">
            <v>170098</v>
          </cell>
          <cell r="T4267" t="str">
            <v>add_title</v>
          </cell>
          <cell r="U4267">
            <v>129</v>
          </cell>
        </row>
        <row r="4268">
          <cell r="A4268">
            <v>170099</v>
          </cell>
          <cell r="T4268" t="str">
            <v>add_title</v>
          </cell>
          <cell r="U4268">
            <v>130</v>
          </cell>
        </row>
        <row r="4269">
          <cell r="A4269">
            <v>170100</v>
          </cell>
          <cell r="T4269" t="str">
            <v>add_title</v>
          </cell>
          <cell r="U4269">
            <v>131</v>
          </cell>
        </row>
        <row r="4270">
          <cell r="A4270">
            <v>170101</v>
          </cell>
          <cell r="T4270" t="str">
            <v>add_title</v>
          </cell>
          <cell r="U4270">
            <v>132</v>
          </cell>
        </row>
        <row r="4271">
          <cell r="A4271">
            <v>170102</v>
          </cell>
          <cell r="T4271" t="str">
            <v>add_title</v>
          </cell>
          <cell r="U4271">
            <v>133</v>
          </cell>
        </row>
        <row r="4272">
          <cell r="A4272">
            <v>20013</v>
          </cell>
          <cell r="T4272" t="str">
            <v>add_reward</v>
          </cell>
          <cell r="U4272">
            <v>0</v>
          </cell>
        </row>
        <row r="4273">
          <cell r="A4273">
            <v>20014</v>
          </cell>
          <cell r="T4273" t="str">
            <v>add_reward</v>
          </cell>
          <cell r="U4273">
            <v>0</v>
          </cell>
        </row>
        <row r="4274">
          <cell r="A4274">
            <v>20015</v>
          </cell>
          <cell r="T4274" t="str">
            <v>add_reward</v>
          </cell>
          <cell r="U4274">
            <v>0</v>
          </cell>
        </row>
        <row r="4275">
          <cell r="A4275">
            <v>20016</v>
          </cell>
          <cell r="T4275" t="str">
            <v>add_reward</v>
          </cell>
          <cell r="U4275">
            <v>0</v>
          </cell>
        </row>
        <row r="4276">
          <cell r="A4276">
            <v>20017</v>
          </cell>
          <cell r="T4276" t="str">
            <v>add_reward</v>
          </cell>
          <cell r="U4276">
            <v>0</v>
          </cell>
        </row>
        <row r="4277">
          <cell r="A4277">
            <v>20018</v>
          </cell>
          <cell r="T4277" t="str">
            <v>0</v>
          </cell>
          <cell r="U4277" t="str">
            <v>0</v>
          </cell>
        </row>
        <row r="4278">
          <cell r="A4278">
            <v>20019</v>
          </cell>
          <cell r="T4278" t="str">
            <v>add_achexp</v>
          </cell>
          <cell r="U4278">
            <v>100</v>
          </cell>
        </row>
        <row r="4279">
          <cell r="A4279">
            <v>20020</v>
          </cell>
          <cell r="T4279" t="str">
            <v>add_achexp</v>
          </cell>
          <cell r="U4279">
            <v>1000</v>
          </cell>
        </row>
        <row r="4280">
          <cell r="A4280">
            <v>20021</v>
          </cell>
          <cell r="T4280" t="str">
            <v>add_achexp</v>
          </cell>
          <cell r="U4280">
            <v>10000</v>
          </cell>
        </row>
        <row r="4281">
          <cell r="A4281">
            <v>5135</v>
          </cell>
          <cell r="T4281" t="str">
            <v>add_reward</v>
          </cell>
          <cell r="U4281">
            <v>100000189</v>
          </cell>
        </row>
        <row r="4282">
          <cell r="A4282">
            <v>5136</v>
          </cell>
          <cell r="T4282" t="str">
            <v>add_reward</v>
          </cell>
          <cell r="U4282">
            <v>100000190</v>
          </cell>
        </row>
        <row r="4283">
          <cell r="A4283">
            <v>20024</v>
          </cell>
          <cell r="T4283" t="str">
            <v>add_reward</v>
          </cell>
          <cell r="U4283">
            <v>100000191</v>
          </cell>
        </row>
        <row r="4284">
          <cell r="A4284">
            <v>20025</v>
          </cell>
          <cell r="T4284" t="str">
            <v>add_reward</v>
          </cell>
          <cell r="U4284">
            <v>100000192</v>
          </cell>
        </row>
        <row r="4285">
          <cell r="A4285">
            <v>20026</v>
          </cell>
          <cell r="T4285" t="str">
            <v>add_reward</v>
          </cell>
          <cell r="U4285">
            <v>100000193</v>
          </cell>
        </row>
        <row r="4286">
          <cell r="A4286">
            <v>20027</v>
          </cell>
          <cell r="T4286" t="str">
            <v>add_reward</v>
          </cell>
          <cell r="U4286">
            <v>100000194</v>
          </cell>
        </row>
        <row r="4287">
          <cell r="A4287">
            <v>20028</v>
          </cell>
          <cell r="T4287" t="str">
            <v>add_reward</v>
          </cell>
          <cell r="U4287">
            <v>800013</v>
          </cell>
        </row>
        <row r="4288">
          <cell r="A4288">
            <v>20029</v>
          </cell>
          <cell r="T4288" t="str">
            <v>add_reward</v>
          </cell>
          <cell r="U4288">
            <v>100000196</v>
          </cell>
        </row>
        <row r="4289">
          <cell r="A4289">
            <v>20030</v>
          </cell>
          <cell r="T4289" t="str">
            <v>add_reward</v>
          </cell>
          <cell r="U4289">
            <v>100000197</v>
          </cell>
        </row>
        <row r="4290">
          <cell r="A4290">
            <v>20031</v>
          </cell>
          <cell r="T4290" t="str">
            <v>add_reward</v>
          </cell>
          <cell r="U4290">
            <v>100000198</v>
          </cell>
        </row>
        <row r="4291">
          <cell r="A4291">
            <v>20032</v>
          </cell>
          <cell r="T4291" t="str">
            <v>add_reward</v>
          </cell>
          <cell r="U4291">
            <v>100000199</v>
          </cell>
        </row>
        <row r="4292">
          <cell r="A4292">
            <v>20033</v>
          </cell>
          <cell r="T4292" t="str">
            <v>add_reward</v>
          </cell>
          <cell r="U4292">
            <v>1000002583</v>
          </cell>
        </row>
        <row r="4293">
          <cell r="A4293">
            <v>20034</v>
          </cell>
          <cell r="T4293" t="str">
            <v>add_reward</v>
          </cell>
          <cell r="U4293">
            <v>100000065</v>
          </cell>
        </row>
        <row r="4294">
          <cell r="A4294">
            <v>20035</v>
          </cell>
          <cell r="T4294" t="str">
            <v>add_reward</v>
          </cell>
          <cell r="U4294">
            <v>100000066</v>
          </cell>
        </row>
        <row r="4295">
          <cell r="A4295">
            <v>20036</v>
          </cell>
          <cell r="T4295" t="str">
            <v>add_reward</v>
          </cell>
          <cell r="U4295">
            <v>100000067</v>
          </cell>
        </row>
        <row r="4296">
          <cell r="A4296">
            <v>20037</v>
          </cell>
          <cell r="T4296" t="str">
            <v>add_reward</v>
          </cell>
          <cell r="U4296">
            <v>100000068</v>
          </cell>
        </row>
        <row r="4297">
          <cell r="A4297">
            <v>20038</v>
          </cell>
          <cell r="T4297" t="str">
            <v>add_reward</v>
          </cell>
          <cell r="U4297">
            <v>100000069</v>
          </cell>
        </row>
        <row r="4298">
          <cell r="A4298">
            <v>20039</v>
          </cell>
          <cell r="T4298" t="str">
            <v>add_reward</v>
          </cell>
          <cell r="U4298">
            <v>400010</v>
          </cell>
        </row>
        <row r="4299">
          <cell r="A4299">
            <v>20040</v>
          </cell>
          <cell r="T4299" t="str">
            <v>add_reward</v>
          </cell>
          <cell r="U4299">
            <v>930077</v>
          </cell>
        </row>
        <row r="4300">
          <cell r="A4300">
            <v>201801</v>
          </cell>
          <cell r="T4300">
            <v>0</v>
          </cell>
          <cell r="U4300">
            <v>0</v>
          </cell>
        </row>
        <row r="4301">
          <cell r="A4301">
            <v>20180201</v>
          </cell>
          <cell r="T4301">
            <v>0</v>
          </cell>
          <cell r="U4301">
            <v>0</v>
          </cell>
        </row>
        <row r="4302">
          <cell r="A4302">
            <v>20180202</v>
          </cell>
          <cell r="T4302">
            <v>0</v>
          </cell>
          <cell r="U4302">
            <v>0</v>
          </cell>
        </row>
        <row r="4303">
          <cell r="A4303">
            <v>20180203</v>
          </cell>
          <cell r="T4303">
            <v>0</v>
          </cell>
          <cell r="U4303">
            <v>0</v>
          </cell>
        </row>
        <row r="4304">
          <cell r="A4304">
            <v>20180204</v>
          </cell>
          <cell r="T4304">
            <v>0</v>
          </cell>
          <cell r="U4304">
            <v>0</v>
          </cell>
        </row>
        <row r="4305">
          <cell r="A4305">
            <v>20180205</v>
          </cell>
          <cell r="T4305">
            <v>0</v>
          </cell>
          <cell r="U4305">
            <v>0</v>
          </cell>
        </row>
        <row r="4306">
          <cell r="A4306">
            <v>20180206</v>
          </cell>
          <cell r="T4306">
            <v>0</v>
          </cell>
          <cell r="U4306">
            <v>0</v>
          </cell>
        </row>
        <row r="4307">
          <cell r="A4307">
            <v>20180207</v>
          </cell>
          <cell r="T4307">
            <v>0</v>
          </cell>
          <cell r="U4307">
            <v>0</v>
          </cell>
        </row>
        <row r="4308">
          <cell r="A4308">
            <v>20045</v>
          </cell>
          <cell r="T4308" t="str">
            <v>add_reward</v>
          </cell>
          <cell r="U4308">
            <v>930084</v>
          </cell>
        </row>
        <row r="4309">
          <cell r="A4309">
            <v>20046</v>
          </cell>
          <cell r="T4309" t="str">
            <v>add_reward</v>
          </cell>
          <cell r="U4309">
            <v>930107</v>
          </cell>
        </row>
        <row r="4310">
          <cell r="A4310">
            <v>20047</v>
          </cell>
          <cell r="T4310" t="str">
            <v>add_reward</v>
          </cell>
          <cell r="U4310">
            <v>930108</v>
          </cell>
        </row>
        <row r="4311">
          <cell r="A4311">
            <v>20048</v>
          </cell>
          <cell r="T4311" t="str">
            <v>add_reward</v>
          </cell>
          <cell r="U4311">
            <v>930109</v>
          </cell>
        </row>
        <row r="4312">
          <cell r="A4312">
            <v>20049</v>
          </cell>
          <cell r="T4312" t="str">
            <v>add_reward</v>
          </cell>
          <cell r="U4312">
            <v>930110</v>
          </cell>
        </row>
        <row r="4313">
          <cell r="A4313">
            <v>20050</v>
          </cell>
          <cell r="T4313" t="str">
            <v>add_reward</v>
          </cell>
          <cell r="U4313">
            <v>930111</v>
          </cell>
        </row>
        <row r="4314">
          <cell r="A4314">
            <v>20051</v>
          </cell>
          <cell r="T4314">
            <v>0</v>
          </cell>
          <cell r="U4314">
            <v>0</v>
          </cell>
        </row>
        <row r="4315">
          <cell r="A4315">
            <v>20052</v>
          </cell>
          <cell r="T4315">
            <v>0</v>
          </cell>
          <cell r="U4315">
            <v>0</v>
          </cell>
        </row>
        <row r="4316">
          <cell r="A4316">
            <v>20053</v>
          </cell>
          <cell r="T4316">
            <v>0</v>
          </cell>
          <cell r="U4316">
            <v>0</v>
          </cell>
        </row>
        <row r="4317">
          <cell r="A4317">
            <v>20054</v>
          </cell>
          <cell r="T4317">
            <v>0</v>
          </cell>
          <cell r="U4317">
            <v>0</v>
          </cell>
        </row>
        <row r="4318">
          <cell r="A4318">
            <v>20055</v>
          </cell>
          <cell r="T4318" t="str">
            <v>add_reward</v>
          </cell>
          <cell r="U4318">
            <v>930116</v>
          </cell>
        </row>
        <row r="4319">
          <cell r="A4319">
            <v>20056</v>
          </cell>
          <cell r="T4319" t="str">
            <v>add_reward</v>
          </cell>
          <cell r="U4319">
            <v>100000263</v>
          </cell>
        </row>
        <row r="4320">
          <cell r="A4320">
            <v>20057</v>
          </cell>
          <cell r="T4320" t="str">
            <v>add_reward</v>
          </cell>
          <cell r="U4320">
            <v>100000265</v>
          </cell>
        </row>
        <row r="4321">
          <cell r="A4321">
            <v>20070</v>
          </cell>
          <cell r="T4321">
            <v>0</v>
          </cell>
          <cell r="U4321">
            <v>0</v>
          </cell>
        </row>
        <row r="4322">
          <cell r="A4322">
            <v>20071</v>
          </cell>
          <cell r="T4322">
            <v>0</v>
          </cell>
          <cell r="U4322">
            <v>0</v>
          </cell>
        </row>
        <row r="4323">
          <cell r="A4323">
            <v>20072</v>
          </cell>
          <cell r="T4323">
            <v>0</v>
          </cell>
          <cell r="U4323">
            <v>0</v>
          </cell>
        </row>
        <row r="4324">
          <cell r="A4324">
            <v>20073</v>
          </cell>
          <cell r="T4324">
            <v>0</v>
          </cell>
          <cell r="U4324">
            <v>0</v>
          </cell>
        </row>
        <row r="4325">
          <cell r="A4325">
            <v>20074</v>
          </cell>
          <cell r="T4325">
            <v>0</v>
          </cell>
          <cell r="U4325">
            <v>0</v>
          </cell>
        </row>
        <row r="4326">
          <cell r="A4326">
            <v>20075</v>
          </cell>
          <cell r="T4326" t="str">
            <v>add_reward</v>
          </cell>
          <cell r="U4326">
            <v>920008</v>
          </cell>
        </row>
        <row r="4327">
          <cell r="A4327">
            <v>20076</v>
          </cell>
          <cell r="T4327">
            <v>0</v>
          </cell>
          <cell r="U4327">
            <v>0</v>
          </cell>
        </row>
        <row r="4328">
          <cell r="A4328">
            <v>20077</v>
          </cell>
          <cell r="T4328" t="str">
            <v>add_reward</v>
          </cell>
          <cell r="U4328">
            <v>9</v>
          </cell>
        </row>
        <row r="4329">
          <cell r="A4329">
            <v>20078</v>
          </cell>
          <cell r="T4329" t="str">
            <v>add_reward</v>
          </cell>
          <cell r="U4329">
            <v>10</v>
          </cell>
        </row>
        <row r="4330">
          <cell r="A4330">
            <v>20079</v>
          </cell>
          <cell r="T4330" t="str">
            <v>add_reward</v>
          </cell>
          <cell r="U4330">
            <v>11</v>
          </cell>
        </row>
        <row r="4331">
          <cell r="A4331">
            <v>20080</v>
          </cell>
          <cell r="T4331" t="str">
            <v>add_reward</v>
          </cell>
          <cell r="U4331">
            <v>12</v>
          </cell>
        </row>
        <row r="4332">
          <cell r="A4332">
            <v>20081</v>
          </cell>
          <cell r="T4332" t="str">
            <v>add_reward</v>
          </cell>
          <cell r="U4332">
            <v>13</v>
          </cell>
        </row>
        <row r="4333">
          <cell r="A4333">
            <v>20082</v>
          </cell>
          <cell r="T4333" t="str">
            <v>add_reward</v>
          </cell>
          <cell r="U4333">
            <v>14</v>
          </cell>
        </row>
        <row r="4334">
          <cell r="A4334">
            <v>20083</v>
          </cell>
          <cell r="T4334" t="str">
            <v>add_reward</v>
          </cell>
          <cell r="U4334">
            <v>15</v>
          </cell>
        </row>
        <row r="4335">
          <cell r="A4335">
            <v>20084</v>
          </cell>
          <cell r="T4335" t="str">
            <v>add_reward</v>
          </cell>
          <cell r="U4335">
            <v>16</v>
          </cell>
        </row>
        <row r="4336">
          <cell r="A4336">
            <v>20423</v>
          </cell>
          <cell r="T4336">
            <v>0</v>
          </cell>
          <cell r="U433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97"/>
  <sheetViews>
    <sheetView tabSelected="1" topLeftCell="A34" workbookViewId="0">
      <pane xSplit="2" topLeftCell="C1" activePane="topRight" state="frozen"/>
      <selection pane="topRight" activeCell="B59" sqref="B59:B71"/>
    </sheetView>
  </sheetViews>
  <sheetFormatPr defaultColWidth="9" defaultRowHeight="11.25"/>
  <cols>
    <col min="1" max="1" width="5.25" style="12" bestFit="1" customWidth="1"/>
    <col min="2" max="2" width="20.75" style="57" customWidth="1"/>
    <col min="3" max="3" width="33.875" style="12" bestFit="1" customWidth="1"/>
    <col min="4" max="4" width="11.375" style="12" bestFit="1" customWidth="1"/>
    <col min="5" max="5" width="15.5" style="12" bestFit="1" customWidth="1"/>
    <col min="6" max="6" width="17.625" style="12" customWidth="1"/>
    <col min="7" max="7" width="9" style="12" bestFit="1" customWidth="1"/>
    <col min="8" max="8" width="11.25" style="12" bestFit="1" customWidth="1"/>
    <col min="9" max="9" width="10" style="13" bestFit="1" customWidth="1"/>
    <col min="10" max="10" width="8" style="12" bestFit="1" customWidth="1"/>
    <col min="11" max="12" width="5" style="12" bestFit="1" customWidth="1"/>
    <col min="13" max="13" width="8.5" style="12" bestFit="1" customWidth="1"/>
    <col min="14" max="14" width="7.5" style="12" customWidth="1"/>
    <col min="15" max="15" width="9.375" style="12" bestFit="1" customWidth="1"/>
    <col min="16" max="16" width="9.375" style="13" customWidth="1"/>
    <col min="17" max="17" width="6.75" style="12" bestFit="1" customWidth="1"/>
    <col min="18" max="18" width="14.75" style="12" bestFit="1" customWidth="1"/>
    <col min="19" max="20" width="13.875" style="12" bestFit="1" customWidth="1"/>
    <col min="21" max="22" width="15.5" style="12" bestFit="1" customWidth="1"/>
    <col min="23" max="23" width="14.75" style="12" bestFit="1" customWidth="1"/>
    <col min="24" max="29" width="9" style="12"/>
    <col min="30" max="30" width="50.125" style="12" customWidth="1"/>
    <col min="31" max="31" width="36.25" style="12" customWidth="1"/>
    <col min="32" max="32" width="35.875" style="12" customWidth="1"/>
    <col min="33" max="35" width="6" style="12" bestFit="1" customWidth="1"/>
    <col min="36" max="37" width="9.75" style="12" bestFit="1" customWidth="1"/>
    <col min="38" max="38" width="9" style="12"/>
    <col min="39" max="39" width="6.75" style="12" bestFit="1" customWidth="1"/>
    <col min="40" max="40" width="11.375" style="12" bestFit="1" customWidth="1"/>
    <col min="41" max="41" width="32.125" style="12" bestFit="1" customWidth="1"/>
    <col min="42" max="42" width="7.5" style="12" bestFit="1" customWidth="1"/>
    <col min="43" max="43" width="15.5" style="12" bestFit="1" customWidth="1"/>
    <col min="44" max="44" width="10.5" style="12" bestFit="1" customWidth="1"/>
    <col min="45" max="45" width="10.5" style="13" bestFit="1" customWidth="1"/>
    <col min="46" max="46" width="33.875" style="12" bestFit="1" customWidth="1"/>
    <col min="47" max="47" width="9.75" style="12" bestFit="1" customWidth="1"/>
    <col min="48" max="48" width="9" style="12"/>
    <col min="49" max="49" width="3" style="12" bestFit="1" customWidth="1"/>
    <col min="50" max="51" width="9" style="12"/>
    <col min="52" max="52" width="5.25" style="12" bestFit="1" customWidth="1"/>
    <col min="53" max="16384" width="9" style="12"/>
  </cols>
  <sheetData>
    <row r="1" spans="1:52">
      <c r="A1" s="25" t="s">
        <v>0</v>
      </c>
      <c r="B1" s="46" t="s">
        <v>1</v>
      </c>
      <c r="C1" s="25" t="s">
        <v>2</v>
      </c>
      <c r="D1" s="25" t="s">
        <v>3</v>
      </c>
      <c r="E1" s="25" t="s">
        <v>90</v>
      </c>
      <c r="F1" s="25" t="s">
        <v>91</v>
      </c>
      <c r="G1" s="25" t="s">
        <v>4</v>
      </c>
      <c r="H1" s="25" t="s">
        <v>5</v>
      </c>
      <c r="I1" s="39" t="s">
        <v>6</v>
      </c>
      <c r="J1" s="25" t="s">
        <v>7</v>
      </c>
      <c r="K1" s="25" t="s">
        <v>210</v>
      </c>
      <c r="L1" s="25" t="s">
        <v>92</v>
      </c>
      <c r="M1" s="25" t="s">
        <v>93</v>
      </c>
      <c r="N1" s="27" t="s">
        <v>214</v>
      </c>
      <c r="O1" s="27" t="s">
        <v>290</v>
      </c>
      <c r="P1" s="61" t="s">
        <v>328</v>
      </c>
      <c r="Q1" s="27" t="s">
        <v>329</v>
      </c>
      <c r="R1" s="63" t="s">
        <v>8</v>
      </c>
      <c r="S1" s="64"/>
      <c r="T1" s="65"/>
      <c r="U1" s="63" t="s">
        <v>9</v>
      </c>
      <c r="V1" s="64"/>
      <c r="W1" s="65"/>
      <c r="AJ1" s="12" t="s">
        <v>211</v>
      </c>
      <c r="AK1" s="12" t="s">
        <v>26</v>
      </c>
      <c r="AL1" s="12" t="s">
        <v>27</v>
      </c>
      <c r="AM1" s="12" t="s">
        <v>28</v>
      </c>
      <c r="AN1" s="12" t="s">
        <v>29</v>
      </c>
    </row>
    <row r="2" spans="1:52">
      <c r="A2" s="24">
        <v>1</v>
      </c>
      <c r="B2" s="47" t="s">
        <v>244</v>
      </c>
      <c r="C2" s="24" t="str">
        <f t="shared" ref="C2:C33" si="0">IFERROR(IF(AN2="",CONCATENATE("完成“",AM2,"”成就可获得此称号"),AN2),"特殊活动产出")</f>
        <v>特殊活动产出</v>
      </c>
      <c r="D2" s="24" t="s">
        <v>330</v>
      </c>
      <c r="E2" s="26" t="str">
        <f t="shared" ref="E2:E33" ca="1" si="1">OFFSET(U2,0,J2-1,1,1)</f>
        <v>102:25|104:625</v>
      </c>
      <c r="F2" s="26" t="str">
        <f t="shared" ref="F2:F33" ca="1" si="2">OFFSET(R2,0,J2-1,1,1)</f>
        <v>102:5|104:125</v>
      </c>
      <c r="G2" s="24">
        <f>H2*5</f>
        <v>935</v>
      </c>
      <c r="H2" s="26">
        <f>INT((Y2*25+AA2*25+AC2*1)/2)</f>
        <v>187</v>
      </c>
      <c r="I2" s="40">
        <v>1</v>
      </c>
      <c r="J2" s="24">
        <v>1</v>
      </c>
      <c r="K2" s="24">
        <v>1</v>
      </c>
      <c r="L2" s="24">
        <v>1</v>
      </c>
      <c r="M2" s="24" t="s">
        <v>100</v>
      </c>
      <c r="N2" s="23" t="s">
        <v>216</v>
      </c>
      <c r="O2" s="58">
        <v>0</v>
      </c>
      <c r="P2" s="60">
        <v>170011</v>
      </c>
      <c r="Q2" s="58">
        <v>10</v>
      </c>
      <c r="R2" s="12" t="str">
        <f t="shared" ref="R2:R33" si="3">CONCATENATE(Z2,AS$2,AA2,AT$2,AB2,AS$2,AC2)</f>
        <v>102:5|104:125</v>
      </c>
      <c r="S2" s="12" t="str">
        <f t="shared" ref="S2:S33" si="4">CONCATENATE(X2,AS$2,Y2,AT$2,AB2,AS$2,AC2)</f>
        <v>101:5|104:125</v>
      </c>
      <c r="T2" s="12" t="str">
        <f t="shared" ref="T2:T33" si="5">CONCATENATE(X2,AS$2,Y2,AT$2,Z2,AS$2,AA2)</f>
        <v>101:5|102:5</v>
      </c>
      <c r="U2" s="12" t="str">
        <f t="shared" ref="U2:U33" si="6">CONCATENATE(Z2,AS$2,AA2*5,AT$2,AB2,AS$2,AC2*5)</f>
        <v>102:25|104:625</v>
      </c>
      <c r="V2" s="12" t="str">
        <f t="shared" ref="V2:V33" si="7">CONCATENATE(X2,AS$2,Y2*5,AT$2,AB2,AS$2,AC2*5)</f>
        <v>101:25|104:625</v>
      </c>
      <c r="W2" s="12" t="str">
        <f t="shared" ref="W2:W33" si="8">CONCATENATE(X2,AS$2,Y2*5,AT$2,Z2,AS$2,AA2*5)</f>
        <v>101:25|102:25</v>
      </c>
      <c r="X2" s="12">
        <v>101</v>
      </c>
      <c r="Y2" s="14">
        <f t="shared" ref="Y2:Y33" si="9">CEILING(POWER(I2,1.5)*5,5)</f>
        <v>5</v>
      </c>
      <c r="Z2" s="12">
        <v>102</v>
      </c>
      <c r="AA2" s="14">
        <f t="shared" ref="AA2:AA33" si="10">CEILING(POWER(I2,1.5)*5,5)</f>
        <v>5</v>
      </c>
      <c r="AB2" s="12">
        <v>104</v>
      </c>
      <c r="AC2" s="14">
        <f t="shared" ref="AC2:AC33" si="11">CEILING(POWER(I2,1.5)*125,5)</f>
        <v>125</v>
      </c>
      <c r="AD2" s="14" t="str">
        <f>CONCATENATE(IF(LEFTB(B2,1)="/",B2&amp;"\n\n",B2),"\n","被动属性:","\n",AH2,"+",AA2,"\n",AI2,"+",AC2,"\n","使用属性:","\n",AH2,"+",AA2*5,"\n",AI2,"+",AC2*5,"\n",AX2)</f>
        <v>[A4E66FFF]怪物杀手[-]\n被动属性:\n防御力+5\n生命值+125\n使用属性:\n防御力+25\n生命值+625\n</v>
      </c>
      <c r="AE2" s="14" t="str">
        <f>CONCATENATE(IF(LEFTB(B2,1)="/",B2&amp;"\n\n",B2),"\n","被动属性:","\n",AG2,"+",Y2,"\n",AI2,"+",AC2,"\n","使用属性:","\n",AG2,"+",Y2*5,"\n",,AI2,"+",AC2*5,"\n",AX2)</f>
        <v>[A4E66FFF]怪物杀手[-]\n被动属性:\n攻击力+5\n生命值+125\n使用属性:\n攻击力+25\n生命值+625\n</v>
      </c>
      <c r="AF2" s="14" t="str">
        <f>CONCATENATE(IF(LEFTB(B2,1)="/",B2&amp;"\n\n",B2),"\n","被动属性:","\n",AG2,"+",Y2,"\n",AH2,"+",AA2,"\n","使用属性:","\n",AG2,"+",Y2*5,"\n",AH2,"+",AA2*5,,"\n",AX2)</f>
        <v>[A4E66FFF]怪物杀手[-]\n被动属性:\n攻击力+5\n防御力+5\n使用属性:\n攻击力+25\n防御力+25\n</v>
      </c>
      <c r="AG2" s="12" t="str">
        <f>VLOOKUP(X2,[1]CharPropertyConfig!$A:$B,2,FALSE)</f>
        <v>攻击力</v>
      </c>
      <c r="AH2" s="12" t="str">
        <f>VLOOKUP(Z2,[1]CharPropertyConfig!$A:$B,2,FALSE)</f>
        <v>防御力</v>
      </c>
      <c r="AI2" s="12" t="str">
        <f>VLOOKUP(AB2,[1]CharPropertyConfig!$A:$B,2,FALSE)</f>
        <v>生命值</v>
      </c>
      <c r="AJ2" s="14">
        <f t="shared" ref="AJ2:AJ33" si="12">CEILING(POWER(I2,4)*5,10)</f>
        <v>10</v>
      </c>
      <c r="AK2" s="12">
        <f t="shared" ref="AK2:AK33" si="13">H2/AJ2</f>
        <v>18.7</v>
      </c>
      <c r="AL2" s="12">
        <f t="shared" ref="AL2:AL33" si="14">G2/AJ2</f>
        <v>93.5</v>
      </c>
      <c r="AM2" s="14" t="e">
        <f>INDEX([2]achievement!$B:$B,MATCH(SUMIFS([3]ItemConfig!$A:$A,[3]ItemConfig!$T:$T,"add_title",[3]ItemConfig!$U:$U,A2),[2]achievement!$H:$H,0))</f>
        <v>#VALUE!</v>
      </c>
      <c r="AO2" s="12" t="str">
        <f t="shared" ref="AO2:AO33" si="15">CONCATENATE("[",VLOOKUP(I2,AS$12:AT$21,2,FALSE),"]",IF(AP2="",B2,AP2),"[-]")</f>
        <v>[A4E66FFF][A4E66FFF]怪物杀手[-][-]</v>
      </c>
      <c r="AQ2" s="14" t="str">
        <f>RIGHTB(AO2,LENB(AO2)-20)</f>
        <v>怪物杀手[-][-]</v>
      </c>
      <c r="AR2" s="14" t="s">
        <v>159</v>
      </c>
      <c r="AS2" s="13" t="s">
        <v>12</v>
      </c>
      <c r="AT2" s="12" t="s">
        <v>11</v>
      </c>
      <c r="AU2" s="14" t="e">
        <f>SUMIFS([3]ItemConfig!$A:$A,[3]ItemConfig!$T:$T,"add_title",[3]ItemConfig!$U:$U,A2)</f>
        <v>#VALUE!</v>
      </c>
      <c r="AV2" s="12">
        <f t="shared" ref="AV2:AV33" si="16">(H2+G2)</f>
        <v>1122</v>
      </c>
      <c r="AW2" s="12">
        <f t="shared" ref="AW2:AW33" si="17">I2</f>
        <v>1</v>
      </c>
      <c r="AX2" s="14" t="str">
        <f>IF(O2=0,"",CONCATENATE("有效时间:",O2/60/60/24,"天"))</f>
        <v/>
      </c>
      <c r="AY2" s="14">
        <v>1</v>
      </c>
      <c r="AZ2" s="14">
        <f t="shared" ref="AZ2:AZ11" si="18">INDEX(AJ:AJ,MATCH(AY2,AW:AW,0))</f>
        <v>10</v>
      </c>
    </row>
    <row r="3" spans="1:52">
      <c r="A3" s="24">
        <v>2</v>
      </c>
      <c r="B3" s="47" t="s">
        <v>245</v>
      </c>
      <c r="C3" s="24" t="str">
        <f t="shared" si="0"/>
        <v>特殊活动产出</v>
      </c>
      <c r="D3" s="24" t="s">
        <v>331</v>
      </c>
      <c r="E3" s="26" t="str">
        <f t="shared" ca="1" si="1"/>
        <v>102:25|104:625</v>
      </c>
      <c r="F3" s="26" t="str">
        <f t="shared" ca="1" si="2"/>
        <v>102:5|104:125</v>
      </c>
      <c r="G3" s="24">
        <f t="shared" ref="G3:G66" si="19">H3*5</f>
        <v>935</v>
      </c>
      <c r="H3" s="26">
        <f t="shared" ref="H3:H66" si="20">INT((Y3*25+AA3*25+AC3*1)/2)</f>
        <v>187</v>
      </c>
      <c r="I3" s="40">
        <v>1</v>
      </c>
      <c r="J3" s="24">
        <v>1</v>
      </c>
      <c r="K3" s="24">
        <v>1</v>
      </c>
      <c r="L3" s="24">
        <v>1</v>
      </c>
      <c r="M3" s="24" t="s">
        <v>100</v>
      </c>
      <c r="N3" s="23" t="s">
        <v>216</v>
      </c>
      <c r="O3" s="58">
        <v>0</v>
      </c>
      <c r="P3" s="60">
        <v>170012</v>
      </c>
      <c r="Q3" s="58">
        <v>10</v>
      </c>
      <c r="R3" s="12" t="str">
        <f t="shared" si="3"/>
        <v>102:5|104:125</v>
      </c>
      <c r="S3" s="12" t="str">
        <f t="shared" si="4"/>
        <v>101:5|104:125</v>
      </c>
      <c r="T3" s="12" t="str">
        <f t="shared" si="5"/>
        <v>101:5|102:5</v>
      </c>
      <c r="U3" s="12" t="str">
        <f t="shared" si="6"/>
        <v>102:25|104:625</v>
      </c>
      <c r="V3" s="12" t="str">
        <f t="shared" si="7"/>
        <v>101:25|104:625</v>
      </c>
      <c r="W3" s="12" t="str">
        <f t="shared" si="8"/>
        <v>101:25|102:25</v>
      </c>
      <c r="X3" s="12">
        <v>101</v>
      </c>
      <c r="Y3" s="14">
        <f t="shared" si="9"/>
        <v>5</v>
      </c>
      <c r="Z3" s="12">
        <v>102</v>
      </c>
      <c r="AA3" s="14">
        <f t="shared" si="10"/>
        <v>5</v>
      </c>
      <c r="AB3" s="12">
        <v>104</v>
      </c>
      <c r="AC3" s="14">
        <f t="shared" si="11"/>
        <v>125</v>
      </c>
      <c r="AD3" s="14" t="str">
        <f t="shared" ref="AD3:AD66" si="21">CONCATENATE(IF(LEFTB(B3,1)="/",B3&amp;"\n\n",B3),"\n","被动属性:","\n",AH3,"+",AA3,"\n",AI3,"+",AC3,"\n","使用属性:","\n",AH3,"+",AA3*5,"\n",AI3,"+",AC3*5,"\n",AX3)</f>
        <v>[A4E66FFF]疯狂杀戮[-]\n被动属性:\n防御力+5\n生命值+125\n使用属性:\n防御力+25\n生命值+625\n</v>
      </c>
      <c r="AE3" s="14" t="str">
        <f t="shared" ref="AE3:AE66" si="22">CONCATENATE(IF(LEFTB(B3,1)="/",B3&amp;"\n\n",B3),"\n","被动属性:","\n",AG3,"+",Y3,"\n",AI3,"+",AC3,"\n","使用属性:","\n",AG3,"+",Y3*5,"\n",,AI3,"+",AC3*5,"\n",AX3)</f>
        <v>[A4E66FFF]疯狂杀戮[-]\n被动属性:\n攻击力+5\n生命值+125\n使用属性:\n攻击力+25\n生命值+625\n</v>
      </c>
      <c r="AF3" s="14" t="str">
        <f t="shared" ref="AF3:AF66" si="23">CONCATENATE(IF(LEFTB(B3,1)="/",B3&amp;"\n\n",B3),"\n","被动属性:","\n",AG3,"+",Y3,"\n",AH3,"+",AA3,"\n","使用属性:","\n",AG3,"+",Y3*5,"\n",AH3,"+",AA3*5,,"\n",AX3)</f>
        <v>[A4E66FFF]疯狂杀戮[-]\n被动属性:\n攻击力+5\n防御力+5\n使用属性:\n攻击力+25\n防御力+25\n</v>
      </c>
      <c r="AG3" s="12" t="str">
        <f>VLOOKUP(X3,[1]CharPropertyConfig!$A:$B,2,FALSE)</f>
        <v>攻击力</v>
      </c>
      <c r="AH3" s="12" t="str">
        <f>VLOOKUP(Z3,[1]CharPropertyConfig!$A:$B,2,FALSE)</f>
        <v>防御力</v>
      </c>
      <c r="AI3" s="12" t="str">
        <f>VLOOKUP(AB3,[1]CharPropertyConfig!$A:$B,2,FALSE)</f>
        <v>生命值</v>
      </c>
      <c r="AJ3" s="14">
        <f t="shared" si="12"/>
        <v>10</v>
      </c>
      <c r="AK3" s="12">
        <f t="shared" si="13"/>
        <v>18.7</v>
      </c>
      <c r="AL3" s="12">
        <f t="shared" si="14"/>
        <v>93.5</v>
      </c>
      <c r="AM3" s="12" t="e">
        <f>INDEX([2]achievement!$B:$B,MATCH(SUMIFS([3]ItemConfig!$A:$A,[3]ItemConfig!$T:$T,"add_title",[3]ItemConfig!$U:$U,A3),[2]achievement!$H:$H,0))</f>
        <v>#VALUE!</v>
      </c>
      <c r="AO3" s="12" t="str">
        <f t="shared" si="15"/>
        <v>[A4E66FFF][A4E66FFF]疯狂杀戮[-][-]</v>
      </c>
      <c r="AQ3" s="14" t="str">
        <f t="shared" ref="AQ3:AQ66" si="24">RIGHTB(AO3,LENB(AO3)-20)</f>
        <v>疯狂杀戮[-][-]</v>
      </c>
      <c r="AR3" s="14" t="s">
        <v>160</v>
      </c>
      <c r="AS3" s="13" t="s">
        <v>13</v>
      </c>
      <c r="AV3" s="12">
        <f t="shared" si="16"/>
        <v>1122</v>
      </c>
      <c r="AW3" s="12">
        <f t="shared" si="17"/>
        <v>1</v>
      </c>
      <c r="AX3" s="14" t="str">
        <f t="shared" ref="AX3:AX66" si="25">IF(O3=0,"",CONCATENATE("有效时间:",O3/60/60/24,"天"))</f>
        <v/>
      </c>
      <c r="AY3" s="14">
        <v>2</v>
      </c>
      <c r="AZ3" s="14">
        <f t="shared" si="18"/>
        <v>80</v>
      </c>
    </row>
    <row r="4" spans="1:52">
      <c r="A4" s="24">
        <v>3</v>
      </c>
      <c r="B4" s="47" t="s">
        <v>246</v>
      </c>
      <c r="C4" s="24" t="str">
        <f t="shared" si="0"/>
        <v>特殊活动产出</v>
      </c>
      <c r="D4" s="24" t="s">
        <v>332</v>
      </c>
      <c r="E4" s="26" t="str">
        <f t="shared" ca="1" si="1"/>
        <v>102:75|104:1775</v>
      </c>
      <c r="F4" s="26" t="str">
        <f t="shared" ca="1" si="2"/>
        <v>102:15|104:355</v>
      </c>
      <c r="G4" s="24">
        <f t="shared" si="19"/>
        <v>2760</v>
      </c>
      <c r="H4" s="26">
        <f t="shared" si="20"/>
        <v>552</v>
      </c>
      <c r="I4" s="41">
        <v>2</v>
      </c>
      <c r="J4" s="24">
        <v>1</v>
      </c>
      <c r="K4" s="24">
        <v>1</v>
      </c>
      <c r="L4" s="24">
        <v>1</v>
      </c>
      <c r="M4" s="24" t="s">
        <v>100</v>
      </c>
      <c r="N4" s="23" t="s">
        <v>215</v>
      </c>
      <c r="O4" s="58">
        <v>0</v>
      </c>
      <c r="P4" s="60">
        <v>170013</v>
      </c>
      <c r="Q4" s="58">
        <v>10</v>
      </c>
      <c r="R4" s="12" t="str">
        <f t="shared" si="3"/>
        <v>102:15|104:355</v>
      </c>
      <c r="S4" s="12" t="str">
        <f t="shared" si="4"/>
        <v>101:15|104:355</v>
      </c>
      <c r="T4" s="12" t="str">
        <f t="shared" si="5"/>
        <v>101:15|102:15</v>
      </c>
      <c r="U4" s="12" t="str">
        <f t="shared" si="6"/>
        <v>102:75|104:1775</v>
      </c>
      <c r="V4" s="12" t="str">
        <f t="shared" si="7"/>
        <v>101:75|104:1775</v>
      </c>
      <c r="W4" s="12" t="str">
        <f t="shared" si="8"/>
        <v>101:75|102:75</v>
      </c>
      <c r="X4" s="12">
        <v>101</v>
      </c>
      <c r="Y4" s="14">
        <f t="shared" si="9"/>
        <v>15</v>
      </c>
      <c r="Z4" s="12">
        <v>102</v>
      </c>
      <c r="AA4" s="14">
        <f t="shared" si="10"/>
        <v>15</v>
      </c>
      <c r="AB4" s="12">
        <v>104</v>
      </c>
      <c r="AC4" s="14">
        <f t="shared" si="11"/>
        <v>355</v>
      </c>
      <c r="AD4" s="14" t="str">
        <f t="shared" si="21"/>
        <v>[A4E66FFF]出师[-]\n被动属性:\n防御力+15\n生命值+355\n使用属性:\n防御力+75\n生命值+1775\n</v>
      </c>
      <c r="AE4" s="14" t="str">
        <f t="shared" si="22"/>
        <v>[A4E66FFF]出师[-]\n被动属性:\n攻击力+15\n生命值+355\n使用属性:\n攻击力+75\n生命值+1775\n</v>
      </c>
      <c r="AF4" s="14" t="str">
        <f t="shared" si="23"/>
        <v>[A4E66FFF]出师[-]\n被动属性:\n攻击力+15\n防御力+15\n使用属性:\n攻击力+75\n防御力+75\n</v>
      </c>
      <c r="AG4" s="12" t="str">
        <f>VLOOKUP(X4,[1]CharPropertyConfig!$A:$B,2,FALSE)</f>
        <v>攻击力</v>
      </c>
      <c r="AH4" s="12" t="str">
        <f>VLOOKUP(Z4,[1]CharPropertyConfig!$A:$B,2,FALSE)</f>
        <v>防御力</v>
      </c>
      <c r="AI4" s="12" t="str">
        <f>VLOOKUP(AB4,[1]CharPropertyConfig!$A:$B,2,FALSE)</f>
        <v>生命值</v>
      </c>
      <c r="AJ4" s="14">
        <f t="shared" si="12"/>
        <v>80</v>
      </c>
      <c r="AK4" s="12">
        <f t="shared" si="13"/>
        <v>6.9</v>
      </c>
      <c r="AL4" s="12">
        <f t="shared" si="14"/>
        <v>34.5</v>
      </c>
      <c r="AM4" s="12" t="e">
        <f>INDEX([2]achievement!$B:$B,MATCH(SUMIFS([3]ItemConfig!$A:$A,[3]ItemConfig!$T:$T,"add_title",[3]ItemConfig!$U:$U,A4),[2]achievement!$H:$H,0))</f>
        <v>#VALUE!</v>
      </c>
      <c r="AO4" s="12" t="str">
        <f t="shared" si="15"/>
        <v>[A4E66FFF][A4E66FFF]出师[-][-]</v>
      </c>
      <c r="AQ4" s="14" t="str">
        <f t="shared" si="24"/>
        <v>出师[-][-]</v>
      </c>
      <c r="AR4" s="14" t="s">
        <v>161</v>
      </c>
      <c r="AS4" s="13" t="s">
        <v>14</v>
      </c>
      <c r="AT4" s="12" t="s">
        <v>15</v>
      </c>
      <c r="AV4" s="12">
        <f t="shared" si="16"/>
        <v>3312</v>
      </c>
      <c r="AW4" s="12">
        <f t="shared" si="17"/>
        <v>2</v>
      </c>
      <c r="AX4" s="14" t="str">
        <f t="shared" si="25"/>
        <v/>
      </c>
      <c r="AY4" s="14">
        <v>3</v>
      </c>
      <c r="AZ4" s="14">
        <f t="shared" si="18"/>
        <v>410</v>
      </c>
    </row>
    <row r="5" spans="1:52">
      <c r="A5" s="24">
        <v>4</v>
      </c>
      <c r="B5" s="47" t="s">
        <v>247</v>
      </c>
      <c r="C5" s="24" t="str">
        <f t="shared" si="0"/>
        <v>特殊活动产出</v>
      </c>
      <c r="D5" s="24" t="s">
        <v>333</v>
      </c>
      <c r="E5" s="26" t="str">
        <f t="shared" ca="1" si="1"/>
        <v>102:150|104:3250</v>
      </c>
      <c r="F5" s="26" t="str">
        <f t="shared" ca="1" si="2"/>
        <v>102:30|104:650</v>
      </c>
      <c r="G5" s="24">
        <f t="shared" si="19"/>
        <v>5375</v>
      </c>
      <c r="H5" s="26">
        <f t="shared" si="20"/>
        <v>1075</v>
      </c>
      <c r="I5" s="41">
        <v>3</v>
      </c>
      <c r="J5" s="24">
        <v>1</v>
      </c>
      <c r="K5" s="24">
        <v>1</v>
      </c>
      <c r="L5" s="24">
        <v>1</v>
      </c>
      <c r="M5" s="24" t="s">
        <v>100</v>
      </c>
      <c r="N5" s="23" t="s">
        <v>215</v>
      </c>
      <c r="O5" s="58">
        <v>0</v>
      </c>
      <c r="P5" s="60">
        <v>170014</v>
      </c>
      <c r="Q5" s="58">
        <v>10</v>
      </c>
      <c r="R5" s="12" t="str">
        <f t="shared" si="3"/>
        <v>102:30|104:650</v>
      </c>
      <c r="S5" s="12" t="str">
        <f t="shared" si="4"/>
        <v>101:30|104:650</v>
      </c>
      <c r="T5" s="12" t="str">
        <f t="shared" si="5"/>
        <v>101:30|102:30</v>
      </c>
      <c r="U5" s="12" t="str">
        <f t="shared" si="6"/>
        <v>102:150|104:3250</v>
      </c>
      <c r="V5" s="12" t="str">
        <f t="shared" si="7"/>
        <v>101:150|104:3250</v>
      </c>
      <c r="W5" s="12" t="str">
        <f t="shared" si="8"/>
        <v>101:150|102:150</v>
      </c>
      <c r="X5" s="12">
        <v>101</v>
      </c>
      <c r="Y5" s="14">
        <f t="shared" si="9"/>
        <v>30</v>
      </c>
      <c r="Z5" s="12">
        <v>102</v>
      </c>
      <c r="AA5" s="14">
        <f t="shared" si="10"/>
        <v>30</v>
      </c>
      <c r="AB5" s="12">
        <v>104</v>
      </c>
      <c r="AC5" s="14">
        <f t="shared" si="11"/>
        <v>650</v>
      </c>
      <c r="AD5" s="14" t="str">
        <f t="shared" si="21"/>
        <v>[76CBF3FF]战斗机器[-]\n被动属性:\n防御力+30\n生命值+650\n使用属性:\n防御力+150\n生命值+3250\n</v>
      </c>
      <c r="AE5" s="14" t="str">
        <f t="shared" si="22"/>
        <v>[76CBF3FF]战斗机器[-]\n被动属性:\n攻击力+30\n生命值+650\n使用属性:\n攻击力+150\n生命值+3250\n</v>
      </c>
      <c r="AF5" s="14" t="str">
        <f t="shared" si="23"/>
        <v>[76CBF3FF]战斗机器[-]\n被动属性:\n攻击力+30\n防御力+30\n使用属性:\n攻击力+150\n防御力+150\n</v>
      </c>
      <c r="AG5" s="12" t="str">
        <f>VLOOKUP(X5,[1]CharPropertyConfig!$A:$B,2,FALSE)</f>
        <v>攻击力</v>
      </c>
      <c r="AH5" s="12" t="str">
        <f>VLOOKUP(Z5,[1]CharPropertyConfig!$A:$B,2,FALSE)</f>
        <v>防御力</v>
      </c>
      <c r="AI5" s="12" t="str">
        <f>VLOOKUP(AB5,[1]CharPropertyConfig!$A:$B,2,FALSE)</f>
        <v>生命值</v>
      </c>
      <c r="AJ5" s="14">
        <f t="shared" si="12"/>
        <v>410</v>
      </c>
      <c r="AK5" s="12">
        <f t="shared" si="13"/>
        <v>2.6219512195121952</v>
      </c>
      <c r="AL5" s="12">
        <f t="shared" si="14"/>
        <v>13.109756097560975</v>
      </c>
      <c r="AM5" s="12" t="e">
        <f>INDEX([2]achievement!$B:$B,MATCH(SUMIFS([3]ItemConfig!$A:$A,[3]ItemConfig!$T:$T,"add_title",[3]ItemConfig!$U:$U,A5),[2]achievement!$H:$H,0))</f>
        <v>#VALUE!</v>
      </c>
      <c r="AO5" s="12" t="str">
        <f t="shared" si="15"/>
        <v>[76CBF3FF][76CBF3FF]战斗机器[-][-]</v>
      </c>
      <c r="AQ5" s="14" t="str">
        <f t="shared" si="24"/>
        <v>战斗机器[-][-]</v>
      </c>
      <c r="AR5" s="14" t="s">
        <v>162</v>
      </c>
      <c r="AS5" s="13" t="s">
        <v>16</v>
      </c>
      <c r="AT5" s="12" t="s">
        <v>17</v>
      </c>
      <c r="AV5" s="12">
        <f t="shared" si="16"/>
        <v>6450</v>
      </c>
      <c r="AW5" s="12">
        <f t="shared" si="17"/>
        <v>3</v>
      </c>
      <c r="AX5" s="14" t="str">
        <f t="shared" si="25"/>
        <v/>
      </c>
      <c r="AY5" s="14">
        <v>4</v>
      </c>
      <c r="AZ5" s="14">
        <f t="shared" si="18"/>
        <v>1280</v>
      </c>
    </row>
    <row r="6" spans="1:52">
      <c r="A6" s="24">
        <v>5</v>
      </c>
      <c r="B6" s="47" t="s">
        <v>248</v>
      </c>
      <c r="C6" s="24" t="str">
        <f t="shared" si="0"/>
        <v>特殊活动产出</v>
      </c>
      <c r="D6" s="24" t="s">
        <v>334</v>
      </c>
      <c r="E6" s="26" t="str">
        <f t="shared" ca="1" si="1"/>
        <v>102:200|104:5000</v>
      </c>
      <c r="F6" s="26" t="str">
        <f t="shared" ca="1" si="2"/>
        <v>102:40|104:1000</v>
      </c>
      <c r="G6" s="24">
        <f t="shared" si="19"/>
        <v>7500</v>
      </c>
      <c r="H6" s="26">
        <f t="shared" si="20"/>
        <v>1500</v>
      </c>
      <c r="I6" s="41">
        <v>4</v>
      </c>
      <c r="J6" s="24">
        <v>1</v>
      </c>
      <c r="K6" s="24">
        <v>1</v>
      </c>
      <c r="L6" s="24">
        <v>1</v>
      </c>
      <c r="M6" s="24" t="s">
        <v>100</v>
      </c>
      <c r="N6" s="23" t="s">
        <v>215</v>
      </c>
      <c r="O6" s="58">
        <v>0</v>
      </c>
      <c r="P6" s="60">
        <v>170015</v>
      </c>
      <c r="Q6" s="58">
        <v>10</v>
      </c>
      <c r="R6" s="12" t="str">
        <f t="shared" si="3"/>
        <v>102:40|104:1000</v>
      </c>
      <c r="S6" s="12" t="str">
        <f t="shared" si="4"/>
        <v>101:40|104:1000</v>
      </c>
      <c r="T6" s="12" t="str">
        <f t="shared" si="5"/>
        <v>101:40|102:40</v>
      </c>
      <c r="U6" s="12" t="str">
        <f t="shared" si="6"/>
        <v>102:200|104:5000</v>
      </c>
      <c r="V6" s="12" t="str">
        <f t="shared" si="7"/>
        <v>101:200|104:5000</v>
      </c>
      <c r="W6" s="12" t="str">
        <f t="shared" si="8"/>
        <v>101:200|102:200</v>
      </c>
      <c r="X6" s="12">
        <v>101</v>
      </c>
      <c r="Y6" s="14">
        <f t="shared" si="9"/>
        <v>40</v>
      </c>
      <c r="Z6" s="12">
        <v>102</v>
      </c>
      <c r="AA6" s="14">
        <f t="shared" si="10"/>
        <v>40</v>
      </c>
      <c r="AB6" s="12">
        <v>104</v>
      </c>
      <c r="AC6" s="14">
        <f t="shared" si="11"/>
        <v>1000</v>
      </c>
      <c r="AD6" s="14" t="str">
        <f t="shared" si="21"/>
        <v>[76CBF3FF]无人能敌[-]\n被动属性:\n防御力+40\n生命值+1000\n使用属性:\n防御力+200\n生命值+5000\n</v>
      </c>
      <c r="AE6" s="14" t="str">
        <f t="shared" si="22"/>
        <v>[76CBF3FF]无人能敌[-]\n被动属性:\n攻击力+40\n生命值+1000\n使用属性:\n攻击力+200\n生命值+5000\n</v>
      </c>
      <c r="AF6" s="14" t="str">
        <f t="shared" si="23"/>
        <v>[76CBF3FF]无人能敌[-]\n被动属性:\n攻击力+40\n防御力+40\n使用属性:\n攻击力+200\n防御力+200\n</v>
      </c>
      <c r="AG6" s="12" t="str">
        <f>VLOOKUP(X6,[1]CharPropertyConfig!$A:$B,2,FALSE)</f>
        <v>攻击力</v>
      </c>
      <c r="AH6" s="12" t="str">
        <f>VLOOKUP(Z6,[1]CharPropertyConfig!$A:$B,2,FALSE)</f>
        <v>防御力</v>
      </c>
      <c r="AI6" s="12" t="str">
        <f>VLOOKUP(AB6,[1]CharPropertyConfig!$A:$B,2,FALSE)</f>
        <v>生命值</v>
      </c>
      <c r="AJ6" s="14">
        <f t="shared" si="12"/>
        <v>1280</v>
      </c>
      <c r="AK6" s="12">
        <f t="shared" si="13"/>
        <v>1.171875</v>
      </c>
      <c r="AL6" s="12">
        <f t="shared" si="14"/>
        <v>5.859375</v>
      </c>
      <c r="AM6" s="12" t="e">
        <f>INDEX([2]achievement!$B:$B,MATCH(SUMIFS([3]ItemConfig!$A:$A,[3]ItemConfig!$T:$T,"add_title",[3]ItemConfig!$U:$U,A6),[2]achievement!$H:$H,0))</f>
        <v>#VALUE!</v>
      </c>
      <c r="AO6" s="12" t="str">
        <f t="shared" si="15"/>
        <v>[76CBF3FF][76CBF3FF]无人能敌[-][-]</v>
      </c>
      <c r="AQ6" s="14" t="str">
        <f t="shared" si="24"/>
        <v>无人能敌[-][-]</v>
      </c>
      <c r="AR6" s="14" t="s">
        <v>163</v>
      </c>
      <c r="AV6" s="12">
        <f t="shared" si="16"/>
        <v>9000</v>
      </c>
      <c r="AW6" s="12">
        <f t="shared" si="17"/>
        <v>4</v>
      </c>
      <c r="AX6" s="14" t="str">
        <f t="shared" si="25"/>
        <v/>
      </c>
      <c r="AY6" s="14">
        <v>5</v>
      </c>
      <c r="AZ6" s="14">
        <f t="shared" si="18"/>
        <v>3130</v>
      </c>
    </row>
    <row r="7" spans="1:52">
      <c r="A7" s="24">
        <v>6</v>
      </c>
      <c r="B7" s="47" t="s">
        <v>249</v>
      </c>
      <c r="C7" s="24" t="str">
        <f t="shared" si="0"/>
        <v>特殊活动产出</v>
      </c>
      <c r="D7" s="24" t="s">
        <v>335</v>
      </c>
      <c r="E7" s="26" t="str">
        <f t="shared" ca="1" si="1"/>
        <v>102:300|104:7000</v>
      </c>
      <c r="F7" s="26" t="str">
        <f t="shared" ca="1" si="2"/>
        <v>102:60|104:1400</v>
      </c>
      <c r="G7" s="24">
        <f t="shared" si="19"/>
        <v>11000</v>
      </c>
      <c r="H7" s="26">
        <f t="shared" si="20"/>
        <v>2200</v>
      </c>
      <c r="I7" s="41">
        <v>5</v>
      </c>
      <c r="J7" s="24">
        <v>1</v>
      </c>
      <c r="K7" s="24">
        <v>1</v>
      </c>
      <c r="L7" s="24">
        <v>1</v>
      </c>
      <c r="M7" s="24" t="s">
        <v>100</v>
      </c>
      <c r="N7" s="23" t="s">
        <v>215</v>
      </c>
      <c r="O7" s="58">
        <v>0</v>
      </c>
      <c r="P7" s="60">
        <v>170016</v>
      </c>
      <c r="Q7" s="58">
        <v>10</v>
      </c>
      <c r="R7" s="12" t="str">
        <f t="shared" si="3"/>
        <v>102:60|104:1400</v>
      </c>
      <c r="S7" s="12" t="str">
        <f t="shared" si="4"/>
        <v>101:60|104:1400</v>
      </c>
      <c r="T7" s="12" t="str">
        <f t="shared" si="5"/>
        <v>101:60|102:60</v>
      </c>
      <c r="U7" s="12" t="str">
        <f t="shared" si="6"/>
        <v>102:300|104:7000</v>
      </c>
      <c r="V7" s="12" t="str">
        <f t="shared" si="7"/>
        <v>101:300|104:7000</v>
      </c>
      <c r="W7" s="12" t="str">
        <f t="shared" si="8"/>
        <v>101:300|102:300</v>
      </c>
      <c r="X7" s="12">
        <v>101</v>
      </c>
      <c r="Y7" s="14">
        <f t="shared" si="9"/>
        <v>60</v>
      </c>
      <c r="Z7" s="12">
        <v>102</v>
      </c>
      <c r="AA7" s="14">
        <f t="shared" si="10"/>
        <v>60</v>
      </c>
      <c r="AB7" s="12">
        <v>104</v>
      </c>
      <c r="AC7" s="14">
        <f t="shared" si="11"/>
        <v>1400</v>
      </c>
      <c r="AD7" s="14" t="str">
        <f t="shared" si="21"/>
        <v>[C776F3FF]万众敬仰[-]\n被动属性:\n防御力+60\n生命值+1400\n使用属性:\n防御力+300\n生命值+7000\n</v>
      </c>
      <c r="AE7" s="14" t="str">
        <f t="shared" si="22"/>
        <v>[C776F3FF]万众敬仰[-]\n被动属性:\n攻击力+60\n生命值+1400\n使用属性:\n攻击力+300\n生命值+7000\n</v>
      </c>
      <c r="AF7" s="14" t="str">
        <f t="shared" si="23"/>
        <v>[C776F3FF]万众敬仰[-]\n被动属性:\n攻击力+60\n防御力+60\n使用属性:\n攻击力+300\n防御力+300\n</v>
      </c>
      <c r="AG7" s="12" t="str">
        <f>VLOOKUP(X7,[1]CharPropertyConfig!$A:$B,2,FALSE)</f>
        <v>攻击力</v>
      </c>
      <c r="AH7" s="12" t="str">
        <f>VLOOKUP(Z7,[1]CharPropertyConfig!$A:$B,2,FALSE)</f>
        <v>防御力</v>
      </c>
      <c r="AI7" s="12" t="str">
        <f>VLOOKUP(AB7,[1]CharPropertyConfig!$A:$B,2,FALSE)</f>
        <v>生命值</v>
      </c>
      <c r="AJ7" s="14">
        <f t="shared" si="12"/>
        <v>3130</v>
      </c>
      <c r="AK7" s="12">
        <f t="shared" si="13"/>
        <v>0.70287539936102239</v>
      </c>
      <c r="AL7" s="12">
        <f t="shared" si="14"/>
        <v>3.5143769968051117</v>
      </c>
      <c r="AM7" s="12" t="e">
        <f>INDEX([2]achievement!$B:$B,MATCH(SUMIFS([3]ItemConfig!$A:$A,[3]ItemConfig!$T:$T,"add_title",[3]ItemConfig!$U:$U,A7),[2]achievement!$H:$H,0))</f>
        <v>#VALUE!</v>
      </c>
      <c r="AO7" s="12" t="str">
        <f t="shared" si="15"/>
        <v>[C776F3FF][C776F3FF]万众敬仰[-][-]</v>
      </c>
      <c r="AQ7" s="14" t="str">
        <f t="shared" si="24"/>
        <v>万众敬仰[-][-]</v>
      </c>
      <c r="AR7" s="14" t="s">
        <v>164</v>
      </c>
      <c r="AV7" s="12">
        <f t="shared" si="16"/>
        <v>13200</v>
      </c>
      <c r="AW7" s="12">
        <f t="shared" si="17"/>
        <v>5</v>
      </c>
      <c r="AX7" s="14" t="str">
        <f t="shared" si="25"/>
        <v/>
      </c>
      <c r="AY7" s="14">
        <v>6</v>
      </c>
      <c r="AZ7" s="14">
        <f t="shared" si="18"/>
        <v>6480</v>
      </c>
    </row>
    <row r="8" spans="1:52">
      <c r="A8" s="24">
        <v>7</v>
      </c>
      <c r="B8" s="47" t="s">
        <v>250</v>
      </c>
      <c r="C8" s="24" t="str">
        <f t="shared" si="0"/>
        <v>特殊活动产出</v>
      </c>
      <c r="D8" s="24" t="s">
        <v>336</v>
      </c>
      <c r="E8" s="26" t="str">
        <f t="shared" ca="1" si="1"/>
        <v>102:375|104:9200</v>
      </c>
      <c r="F8" s="26" t="str">
        <f t="shared" ca="1" si="2"/>
        <v>102:75|104:1840</v>
      </c>
      <c r="G8" s="24">
        <f t="shared" si="19"/>
        <v>13975</v>
      </c>
      <c r="H8" s="26">
        <f t="shared" si="20"/>
        <v>2795</v>
      </c>
      <c r="I8" s="41">
        <v>6</v>
      </c>
      <c r="J8" s="24">
        <v>1</v>
      </c>
      <c r="K8" s="24">
        <v>1</v>
      </c>
      <c r="L8" s="24">
        <v>1</v>
      </c>
      <c r="M8" s="24" t="s">
        <v>100</v>
      </c>
      <c r="N8" s="23" t="s">
        <v>215</v>
      </c>
      <c r="O8" s="58">
        <v>0</v>
      </c>
      <c r="P8" s="60">
        <v>170017</v>
      </c>
      <c r="Q8" s="58">
        <v>10</v>
      </c>
      <c r="R8" s="12" t="str">
        <f t="shared" si="3"/>
        <v>102:75|104:1840</v>
      </c>
      <c r="S8" s="12" t="str">
        <f t="shared" si="4"/>
        <v>101:75|104:1840</v>
      </c>
      <c r="T8" s="12" t="str">
        <f t="shared" si="5"/>
        <v>101:75|102:75</v>
      </c>
      <c r="U8" s="12" t="str">
        <f t="shared" si="6"/>
        <v>102:375|104:9200</v>
      </c>
      <c r="V8" s="12" t="str">
        <f t="shared" si="7"/>
        <v>101:375|104:9200</v>
      </c>
      <c r="W8" s="12" t="str">
        <f t="shared" si="8"/>
        <v>101:375|102:375</v>
      </c>
      <c r="X8" s="12">
        <v>101</v>
      </c>
      <c r="Y8" s="14">
        <f t="shared" si="9"/>
        <v>75</v>
      </c>
      <c r="Z8" s="12">
        <v>102</v>
      </c>
      <c r="AA8" s="14">
        <f t="shared" si="10"/>
        <v>75</v>
      </c>
      <c r="AB8" s="12">
        <v>104</v>
      </c>
      <c r="AC8" s="14">
        <f t="shared" si="11"/>
        <v>1840</v>
      </c>
      <c r="AD8" s="14" t="str">
        <f t="shared" si="21"/>
        <v>[C776F3FF]传说中的存在[-]\n被动属性:\n防御力+75\n生命值+1840\n使用属性:\n防御力+375\n生命值+9200\n</v>
      </c>
      <c r="AE8" s="14" t="str">
        <f t="shared" si="22"/>
        <v>[C776F3FF]传说中的存在[-]\n被动属性:\n攻击力+75\n生命值+1840\n使用属性:\n攻击力+375\n生命值+9200\n</v>
      </c>
      <c r="AF8" s="14" t="str">
        <f t="shared" si="23"/>
        <v>[C776F3FF]传说中的存在[-]\n被动属性:\n攻击力+75\n防御力+75\n使用属性:\n攻击力+375\n防御力+375\n</v>
      </c>
      <c r="AG8" s="12" t="str">
        <f>VLOOKUP(X8,[1]CharPropertyConfig!$A:$B,2,FALSE)</f>
        <v>攻击力</v>
      </c>
      <c r="AH8" s="12" t="str">
        <f>VLOOKUP(Z8,[1]CharPropertyConfig!$A:$B,2,FALSE)</f>
        <v>防御力</v>
      </c>
      <c r="AI8" s="12" t="str">
        <f>VLOOKUP(AB8,[1]CharPropertyConfig!$A:$B,2,FALSE)</f>
        <v>生命值</v>
      </c>
      <c r="AJ8" s="14">
        <f t="shared" si="12"/>
        <v>6480</v>
      </c>
      <c r="AK8" s="12">
        <f t="shared" si="13"/>
        <v>0.43132716049382713</v>
      </c>
      <c r="AL8" s="12">
        <f t="shared" si="14"/>
        <v>2.1566358024691357</v>
      </c>
      <c r="AM8" s="12" t="e">
        <f>INDEX([2]achievement!$B:$B,MATCH(SUMIFS([3]ItemConfig!$A:$A,[3]ItemConfig!$T:$T,"add_title",[3]ItemConfig!$U:$U,A8),[2]achievement!$H:$H,0))</f>
        <v>#VALUE!</v>
      </c>
      <c r="AO8" s="12" t="str">
        <f t="shared" si="15"/>
        <v>[C776F3FF][C776F3FF]传说中的存在[-][-]</v>
      </c>
      <c r="AQ8" s="14" t="str">
        <f t="shared" si="24"/>
        <v>传说中的存在[-][-]</v>
      </c>
      <c r="AR8" s="14" t="s">
        <v>165</v>
      </c>
      <c r="AS8" s="13" t="s">
        <v>24</v>
      </c>
      <c r="AT8" s="12">
        <f>SUM(H:H)+MAX(G:G)</f>
        <v>260341</v>
      </c>
      <c r="AV8" s="12">
        <f t="shared" si="16"/>
        <v>16770</v>
      </c>
      <c r="AW8" s="12">
        <f t="shared" si="17"/>
        <v>6</v>
      </c>
      <c r="AX8" s="14" t="str">
        <f t="shared" si="25"/>
        <v/>
      </c>
      <c r="AY8" s="14">
        <v>7</v>
      </c>
      <c r="AZ8" s="14" t="e">
        <f t="shared" si="18"/>
        <v>#N/A</v>
      </c>
    </row>
    <row r="9" spans="1:52" ht="14.25" customHeight="1">
      <c r="A9" s="24">
        <v>12</v>
      </c>
      <c r="B9" s="47" t="s">
        <v>251</v>
      </c>
      <c r="C9" s="24" t="str">
        <f t="shared" si="0"/>
        <v>特殊活动产出</v>
      </c>
      <c r="D9" s="24" t="s">
        <v>337</v>
      </c>
      <c r="E9" s="26" t="str">
        <f t="shared" ca="1" si="1"/>
        <v>102:25|104:625</v>
      </c>
      <c r="F9" s="26" t="str">
        <f t="shared" ca="1" si="2"/>
        <v>102:5|104:125</v>
      </c>
      <c r="G9" s="24">
        <f t="shared" si="19"/>
        <v>935</v>
      </c>
      <c r="H9" s="26">
        <f t="shared" si="20"/>
        <v>187</v>
      </c>
      <c r="I9" s="40">
        <v>1</v>
      </c>
      <c r="J9" s="24">
        <v>1</v>
      </c>
      <c r="K9" s="24">
        <v>1</v>
      </c>
      <c r="L9" s="24">
        <v>1</v>
      </c>
      <c r="M9" s="24" t="s">
        <v>100</v>
      </c>
      <c r="N9" s="23" t="s">
        <v>215</v>
      </c>
      <c r="O9" s="58">
        <v>0</v>
      </c>
      <c r="P9" s="60">
        <v>170018</v>
      </c>
      <c r="Q9" s="58">
        <v>10</v>
      </c>
      <c r="R9" s="12" t="str">
        <f t="shared" si="3"/>
        <v>102:5|104:125</v>
      </c>
      <c r="S9" s="12" t="str">
        <f t="shared" si="4"/>
        <v>101:5|104:125</v>
      </c>
      <c r="T9" s="12" t="str">
        <f t="shared" si="5"/>
        <v>101:5|102:5</v>
      </c>
      <c r="U9" s="12" t="str">
        <f t="shared" si="6"/>
        <v>102:25|104:625</v>
      </c>
      <c r="V9" s="12" t="str">
        <f t="shared" si="7"/>
        <v>101:25|104:625</v>
      </c>
      <c r="W9" s="12" t="str">
        <f t="shared" si="8"/>
        <v>101:25|102:25</v>
      </c>
      <c r="X9" s="12">
        <v>101</v>
      </c>
      <c r="Y9" s="14">
        <f t="shared" si="9"/>
        <v>5</v>
      </c>
      <c r="Z9" s="12">
        <v>102</v>
      </c>
      <c r="AA9" s="14">
        <f t="shared" si="10"/>
        <v>5</v>
      </c>
      <c r="AB9" s="12">
        <v>104</v>
      </c>
      <c r="AC9" s="14">
        <f t="shared" si="11"/>
        <v>125</v>
      </c>
      <c r="AD9" s="14" t="str">
        <f t="shared" si="21"/>
        <v>[A4E66FFF]初来乍到[-]\n被动属性:\n防御力+5\n生命值+125\n使用属性:\n防御力+25\n生命值+625\n</v>
      </c>
      <c r="AE9" s="14" t="str">
        <f t="shared" si="22"/>
        <v>[A4E66FFF]初来乍到[-]\n被动属性:\n攻击力+5\n生命值+125\n使用属性:\n攻击力+25\n生命值+625\n</v>
      </c>
      <c r="AF9" s="14" t="str">
        <f t="shared" si="23"/>
        <v>[A4E66FFF]初来乍到[-]\n被动属性:\n攻击力+5\n防御力+5\n使用属性:\n攻击力+25\n防御力+25\n</v>
      </c>
      <c r="AG9" s="12" t="str">
        <f>VLOOKUP(X9,[1]CharPropertyConfig!$A:$B,2,FALSE)</f>
        <v>攻击力</v>
      </c>
      <c r="AH9" s="12" t="str">
        <f>VLOOKUP(Z9,[1]CharPropertyConfig!$A:$B,2,FALSE)</f>
        <v>防御力</v>
      </c>
      <c r="AI9" s="12" t="str">
        <f>VLOOKUP(AB9,[1]CharPropertyConfig!$A:$B,2,FALSE)</f>
        <v>生命值</v>
      </c>
      <c r="AJ9" s="14">
        <f t="shared" si="12"/>
        <v>10</v>
      </c>
      <c r="AK9" s="12">
        <f t="shared" si="13"/>
        <v>18.7</v>
      </c>
      <c r="AL9" s="12">
        <f t="shared" si="14"/>
        <v>93.5</v>
      </c>
      <c r="AM9" s="12" t="e">
        <f>INDEX([2]achievement!$B:$B,MATCH(SUMIFS([3]ItemConfig!$A:$A,[3]ItemConfig!$T:$T,"add_title",[3]ItemConfig!$U:$U,A9),[2]achievement!$H:$H,0))</f>
        <v>#VALUE!</v>
      </c>
      <c r="AO9" s="12" t="str">
        <f t="shared" si="15"/>
        <v>[A4E66FFF][A4E66FFF]初来乍到[-][-]</v>
      </c>
      <c r="AQ9" s="14" t="str">
        <f t="shared" si="24"/>
        <v>初来乍到[-][-]</v>
      </c>
      <c r="AR9" s="14" t="s">
        <v>166</v>
      </c>
      <c r="AS9" s="13" t="s">
        <v>25</v>
      </c>
      <c r="AT9" s="12">
        <f>SUMIF(I:I,"&gt;2",AJ:AJ)</f>
        <v>1069030</v>
      </c>
      <c r="AV9" s="12">
        <f t="shared" si="16"/>
        <v>1122</v>
      </c>
      <c r="AW9" s="12">
        <f t="shared" si="17"/>
        <v>1</v>
      </c>
      <c r="AX9" s="14" t="str">
        <f t="shared" si="25"/>
        <v/>
      </c>
      <c r="AY9" s="14">
        <v>8</v>
      </c>
      <c r="AZ9" s="14">
        <f t="shared" si="18"/>
        <v>20480</v>
      </c>
    </row>
    <row r="10" spans="1:52">
      <c r="A10" s="24">
        <v>13</v>
      </c>
      <c r="B10" s="47" t="s">
        <v>252</v>
      </c>
      <c r="C10" s="24" t="str">
        <f t="shared" si="0"/>
        <v>特殊活动产出</v>
      </c>
      <c r="D10" s="24" t="s">
        <v>338</v>
      </c>
      <c r="E10" s="26" t="str">
        <f t="shared" ca="1" si="1"/>
        <v>102:300|104:7000</v>
      </c>
      <c r="F10" s="26" t="str">
        <f t="shared" ca="1" si="2"/>
        <v>102:60|104:1400</v>
      </c>
      <c r="G10" s="24">
        <f t="shared" si="19"/>
        <v>11000</v>
      </c>
      <c r="H10" s="26">
        <f t="shared" si="20"/>
        <v>2200</v>
      </c>
      <c r="I10" s="41">
        <v>5</v>
      </c>
      <c r="J10" s="24">
        <v>1</v>
      </c>
      <c r="K10" s="24">
        <v>1</v>
      </c>
      <c r="L10" s="24">
        <v>1</v>
      </c>
      <c r="M10" s="24" t="s">
        <v>100</v>
      </c>
      <c r="N10" s="23" t="s">
        <v>215</v>
      </c>
      <c r="O10" s="58">
        <v>0</v>
      </c>
      <c r="P10" s="60">
        <v>170019</v>
      </c>
      <c r="Q10" s="58">
        <v>10</v>
      </c>
      <c r="R10" s="12" t="str">
        <f t="shared" si="3"/>
        <v>102:60|104:1400</v>
      </c>
      <c r="S10" s="12" t="str">
        <f t="shared" si="4"/>
        <v>101:60|104:1400</v>
      </c>
      <c r="T10" s="12" t="str">
        <f t="shared" si="5"/>
        <v>101:60|102:60</v>
      </c>
      <c r="U10" s="12" t="str">
        <f t="shared" si="6"/>
        <v>102:300|104:7000</v>
      </c>
      <c r="V10" s="12" t="str">
        <f t="shared" si="7"/>
        <v>101:300|104:7000</v>
      </c>
      <c r="W10" s="12" t="str">
        <f t="shared" si="8"/>
        <v>101:300|102:300</v>
      </c>
      <c r="X10" s="12">
        <v>101</v>
      </c>
      <c r="Y10" s="14">
        <f t="shared" si="9"/>
        <v>60</v>
      </c>
      <c r="Z10" s="12">
        <v>102</v>
      </c>
      <c r="AA10" s="14">
        <f t="shared" si="10"/>
        <v>60</v>
      </c>
      <c r="AB10" s="12">
        <v>104</v>
      </c>
      <c r="AC10" s="14">
        <f t="shared" si="11"/>
        <v>1400</v>
      </c>
      <c r="AD10" s="14" t="str">
        <f t="shared" si="21"/>
        <v>[C776F3FF]满级玩家[-]\n被动属性:\n防御力+60\n生命值+1400\n使用属性:\n防御力+300\n生命值+7000\n</v>
      </c>
      <c r="AE10" s="14" t="str">
        <f t="shared" si="22"/>
        <v>[C776F3FF]满级玩家[-]\n被动属性:\n攻击力+60\n生命值+1400\n使用属性:\n攻击力+300\n生命值+7000\n</v>
      </c>
      <c r="AF10" s="14" t="str">
        <f t="shared" si="23"/>
        <v>[C776F3FF]满级玩家[-]\n被动属性:\n攻击力+60\n防御力+60\n使用属性:\n攻击力+300\n防御力+300\n</v>
      </c>
      <c r="AG10" s="12" t="str">
        <f>VLOOKUP(X10,[1]CharPropertyConfig!$A:$B,2,FALSE)</f>
        <v>攻击力</v>
      </c>
      <c r="AH10" s="12" t="str">
        <f>VLOOKUP(Z10,[1]CharPropertyConfig!$A:$B,2,FALSE)</f>
        <v>防御力</v>
      </c>
      <c r="AI10" s="12" t="str">
        <f>VLOOKUP(AB10,[1]CharPropertyConfig!$A:$B,2,FALSE)</f>
        <v>生命值</v>
      </c>
      <c r="AJ10" s="14">
        <f t="shared" si="12"/>
        <v>3130</v>
      </c>
      <c r="AK10" s="12">
        <f t="shared" si="13"/>
        <v>0.70287539936102239</v>
      </c>
      <c r="AL10" s="12">
        <f t="shared" si="14"/>
        <v>3.5143769968051117</v>
      </c>
      <c r="AM10" s="12" t="e">
        <f>INDEX([2]achievement!$B:$B,MATCH(SUMIFS([3]ItemConfig!$A:$A,[3]ItemConfig!$T:$T,"add_title",[3]ItemConfig!$U:$U,A10),[2]achievement!$H:$H,0))</f>
        <v>#VALUE!</v>
      </c>
      <c r="AO10" s="12" t="str">
        <f t="shared" si="15"/>
        <v>[C776F3FF][C776F3FF]满级玩家[-][-]</v>
      </c>
      <c r="AQ10" s="14" t="str">
        <f t="shared" si="24"/>
        <v>满级玩家[-][-]</v>
      </c>
      <c r="AR10" s="14" t="s">
        <v>167</v>
      </c>
      <c r="AV10" s="12">
        <f t="shared" si="16"/>
        <v>13200</v>
      </c>
      <c r="AW10" s="12">
        <f t="shared" si="17"/>
        <v>5</v>
      </c>
      <c r="AX10" s="14" t="str">
        <f t="shared" si="25"/>
        <v/>
      </c>
      <c r="AY10" s="14">
        <v>9</v>
      </c>
      <c r="AZ10" s="14">
        <f t="shared" si="18"/>
        <v>32810</v>
      </c>
    </row>
    <row r="11" spans="1:52">
      <c r="A11" s="24">
        <v>14</v>
      </c>
      <c r="B11" s="47" t="s">
        <v>253</v>
      </c>
      <c r="C11" s="24" t="str">
        <f t="shared" si="0"/>
        <v>特殊活动产出</v>
      </c>
      <c r="D11" s="24" t="s">
        <v>339</v>
      </c>
      <c r="E11" s="26" t="str">
        <f t="shared" ca="1" si="1"/>
        <v>101:25|102:25</v>
      </c>
      <c r="F11" s="26" t="str">
        <f t="shared" ca="1" si="2"/>
        <v>101:5|102:5</v>
      </c>
      <c r="G11" s="24">
        <f t="shared" si="19"/>
        <v>935</v>
      </c>
      <c r="H11" s="26">
        <f t="shared" si="20"/>
        <v>187</v>
      </c>
      <c r="I11" s="40">
        <v>1</v>
      </c>
      <c r="J11" s="24">
        <v>3</v>
      </c>
      <c r="K11" s="24">
        <v>1</v>
      </c>
      <c r="L11" s="24">
        <v>1</v>
      </c>
      <c r="M11" s="24" t="s">
        <v>100</v>
      </c>
      <c r="N11" s="23" t="s">
        <v>215</v>
      </c>
      <c r="O11" s="58">
        <v>0</v>
      </c>
      <c r="P11" s="60">
        <v>170020</v>
      </c>
      <c r="Q11" s="58">
        <v>10</v>
      </c>
      <c r="R11" s="12" t="str">
        <f t="shared" si="3"/>
        <v>102:5|104:125</v>
      </c>
      <c r="S11" s="12" t="str">
        <f t="shared" si="4"/>
        <v>101:5|104:125</v>
      </c>
      <c r="T11" s="12" t="str">
        <f t="shared" si="5"/>
        <v>101:5|102:5</v>
      </c>
      <c r="U11" s="12" t="str">
        <f t="shared" si="6"/>
        <v>102:25|104:625</v>
      </c>
      <c r="V11" s="12" t="str">
        <f t="shared" si="7"/>
        <v>101:25|104:625</v>
      </c>
      <c r="W11" s="12" t="str">
        <f t="shared" si="8"/>
        <v>101:25|102:25</v>
      </c>
      <c r="X11" s="12">
        <v>101</v>
      </c>
      <c r="Y11" s="14">
        <f t="shared" si="9"/>
        <v>5</v>
      </c>
      <c r="Z11" s="12">
        <v>102</v>
      </c>
      <c r="AA11" s="14">
        <f t="shared" si="10"/>
        <v>5</v>
      </c>
      <c r="AB11" s="12">
        <v>104</v>
      </c>
      <c r="AC11" s="14">
        <f t="shared" si="11"/>
        <v>125</v>
      </c>
      <c r="AD11" s="14" t="str">
        <f t="shared" si="21"/>
        <v>[A4E66FFF]理财达人[-]\n被动属性:\n防御力+5\n生命值+125\n使用属性:\n防御力+25\n生命值+625\n</v>
      </c>
      <c r="AE11" s="14" t="str">
        <f t="shared" si="22"/>
        <v>[A4E66FFF]理财达人[-]\n被动属性:\n攻击力+5\n生命值+125\n使用属性:\n攻击力+25\n生命值+625\n</v>
      </c>
      <c r="AF11" s="14" t="str">
        <f t="shared" si="23"/>
        <v>[A4E66FFF]理财达人[-]\n被动属性:\n攻击力+5\n防御力+5\n使用属性:\n攻击力+25\n防御力+25\n</v>
      </c>
      <c r="AG11" s="12" t="str">
        <f>VLOOKUP(X11,[1]CharPropertyConfig!$A:$B,2,FALSE)</f>
        <v>攻击力</v>
      </c>
      <c r="AH11" s="12" t="str">
        <f>VLOOKUP(Z11,[1]CharPropertyConfig!$A:$B,2,FALSE)</f>
        <v>防御力</v>
      </c>
      <c r="AI11" s="12" t="str">
        <f>VLOOKUP(AB11,[1]CharPropertyConfig!$A:$B,2,FALSE)</f>
        <v>生命值</v>
      </c>
      <c r="AJ11" s="14">
        <f t="shared" si="12"/>
        <v>10</v>
      </c>
      <c r="AK11" s="12">
        <f t="shared" si="13"/>
        <v>18.7</v>
      </c>
      <c r="AL11" s="12">
        <f t="shared" si="14"/>
        <v>93.5</v>
      </c>
      <c r="AM11" s="12" t="e">
        <f>INDEX([2]achievement!$B:$B,MATCH(SUMIFS([3]ItemConfig!$A:$A,[3]ItemConfig!$T:$T,"add_title",[3]ItemConfig!$U:$U,A11),[2]achievement!$H:$H,0))</f>
        <v>#VALUE!</v>
      </c>
      <c r="AO11" s="12" t="str">
        <f t="shared" si="15"/>
        <v>[A4E66FFF][A4E66FFF]理财达人[-][-]</v>
      </c>
      <c r="AQ11" s="14" t="str">
        <f t="shared" si="24"/>
        <v>理财达人[-][-]</v>
      </c>
      <c r="AR11" s="14" t="s">
        <v>168</v>
      </c>
      <c r="AS11" s="13" t="s">
        <v>23</v>
      </c>
      <c r="AT11" s="12">
        <f>AT8/AT9</f>
        <v>0.24353011608654573</v>
      </c>
      <c r="AV11" s="12">
        <f t="shared" si="16"/>
        <v>1122</v>
      </c>
      <c r="AW11" s="12">
        <f t="shared" si="17"/>
        <v>1</v>
      </c>
      <c r="AX11" s="14" t="str">
        <f t="shared" si="25"/>
        <v/>
      </c>
      <c r="AY11" s="14">
        <v>10</v>
      </c>
      <c r="AZ11" s="14">
        <f t="shared" si="18"/>
        <v>50000</v>
      </c>
    </row>
    <row r="12" spans="1:52">
      <c r="A12" s="24">
        <v>15</v>
      </c>
      <c r="B12" s="47" t="s">
        <v>254</v>
      </c>
      <c r="C12" s="24" t="str">
        <f t="shared" si="0"/>
        <v>特殊活动产出</v>
      </c>
      <c r="D12" s="24" t="s">
        <v>340</v>
      </c>
      <c r="E12" s="26" t="str">
        <f t="shared" ca="1" si="1"/>
        <v>101:25|102:25</v>
      </c>
      <c r="F12" s="26" t="str">
        <f t="shared" ca="1" si="2"/>
        <v>101:5|102:5</v>
      </c>
      <c r="G12" s="24">
        <f t="shared" si="19"/>
        <v>935</v>
      </c>
      <c r="H12" s="26">
        <f t="shared" si="20"/>
        <v>187</v>
      </c>
      <c r="I12" s="40">
        <v>1</v>
      </c>
      <c r="J12" s="24">
        <v>3</v>
      </c>
      <c r="K12" s="24">
        <v>1</v>
      </c>
      <c r="L12" s="24">
        <v>1</v>
      </c>
      <c r="M12" s="24" t="s">
        <v>100</v>
      </c>
      <c r="N12" s="23" t="s">
        <v>215</v>
      </c>
      <c r="O12" s="58">
        <v>0</v>
      </c>
      <c r="P12" s="60">
        <v>170021</v>
      </c>
      <c r="Q12" s="58">
        <v>10</v>
      </c>
      <c r="R12" s="12" t="str">
        <f t="shared" si="3"/>
        <v>102:5|104:125</v>
      </c>
      <c r="S12" s="12" t="str">
        <f t="shared" si="4"/>
        <v>101:5|104:125</v>
      </c>
      <c r="T12" s="12" t="str">
        <f t="shared" si="5"/>
        <v>101:5|102:5</v>
      </c>
      <c r="U12" s="12" t="str">
        <f t="shared" si="6"/>
        <v>102:25|104:625</v>
      </c>
      <c r="V12" s="12" t="str">
        <f t="shared" si="7"/>
        <v>101:25|104:625</v>
      </c>
      <c r="W12" s="12" t="str">
        <f t="shared" si="8"/>
        <v>101:25|102:25</v>
      </c>
      <c r="X12" s="12">
        <v>101</v>
      </c>
      <c r="Y12" s="14">
        <f t="shared" si="9"/>
        <v>5</v>
      </c>
      <c r="Z12" s="12">
        <v>102</v>
      </c>
      <c r="AA12" s="14">
        <f t="shared" si="10"/>
        <v>5</v>
      </c>
      <c r="AB12" s="12">
        <v>104</v>
      </c>
      <c r="AC12" s="14">
        <f t="shared" si="11"/>
        <v>125</v>
      </c>
      <c r="AD12" s="14" t="str">
        <f t="shared" si="21"/>
        <v>[A4E66FFF]中产阶级[-]\n被动属性:\n防御力+5\n生命值+125\n使用属性:\n防御力+25\n生命值+625\n</v>
      </c>
      <c r="AE12" s="14" t="str">
        <f t="shared" si="22"/>
        <v>[A4E66FFF]中产阶级[-]\n被动属性:\n攻击力+5\n生命值+125\n使用属性:\n攻击力+25\n生命值+625\n</v>
      </c>
      <c r="AF12" s="14" t="str">
        <f t="shared" si="23"/>
        <v>[A4E66FFF]中产阶级[-]\n被动属性:\n攻击力+5\n防御力+5\n使用属性:\n攻击力+25\n防御力+25\n</v>
      </c>
      <c r="AG12" s="12" t="str">
        <f>VLOOKUP(X12,[1]CharPropertyConfig!$A:$B,2,FALSE)</f>
        <v>攻击力</v>
      </c>
      <c r="AH12" s="12" t="str">
        <f>VLOOKUP(Z12,[1]CharPropertyConfig!$A:$B,2,FALSE)</f>
        <v>防御力</v>
      </c>
      <c r="AI12" s="12" t="str">
        <f>VLOOKUP(AB12,[1]CharPropertyConfig!$A:$B,2,FALSE)</f>
        <v>生命值</v>
      </c>
      <c r="AJ12" s="14">
        <f t="shared" si="12"/>
        <v>10</v>
      </c>
      <c r="AK12" s="12">
        <f t="shared" si="13"/>
        <v>18.7</v>
      </c>
      <c r="AL12" s="12">
        <f t="shared" si="14"/>
        <v>93.5</v>
      </c>
      <c r="AM12" s="12" t="e">
        <f>INDEX([2]achievement!$B:$B,MATCH(SUMIFS([3]ItemConfig!$A:$A,[3]ItemConfig!$T:$T,"add_title",[3]ItemConfig!$U:$U,A12),[2]achievement!$H:$H,0))</f>
        <v>#VALUE!</v>
      </c>
      <c r="AO12" s="12" t="str">
        <f t="shared" si="15"/>
        <v>[A4E66FFF][A4E66FFF]中产阶级[-][-]</v>
      </c>
      <c r="AQ12" s="14" t="str">
        <f t="shared" si="24"/>
        <v>中产阶级[-][-]</v>
      </c>
      <c r="AR12" s="14" t="s">
        <v>169</v>
      </c>
      <c r="AS12" s="13">
        <v>1</v>
      </c>
      <c r="AT12" s="4" t="s">
        <v>30</v>
      </c>
      <c r="AV12" s="12">
        <f t="shared" si="16"/>
        <v>1122</v>
      </c>
      <c r="AW12" s="12">
        <f t="shared" si="17"/>
        <v>1</v>
      </c>
      <c r="AX12" s="14" t="str">
        <f t="shared" si="25"/>
        <v/>
      </c>
    </row>
    <row r="13" spans="1:52">
      <c r="A13" s="24">
        <v>16</v>
      </c>
      <c r="B13" s="47" t="s">
        <v>84</v>
      </c>
      <c r="C13" s="24" t="str">
        <f t="shared" si="0"/>
        <v>特殊活动产出</v>
      </c>
      <c r="D13" s="24" t="s">
        <v>341</v>
      </c>
      <c r="E13" s="26" t="str">
        <f t="shared" ca="1" si="1"/>
        <v>101:75|102:75</v>
      </c>
      <c r="F13" s="26" t="str">
        <f t="shared" ca="1" si="2"/>
        <v>101:15|102:15</v>
      </c>
      <c r="G13" s="24">
        <f t="shared" si="19"/>
        <v>2760</v>
      </c>
      <c r="H13" s="26">
        <f t="shared" si="20"/>
        <v>552</v>
      </c>
      <c r="I13" s="40">
        <v>2</v>
      </c>
      <c r="J13" s="24">
        <v>3</v>
      </c>
      <c r="K13" s="24">
        <v>1</v>
      </c>
      <c r="L13" s="24">
        <v>1</v>
      </c>
      <c r="M13" s="24" t="s">
        <v>100</v>
      </c>
      <c r="N13" s="23" t="s">
        <v>215</v>
      </c>
      <c r="O13" s="58">
        <v>0</v>
      </c>
      <c r="P13" s="60">
        <v>170022</v>
      </c>
      <c r="Q13" s="58">
        <v>10</v>
      </c>
      <c r="R13" s="12" t="str">
        <f t="shared" si="3"/>
        <v>102:15|104:355</v>
      </c>
      <c r="S13" s="12" t="str">
        <f t="shared" si="4"/>
        <v>101:15|104:355</v>
      </c>
      <c r="T13" s="12" t="str">
        <f t="shared" si="5"/>
        <v>101:15|102:15</v>
      </c>
      <c r="U13" s="12" t="str">
        <f t="shared" si="6"/>
        <v>102:75|104:1775</v>
      </c>
      <c r="V13" s="12" t="str">
        <f t="shared" si="7"/>
        <v>101:75|104:1775</v>
      </c>
      <c r="W13" s="12" t="str">
        <f t="shared" si="8"/>
        <v>101:75|102:75</v>
      </c>
      <c r="X13" s="12">
        <v>101</v>
      </c>
      <c r="Y13" s="14">
        <f t="shared" si="9"/>
        <v>15</v>
      </c>
      <c r="Z13" s="12">
        <v>102</v>
      </c>
      <c r="AA13" s="14">
        <f t="shared" si="10"/>
        <v>15</v>
      </c>
      <c r="AB13" s="12">
        <v>104</v>
      </c>
      <c r="AC13" s="14">
        <f t="shared" si="11"/>
        <v>355</v>
      </c>
      <c r="AD13" s="14" t="str">
        <f t="shared" si="21"/>
        <v>[A4E66FFF]成功人士[-]\n被动属性:\n防御力+15\n生命值+355\n使用属性:\n防御力+75\n生命值+1775\n</v>
      </c>
      <c r="AE13" s="14" t="str">
        <f t="shared" si="22"/>
        <v>[A4E66FFF]成功人士[-]\n被动属性:\n攻击力+15\n生命值+355\n使用属性:\n攻击力+75\n生命值+1775\n</v>
      </c>
      <c r="AF13" s="14" t="str">
        <f t="shared" si="23"/>
        <v>[A4E66FFF]成功人士[-]\n被动属性:\n攻击力+15\n防御力+15\n使用属性:\n攻击力+75\n防御力+75\n</v>
      </c>
      <c r="AG13" s="12" t="str">
        <f>VLOOKUP(X13,[1]CharPropertyConfig!$A:$B,2,FALSE)</f>
        <v>攻击力</v>
      </c>
      <c r="AH13" s="12" t="str">
        <f>VLOOKUP(Z13,[1]CharPropertyConfig!$A:$B,2,FALSE)</f>
        <v>防御力</v>
      </c>
      <c r="AI13" s="12" t="str">
        <f>VLOOKUP(AB13,[1]CharPropertyConfig!$A:$B,2,FALSE)</f>
        <v>生命值</v>
      </c>
      <c r="AJ13" s="14">
        <f t="shared" si="12"/>
        <v>80</v>
      </c>
      <c r="AK13" s="12">
        <f t="shared" si="13"/>
        <v>6.9</v>
      </c>
      <c r="AL13" s="12">
        <f t="shared" si="14"/>
        <v>34.5</v>
      </c>
      <c r="AM13" s="12" t="e">
        <f>INDEX([2]achievement!$B:$B,MATCH(SUMIFS([3]ItemConfig!$A:$A,[3]ItemConfig!$T:$T,"add_title",[3]ItemConfig!$U:$U,A13),[2]achievement!$H:$H,0))</f>
        <v>#VALUE!</v>
      </c>
      <c r="AO13" s="12" t="str">
        <f t="shared" si="15"/>
        <v>[A4E66FFF][A4E66FFF]成功人士[-][-]</v>
      </c>
      <c r="AQ13" s="14" t="str">
        <f t="shared" si="24"/>
        <v>成功人士[-][-]</v>
      </c>
      <c r="AR13" s="14" t="s">
        <v>170</v>
      </c>
      <c r="AS13" s="13">
        <v>2</v>
      </c>
      <c r="AT13" s="4" t="s">
        <v>30</v>
      </c>
      <c r="AV13" s="12">
        <f t="shared" si="16"/>
        <v>3312</v>
      </c>
      <c r="AW13" s="12">
        <f t="shared" si="17"/>
        <v>2</v>
      </c>
      <c r="AX13" s="14" t="str">
        <f t="shared" si="25"/>
        <v/>
      </c>
    </row>
    <row r="14" spans="1:52">
      <c r="A14" s="24">
        <v>17</v>
      </c>
      <c r="B14" s="47" t="s">
        <v>255</v>
      </c>
      <c r="C14" s="24" t="str">
        <f t="shared" si="0"/>
        <v>特殊活动产出</v>
      </c>
      <c r="D14" s="24" t="s">
        <v>342</v>
      </c>
      <c r="E14" s="26" t="str">
        <f t="shared" ca="1" si="1"/>
        <v>101:150|102:150</v>
      </c>
      <c r="F14" s="26" t="str">
        <f t="shared" ca="1" si="2"/>
        <v>101:30|102:30</v>
      </c>
      <c r="G14" s="24">
        <f t="shared" si="19"/>
        <v>5375</v>
      </c>
      <c r="H14" s="26">
        <f t="shared" si="20"/>
        <v>1075</v>
      </c>
      <c r="I14" s="40">
        <v>3</v>
      </c>
      <c r="J14" s="24">
        <v>3</v>
      </c>
      <c r="K14" s="24">
        <v>1</v>
      </c>
      <c r="L14" s="24">
        <v>1</v>
      </c>
      <c r="M14" s="24" t="s">
        <v>100</v>
      </c>
      <c r="N14" s="23" t="s">
        <v>215</v>
      </c>
      <c r="O14" s="58">
        <v>0</v>
      </c>
      <c r="P14" s="60">
        <v>170023</v>
      </c>
      <c r="Q14" s="58">
        <v>10</v>
      </c>
      <c r="R14" s="12" t="str">
        <f t="shared" si="3"/>
        <v>102:30|104:650</v>
      </c>
      <c r="S14" s="12" t="str">
        <f t="shared" si="4"/>
        <v>101:30|104:650</v>
      </c>
      <c r="T14" s="12" t="str">
        <f t="shared" si="5"/>
        <v>101:30|102:30</v>
      </c>
      <c r="U14" s="12" t="str">
        <f t="shared" si="6"/>
        <v>102:150|104:3250</v>
      </c>
      <c r="V14" s="12" t="str">
        <f t="shared" si="7"/>
        <v>101:150|104:3250</v>
      </c>
      <c r="W14" s="12" t="str">
        <f t="shared" si="8"/>
        <v>101:150|102:150</v>
      </c>
      <c r="X14" s="12">
        <v>101</v>
      </c>
      <c r="Y14" s="14">
        <f t="shared" si="9"/>
        <v>30</v>
      </c>
      <c r="Z14" s="12">
        <v>102</v>
      </c>
      <c r="AA14" s="14">
        <f t="shared" si="10"/>
        <v>30</v>
      </c>
      <c r="AB14" s="12">
        <v>104</v>
      </c>
      <c r="AC14" s="14">
        <f t="shared" si="11"/>
        <v>650</v>
      </c>
      <c r="AD14" s="14" t="str">
        <f t="shared" si="21"/>
        <v>[76CBF3FF]垄断者[-]\n被动属性:\n防御力+30\n生命值+650\n使用属性:\n防御力+150\n生命值+3250\n</v>
      </c>
      <c r="AE14" s="14" t="str">
        <f t="shared" si="22"/>
        <v>[76CBF3FF]垄断者[-]\n被动属性:\n攻击力+30\n生命值+650\n使用属性:\n攻击力+150\n生命值+3250\n</v>
      </c>
      <c r="AF14" s="14" t="str">
        <f t="shared" si="23"/>
        <v>[76CBF3FF]垄断者[-]\n被动属性:\n攻击力+30\n防御力+30\n使用属性:\n攻击力+150\n防御力+150\n</v>
      </c>
      <c r="AG14" s="12" t="str">
        <f>VLOOKUP(X14,[1]CharPropertyConfig!$A:$B,2,FALSE)</f>
        <v>攻击力</v>
      </c>
      <c r="AH14" s="12" t="str">
        <f>VLOOKUP(Z14,[1]CharPropertyConfig!$A:$B,2,FALSE)</f>
        <v>防御力</v>
      </c>
      <c r="AI14" s="12" t="str">
        <f>VLOOKUP(AB14,[1]CharPropertyConfig!$A:$B,2,FALSE)</f>
        <v>生命值</v>
      </c>
      <c r="AJ14" s="14">
        <f t="shared" si="12"/>
        <v>410</v>
      </c>
      <c r="AK14" s="12">
        <f t="shared" si="13"/>
        <v>2.6219512195121952</v>
      </c>
      <c r="AL14" s="12">
        <f t="shared" si="14"/>
        <v>13.109756097560975</v>
      </c>
      <c r="AM14" s="12" t="e">
        <f>INDEX([2]achievement!$B:$B,MATCH(SUMIFS([3]ItemConfig!$A:$A,[3]ItemConfig!$T:$T,"add_title",[3]ItemConfig!$U:$U,A14),[2]achievement!$H:$H,0))</f>
        <v>#VALUE!</v>
      </c>
      <c r="AO14" s="12" t="str">
        <f t="shared" si="15"/>
        <v>[76CBF3FF][76CBF3FF]垄断者[-][-]</v>
      </c>
      <c r="AQ14" s="14" t="str">
        <f t="shared" si="24"/>
        <v>垄断者[-][-]</v>
      </c>
      <c r="AR14" s="14" t="s">
        <v>171</v>
      </c>
      <c r="AS14" s="13">
        <v>3</v>
      </c>
      <c r="AT14" s="4" t="s">
        <v>31</v>
      </c>
      <c r="AV14" s="12">
        <f t="shared" si="16"/>
        <v>6450</v>
      </c>
      <c r="AW14" s="12">
        <f t="shared" si="17"/>
        <v>3</v>
      </c>
      <c r="AX14" s="14" t="str">
        <f t="shared" si="25"/>
        <v/>
      </c>
    </row>
    <row r="15" spans="1:52">
      <c r="A15" s="24">
        <v>18</v>
      </c>
      <c r="B15" s="47" t="s">
        <v>234</v>
      </c>
      <c r="C15" s="24" t="str">
        <f t="shared" si="0"/>
        <v>特殊活动产出</v>
      </c>
      <c r="D15" s="24" t="s">
        <v>330</v>
      </c>
      <c r="E15" s="26" t="str">
        <f t="shared" ca="1" si="1"/>
        <v>101:200|102:200</v>
      </c>
      <c r="F15" s="26" t="str">
        <f t="shared" ca="1" si="2"/>
        <v>101:40|102:40</v>
      </c>
      <c r="G15" s="24">
        <f t="shared" si="19"/>
        <v>7500</v>
      </c>
      <c r="H15" s="26">
        <f t="shared" si="20"/>
        <v>1500</v>
      </c>
      <c r="I15" s="40">
        <v>4</v>
      </c>
      <c r="J15" s="24">
        <v>3</v>
      </c>
      <c r="K15" s="24">
        <v>1</v>
      </c>
      <c r="L15" s="24">
        <v>1</v>
      </c>
      <c r="M15" s="24" t="s">
        <v>100</v>
      </c>
      <c r="N15" s="23" t="s">
        <v>215</v>
      </c>
      <c r="O15" s="58">
        <v>0</v>
      </c>
      <c r="P15" s="60">
        <v>170024</v>
      </c>
      <c r="Q15" s="58">
        <v>10</v>
      </c>
      <c r="R15" s="12" t="str">
        <f t="shared" si="3"/>
        <v>102:40|104:1000</v>
      </c>
      <c r="S15" s="12" t="str">
        <f t="shared" si="4"/>
        <v>101:40|104:1000</v>
      </c>
      <c r="T15" s="12" t="str">
        <f t="shared" si="5"/>
        <v>101:40|102:40</v>
      </c>
      <c r="U15" s="12" t="str">
        <f t="shared" si="6"/>
        <v>102:200|104:5000</v>
      </c>
      <c r="V15" s="12" t="str">
        <f t="shared" si="7"/>
        <v>101:200|104:5000</v>
      </c>
      <c r="W15" s="12" t="str">
        <f t="shared" si="8"/>
        <v>101:200|102:200</v>
      </c>
      <c r="X15" s="12">
        <v>101</v>
      </c>
      <c r="Y15" s="14">
        <f t="shared" si="9"/>
        <v>40</v>
      </c>
      <c r="Z15" s="12">
        <v>102</v>
      </c>
      <c r="AA15" s="14">
        <f t="shared" si="10"/>
        <v>40</v>
      </c>
      <c r="AB15" s="12">
        <v>104</v>
      </c>
      <c r="AC15" s="14">
        <f t="shared" si="11"/>
        <v>1000</v>
      </c>
      <c r="AD15" s="14" t="str">
        <f t="shared" si="21"/>
        <v>[76CBF3FF]土豪[-]\n被动属性:\n防御力+40\n生命值+1000\n使用属性:\n防御力+200\n生命值+5000\n</v>
      </c>
      <c r="AE15" s="14" t="str">
        <f t="shared" si="22"/>
        <v>[76CBF3FF]土豪[-]\n被动属性:\n攻击力+40\n生命值+1000\n使用属性:\n攻击力+200\n生命值+5000\n</v>
      </c>
      <c r="AF15" s="14" t="str">
        <f t="shared" si="23"/>
        <v>[76CBF3FF]土豪[-]\n被动属性:\n攻击力+40\n防御力+40\n使用属性:\n攻击力+200\n防御力+200\n</v>
      </c>
      <c r="AG15" s="12" t="str">
        <f>VLOOKUP(X15,[1]CharPropertyConfig!$A:$B,2,FALSE)</f>
        <v>攻击力</v>
      </c>
      <c r="AH15" s="12" t="str">
        <f>VLOOKUP(Z15,[1]CharPropertyConfig!$A:$B,2,FALSE)</f>
        <v>防御力</v>
      </c>
      <c r="AI15" s="12" t="str">
        <f>VLOOKUP(AB15,[1]CharPropertyConfig!$A:$B,2,FALSE)</f>
        <v>生命值</v>
      </c>
      <c r="AJ15" s="14">
        <f t="shared" si="12"/>
        <v>1280</v>
      </c>
      <c r="AK15" s="12">
        <f t="shared" si="13"/>
        <v>1.171875</v>
      </c>
      <c r="AL15" s="12">
        <f t="shared" si="14"/>
        <v>5.859375</v>
      </c>
      <c r="AM15" s="12" t="e">
        <f>INDEX([2]achievement!$B:$B,MATCH(SUMIFS([3]ItemConfig!$A:$A,[3]ItemConfig!$T:$T,"add_title",[3]ItemConfig!$U:$U,A15),[2]achievement!$H:$H,0))</f>
        <v>#VALUE!</v>
      </c>
      <c r="AO15" s="12" t="str">
        <f t="shared" si="15"/>
        <v>[76CBF3FF][76CBF3FF]土豪[-][-]</v>
      </c>
      <c r="AQ15" s="14" t="str">
        <f t="shared" si="24"/>
        <v>土豪[-][-]</v>
      </c>
      <c r="AR15" s="14" t="s">
        <v>172</v>
      </c>
      <c r="AS15" s="13">
        <v>4</v>
      </c>
      <c r="AT15" s="4" t="s">
        <v>31</v>
      </c>
      <c r="AV15" s="12">
        <f t="shared" si="16"/>
        <v>9000</v>
      </c>
      <c r="AW15" s="12">
        <f t="shared" si="17"/>
        <v>4</v>
      </c>
      <c r="AX15" s="14" t="str">
        <f t="shared" si="25"/>
        <v/>
      </c>
    </row>
    <row r="16" spans="1:52">
      <c r="A16" s="24">
        <v>19</v>
      </c>
      <c r="B16" s="47" t="s">
        <v>256</v>
      </c>
      <c r="C16" s="24" t="str">
        <f t="shared" si="0"/>
        <v>特殊活动产出</v>
      </c>
      <c r="D16" s="24" t="s">
        <v>331</v>
      </c>
      <c r="E16" s="26" t="str">
        <f t="shared" ca="1" si="1"/>
        <v>101:300|102:300</v>
      </c>
      <c r="F16" s="26" t="str">
        <f t="shared" ca="1" si="2"/>
        <v>101:60|102:60</v>
      </c>
      <c r="G16" s="24">
        <f t="shared" si="19"/>
        <v>11000</v>
      </c>
      <c r="H16" s="26">
        <f t="shared" si="20"/>
        <v>2200</v>
      </c>
      <c r="I16" s="40">
        <v>5</v>
      </c>
      <c r="J16" s="24">
        <v>3</v>
      </c>
      <c r="K16" s="24">
        <v>1</v>
      </c>
      <c r="L16" s="24">
        <v>1</v>
      </c>
      <c r="M16" s="24" t="s">
        <v>100</v>
      </c>
      <c r="N16" s="23" t="s">
        <v>215</v>
      </c>
      <c r="O16" s="58">
        <v>0</v>
      </c>
      <c r="P16" s="60">
        <v>170025</v>
      </c>
      <c r="Q16" s="58">
        <v>10</v>
      </c>
      <c r="R16" s="12" t="str">
        <f t="shared" si="3"/>
        <v>102:60|104:1400</v>
      </c>
      <c r="S16" s="12" t="str">
        <f t="shared" si="4"/>
        <v>101:60|104:1400</v>
      </c>
      <c r="T16" s="12" t="str">
        <f t="shared" si="5"/>
        <v>101:60|102:60</v>
      </c>
      <c r="U16" s="12" t="str">
        <f t="shared" si="6"/>
        <v>102:300|104:7000</v>
      </c>
      <c r="V16" s="12" t="str">
        <f t="shared" si="7"/>
        <v>101:300|104:7000</v>
      </c>
      <c r="W16" s="12" t="str">
        <f t="shared" si="8"/>
        <v>101:300|102:300</v>
      </c>
      <c r="X16" s="12">
        <v>101</v>
      </c>
      <c r="Y16" s="14">
        <f t="shared" si="9"/>
        <v>60</v>
      </c>
      <c r="Z16" s="12">
        <v>102</v>
      </c>
      <c r="AA16" s="14">
        <f t="shared" si="10"/>
        <v>60</v>
      </c>
      <c r="AB16" s="12">
        <v>104</v>
      </c>
      <c r="AC16" s="14">
        <f t="shared" si="11"/>
        <v>1400</v>
      </c>
      <c r="AD16" s="14" t="str">
        <f t="shared" si="21"/>
        <v>[C776F3FF]RMB战士[-]\n被动属性:\n防御力+60\n生命值+1400\n使用属性:\n防御力+300\n生命值+7000\n</v>
      </c>
      <c r="AE16" s="14" t="str">
        <f t="shared" si="22"/>
        <v>[C776F3FF]RMB战士[-]\n被动属性:\n攻击力+60\n生命值+1400\n使用属性:\n攻击力+300\n生命值+7000\n</v>
      </c>
      <c r="AF16" s="14" t="str">
        <f t="shared" si="23"/>
        <v>[C776F3FF]RMB战士[-]\n被动属性:\n攻击力+60\n防御力+60\n使用属性:\n攻击力+300\n防御力+300\n</v>
      </c>
      <c r="AG16" s="12" t="str">
        <f>VLOOKUP(X16,[1]CharPropertyConfig!$A:$B,2,FALSE)</f>
        <v>攻击力</v>
      </c>
      <c r="AH16" s="12" t="str">
        <f>VLOOKUP(Z16,[1]CharPropertyConfig!$A:$B,2,FALSE)</f>
        <v>防御力</v>
      </c>
      <c r="AI16" s="12" t="str">
        <f>VLOOKUP(AB16,[1]CharPropertyConfig!$A:$B,2,FALSE)</f>
        <v>生命值</v>
      </c>
      <c r="AJ16" s="14">
        <f t="shared" si="12"/>
        <v>3130</v>
      </c>
      <c r="AK16" s="12">
        <f t="shared" si="13"/>
        <v>0.70287539936102239</v>
      </c>
      <c r="AL16" s="12">
        <f t="shared" si="14"/>
        <v>3.5143769968051117</v>
      </c>
      <c r="AM16" s="12" t="e">
        <f>INDEX([2]achievement!$B:$B,MATCH(SUMIFS([3]ItemConfig!$A:$A,[3]ItemConfig!$T:$T,"add_title",[3]ItemConfig!$U:$U,A16),[2]achievement!$H:$H,0))</f>
        <v>#VALUE!</v>
      </c>
      <c r="AO16" s="12" t="str">
        <f t="shared" si="15"/>
        <v>[C776F3FF][C776F3FF]RMB战士[-][-]</v>
      </c>
      <c r="AQ16" s="14" t="str">
        <f t="shared" si="24"/>
        <v>RMB战士[-][-]</v>
      </c>
      <c r="AR16" s="14" t="s">
        <v>173</v>
      </c>
      <c r="AS16" s="13">
        <v>5</v>
      </c>
      <c r="AT16" s="4" t="s">
        <v>32</v>
      </c>
      <c r="AV16" s="12">
        <f t="shared" si="16"/>
        <v>13200</v>
      </c>
      <c r="AW16" s="12">
        <f t="shared" si="17"/>
        <v>5</v>
      </c>
      <c r="AX16" s="14" t="str">
        <f t="shared" si="25"/>
        <v/>
      </c>
    </row>
    <row r="17" spans="1:50">
      <c r="A17" s="24">
        <v>20</v>
      </c>
      <c r="B17" s="47" t="s">
        <v>257</v>
      </c>
      <c r="C17" s="24" t="str">
        <f t="shared" si="0"/>
        <v>特殊活动产出</v>
      </c>
      <c r="D17" s="24" t="s">
        <v>332</v>
      </c>
      <c r="E17" s="26" t="str">
        <f t="shared" ca="1" si="1"/>
        <v>101:25|102:25</v>
      </c>
      <c r="F17" s="26" t="str">
        <f t="shared" ca="1" si="2"/>
        <v>101:5|102:5</v>
      </c>
      <c r="G17" s="24">
        <f t="shared" si="19"/>
        <v>935</v>
      </c>
      <c r="H17" s="26">
        <f t="shared" si="20"/>
        <v>187</v>
      </c>
      <c r="I17" s="40">
        <v>1</v>
      </c>
      <c r="J17" s="24">
        <v>3</v>
      </c>
      <c r="K17" s="24">
        <v>1</v>
      </c>
      <c r="L17" s="24">
        <v>1</v>
      </c>
      <c r="M17" s="24" t="s">
        <v>100</v>
      </c>
      <c r="N17" s="23" t="s">
        <v>215</v>
      </c>
      <c r="O17" s="58">
        <v>0</v>
      </c>
      <c r="P17" s="60">
        <v>170026</v>
      </c>
      <c r="Q17" s="58">
        <v>10</v>
      </c>
      <c r="R17" s="12" t="str">
        <f t="shared" si="3"/>
        <v>102:5|104:125</v>
      </c>
      <c r="S17" s="12" t="str">
        <f t="shared" si="4"/>
        <v>101:5|104:125</v>
      </c>
      <c r="T17" s="12" t="str">
        <f t="shared" si="5"/>
        <v>101:5|102:5</v>
      </c>
      <c r="U17" s="12" t="str">
        <f t="shared" si="6"/>
        <v>102:25|104:625</v>
      </c>
      <c r="V17" s="12" t="str">
        <f t="shared" si="7"/>
        <v>101:25|104:625</v>
      </c>
      <c r="W17" s="12" t="str">
        <f t="shared" si="8"/>
        <v>101:25|102:25</v>
      </c>
      <c r="X17" s="12">
        <v>101</v>
      </c>
      <c r="Y17" s="14">
        <f t="shared" si="9"/>
        <v>5</v>
      </c>
      <c r="Z17" s="12">
        <v>102</v>
      </c>
      <c r="AA17" s="14">
        <f t="shared" si="10"/>
        <v>5</v>
      </c>
      <c r="AB17" s="12">
        <v>104</v>
      </c>
      <c r="AC17" s="14">
        <f t="shared" si="11"/>
        <v>125</v>
      </c>
      <c r="AD17" s="14" t="str">
        <f t="shared" si="21"/>
        <v>[A4E66FFF]亲和力[-]\n被动属性:\n防御力+5\n生命值+125\n使用属性:\n防御力+25\n生命值+625\n</v>
      </c>
      <c r="AE17" s="14" t="str">
        <f t="shared" si="22"/>
        <v>[A4E66FFF]亲和力[-]\n被动属性:\n攻击力+5\n生命值+125\n使用属性:\n攻击力+25\n生命值+625\n</v>
      </c>
      <c r="AF17" s="14" t="str">
        <f t="shared" si="23"/>
        <v>[A4E66FFF]亲和力[-]\n被动属性:\n攻击力+5\n防御力+5\n使用属性:\n攻击力+25\n防御力+25\n</v>
      </c>
      <c r="AG17" s="12" t="str">
        <f>VLOOKUP(X17,[1]CharPropertyConfig!$A:$B,2,FALSE)</f>
        <v>攻击力</v>
      </c>
      <c r="AH17" s="12" t="str">
        <f>VLOOKUP(Z17,[1]CharPropertyConfig!$A:$B,2,FALSE)</f>
        <v>防御力</v>
      </c>
      <c r="AI17" s="12" t="str">
        <f>VLOOKUP(AB17,[1]CharPropertyConfig!$A:$B,2,FALSE)</f>
        <v>生命值</v>
      </c>
      <c r="AJ17" s="14">
        <f t="shared" si="12"/>
        <v>10</v>
      </c>
      <c r="AK17" s="12">
        <f t="shared" si="13"/>
        <v>18.7</v>
      </c>
      <c r="AL17" s="12">
        <f t="shared" si="14"/>
        <v>93.5</v>
      </c>
      <c r="AM17" s="12" t="e">
        <f>INDEX([2]achievement!$B:$B,MATCH(SUMIFS([3]ItemConfig!$A:$A,[3]ItemConfig!$T:$T,"add_title",[3]ItemConfig!$U:$U,A17),[2]achievement!$H:$H,0))</f>
        <v>#VALUE!</v>
      </c>
      <c r="AO17" s="12" t="str">
        <f t="shared" si="15"/>
        <v>[A4E66FFF][A4E66FFF]亲和力[-][-]</v>
      </c>
      <c r="AQ17" s="14" t="str">
        <f t="shared" si="24"/>
        <v>亲和力[-][-]</v>
      </c>
      <c r="AR17" s="14" t="s">
        <v>174</v>
      </c>
      <c r="AS17" s="13">
        <v>6</v>
      </c>
      <c r="AT17" s="4" t="s">
        <v>32</v>
      </c>
      <c r="AV17" s="12">
        <f t="shared" si="16"/>
        <v>1122</v>
      </c>
      <c r="AW17" s="12">
        <f t="shared" si="17"/>
        <v>1</v>
      </c>
      <c r="AX17" s="14" t="str">
        <f t="shared" si="25"/>
        <v/>
      </c>
    </row>
    <row r="18" spans="1:50">
      <c r="A18" s="24">
        <v>21</v>
      </c>
      <c r="B18" s="47" t="s">
        <v>85</v>
      </c>
      <c r="C18" s="24" t="str">
        <f t="shared" si="0"/>
        <v>特殊活动产出</v>
      </c>
      <c r="D18" s="24" t="s">
        <v>333</v>
      </c>
      <c r="E18" s="26" t="str">
        <f t="shared" ca="1" si="1"/>
        <v>101:75|102:75</v>
      </c>
      <c r="F18" s="26" t="str">
        <f t="shared" ca="1" si="2"/>
        <v>101:15|102:15</v>
      </c>
      <c r="G18" s="24">
        <f t="shared" si="19"/>
        <v>2760</v>
      </c>
      <c r="H18" s="26">
        <f t="shared" si="20"/>
        <v>552</v>
      </c>
      <c r="I18" s="40">
        <v>2</v>
      </c>
      <c r="J18" s="24">
        <v>3</v>
      </c>
      <c r="K18" s="24">
        <v>1</v>
      </c>
      <c r="L18" s="24">
        <v>1</v>
      </c>
      <c r="M18" s="24" t="s">
        <v>100</v>
      </c>
      <c r="N18" s="23" t="s">
        <v>215</v>
      </c>
      <c r="O18" s="58">
        <v>0</v>
      </c>
      <c r="P18" s="60">
        <v>170027</v>
      </c>
      <c r="Q18" s="58">
        <v>10</v>
      </c>
      <c r="R18" s="12" t="str">
        <f t="shared" si="3"/>
        <v>102:15|104:355</v>
      </c>
      <c r="S18" s="12" t="str">
        <f t="shared" si="4"/>
        <v>101:15|104:355</v>
      </c>
      <c r="T18" s="12" t="str">
        <f t="shared" si="5"/>
        <v>101:15|102:15</v>
      </c>
      <c r="U18" s="12" t="str">
        <f t="shared" si="6"/>
        <v>102:75|104:1775</v>
      </c>
      <c r="V18" s="12" t="str">
        <f t="shared" si="7"/>
        <v>101:75|104:1775</v>
      </c>
      <c r="W18" s="12" t="str">
        <f t="shared" si="8"/>
        <v>101:75|102:75</v>
      </c>
      <c r="X18" s="12">
        <v>101</v>
      </c>
      <c r="Y18" s="14">
        <f t="shared" si="9"/>
        <v>15</v>
      </c>
      <c r="Z18" s="12">
        <v>102</v>
      </c>
      <c r="AA18" s="14">
        <f t="shared" si="10"/>
        <v>15</v>
      </c>
      <c r="AB18" s="12">
        <v>104</v>
      </c>
      <c r="AC18" s="14">
        <f t="shared" si="11"/>
        <v>355</v>
      </c>
      <c r="AD18" s="14" t="str">
        <f t="shared" si="21"/>
        <v>[A4E66FFF]大红大紫[-]\n被动属性:\n防御力+15\n生命值+355\n使用属性:\n防御力+75\n生命值+1775\n</v>
      </c>
      <c r="AE18" s="14" t="str">
        <f t="shared" si="22"/>
        <v>[A4E66FFF]大红大紫[-]\n被动属性:\n攻击力+15\n生命值+355\n使用属性:\n攻击力+75\n生命值+1775\n</v>
      </c>
      <c r="AF18" s="14" t="str">
        <f t="shared" si="23"/>
        <v>[A4E66FFF]大红大紫[-]\n被动属性:\n攻击力+15\n防御力+15\n使用属性:\n攻击力+75\n防御力+75\n</v>
      </c>
      <c r="AG18" s="12" t="str">
        <f>VLOOKUP(X18,[1]CharPropertyConfig!$A:$B,2,FALSE)</f>
        <v>攻击力</v>
      </c>
      <c r="AH18" s="12" t="str">
        <f>VLOOKUP(Z18,[1]CharPropertyConfig!$A:$B,2,FALSE)</f>
        <v>防御力</v>
      </c>
      <c r="AI18" s="12" t="str">
        <f>VLOOKUP(AB18,[1]CharPropertyConfig!$A:$B,2,FALSE)</f>
        <v>生命值</v>
      </c>
      <c r="AJ18" s="14">
        <f t="shared" si="12"/>
        <v>80</v>
      </c>
      <c r="AK18" s="12">
        <f t="shared" si="13"/>
        <v>6.9</v>
      </c>
      <c r="AL18" s="12">
        <f t="shared" si="14"/>
        <v>34.5</v>
      </c>
      <c r="AM18" s="12" t="e">
        <f>INDEX([2]achievement!$B:$B,MATCH(SUMIFS([3]ItemConfig!$A:$A,[3]ItemConfig!$T:$T,"add_title",[3]ItemConfig!$U:$U,A18),[2]achievement!$H:$H,0))</f>
        <v>#VALUE!</v>
      </c>
      <c r="AO18" s="12" t="str">
        <f t="shared" si="15"/>
        <v>[A4E66FFF][A4E66FFF]大红大紫[-][-]</v>
      </c>
      <c r="AQ18" s="14" t="str">
        <f t="shared" si="24"/>
        <v>大红大紫[-][-]</v>
      </c>
      <c r="AR18" s="14" t="s">
        <v>175</v>
      </c>
      <c r="AS18" s="13">
        <v>7</v>
      </c>
      <c r="AT18" s="4" t="s">
        <v>33</v>
      </c>
      <c r="AV18" s="12">
        <f t="shared" si="16"/>
        <v>3312</v>
      </c>
      <c r="AW18" s="12">
        <f t="shared" si="17"/>
        <v>2</v>
      </c>
      <c r="AX18" s="14" t="str">
        <f t="shared" si="25"/>
        <v/>
      </c>
    </row>
    <row r="19" spans="1:50">
      <c r="A19" s="24">
        <v>22</v>
      </c>
      <c r="B19" s="47" t="s">
        <v>258</v>
      </c>
      <c r="C19" s="24" t="str">
        <f t="shared" si="0"/>
        <v>特殊活动产出</v>
      </c>
      <c r="D19" s="24" t="s">
        <v>334</v>
      </c>
      <c r="E19" s="26" t="str">
        <f t="shared" ca="1" si="1"/>
        <v>102:25|104:625</v>
      </c>
      <c r="F19" s="26" t="str">
        <f t="shared" ca="1" si="2"/>
        <v>102:5|104:125</v>
      </c>
      <c r="G19" s="24">
        <f t="shared" si="19"/>
        <v>935</v>
      </c>
      <c r="H19" s="26">
        <f t="shared" si="20"/>
        <v>187</v>
      </c>
      <c r="I19" s="40">
        <v>1</v>
      </c>
      <c r="J19" s="24">
        <v>1</v>
      </c>
      <c r="K19" s="24">
        <v>1</v>
      </c>
      <c r="L19" s="24">
        <v>1</v>
      </c>
      <c r="M19" s="24" t="s">
        <v>100</v>
      </c>
      <c r="N19" s="23" t="s">
        <v>215</v>
      </c>
      <c r="O19" s="58">
        <v>0</v>
      </c>
      <c r="P19" s="60">
        <v>170028</v>
      </c>
      <c r="Q19" s="58">
        <v>10</v>
      </c>
      <c r="R19" s="12" t="str">
        <f t="shared" si="3"/>
        <v>102:5|104:125</v>
      </c>
      <c r="S19" s="12" t="str">
        <f t="shared" si="4"/>
        <v>101:5|104:125</v>
      </c>
      <c r="T19" s="12" t="str">
        <f t="shared" si="5"/>
        <v>101:5|102:5</v>
      </c>
      <c r="U19" s="12" t="str">
        <f t="shared" si="6"/>
        <v>102:25|104:625</v>
      </c>
      <c r="V19" s="12" t="str">
        <f t="shared" si="7"/>
        <v>101:25|104:625</v>
      </c>
      <c r="W19" s="12" t="str">
        <f t="shared" si="8"/>
        <v>101:25|102:25</v>
      </c>
      <c r="X19" s="12">
        <v>101</v>
      </c>
      <c r="Y19" s="14">
        <f t="shared" si="9"/>
        <v>5</v>
      </c>
      <c r="Z19" s="12">
        <v>102</v>
      </c>
      <c r="AA19" s="14">
        <f t="shared" si="10"/>
        <v>5</v>
      </c>
      <c r="AB19" s="12">
        <v>104</v>
      </c>
      <c r="AC19" s="14">
        <f t="shared" si="11"/>
        <v>125</v>
      </c>
      <c r="AD19" s="14" t="str">
        <f t="shared" si="21"/>
        <v>[A4E66FFF]万人斩[-]\n被动属性:\n防御力+5\n生命值+125\n使用属性:\n防御力+25\n生命值+625\n</v>
      </c>
      <c r="AE19" s="14" t="str">
        <f t="shared" si="22"/>
        <v>[A4E66FFF]万人斩[-]\n被动属性:\n攻击力+5\n生命值+125\n使用属性:\n攻击力+25\n生命值+625\n</v>
      </c>
      <c r="AF19" s="14" t="str">
        <f t="shared" si="23"/>
        <v>[A4E66FFF]万人斩[-]\n被动属性:\n攻击力+5\n防御力+5\n使用属性:\n攻击力+25\n防御力+25\n</v>
      </c>
      <c r="AG19" s="12" t="str">
        <f>VLOOKUP(X19,[1]CharPropertyConfig!$A:$B,2,FALSE)</f>
        <v>攻击力</v>
      </c>
      <c r="AH19" s="12" t="str">
        <f>VLOOKUP(Z19,[1]CharPropertyConfig!$A:$B,2,FALSE)</f>
        <v>防御力</v>
      </c>
      <c r="AI19" s="12" t="str">
        <f>VLOOKUP(AB19,[1]CharPropertyConfig!$A:$B,2,FALSE)</f>
        <v>生命值</v>
      </c>
      <c r="AJ19" s="14">
        <f t="shared" si="12"/>
        <v>10</v>
      </c>
      <c r="AK19" s="12">
        <f t="shared" si="13"/>
        <v>18.7</v>
      </c>
      <c r="AL19" s="12">
        <f t="shared" si="14"/>
        <v>93.5</v>
      </c>
      <c r="AM19" s="12" t="e">
        <f>INDEX([2]achievement!$B:$B,MATCH(SUMIFS([3]ItemConfig!$A:$A,[3]ItemConfig!$T:$T,"add_title",[3]ItemConfig!$U:$U,A19),[2]achievement!$H:$H,0))</f>
        <v>#VALUE!</v>
      </c>
      <c r="AO19" s="12" t="str">
        <f t="shared" si="15"/>
        <v>[A4E66FFF][A4E66FFF]万人斩[-][-]</v>
      </c>
      <c r="AQ19" s="14" t="str">
        <f t="shared" si="24"/>
        <v>万人斩[-][-]</v>
      </c>
      <c r="AR19" s="14" t="s">
        <v>176</v>
      </c>
      <c r="AS19" s="13">
        <v>8</v>
      </c>
      <c r="AT19" s="4" t="s">
        <v>33</v>
      </c>
      <c r="AV19" s="12">
        <f t="shared" si="16"/>
        <v>1122</v>
      </c>
      <c r="AW19" s="12">
        <f t="shared" si="17"/>
        <v>1</v>
      </c>
      <c r="AX19" s="14" t="str">
        <f t="shared" si="25"/>
        <v/>
      </c>
    </row>
    <row r="20" spans="1:50">
      <c r="A20" s="24">
        <v>23</v>
      </c>
      <c r="B20" s="47" t="s">
        <v>259</v>
      </c>
      <c r="C20" s="24" t="str">
        <f t="shared" si="0"/>
        <v>特殊活动产出</v>
      </c>
      <c r="D20" s="24" t="s">
        <v>335</v>
      </c>
      <c r="E20" s="26" t="str">
        <f t="shared" ca="1" si="1"/>
        <v>102:300|104:7000</v>
      </c>
      <c r="F20" s="26" t="str">
        <f t="shared" ca="1" si="2"/>
        <v>102:60|104:1400</v>
      </c>
      <c r="G20" s="24">
        <f t="shared" si="19"/>
        <v>11000</v>
      </c>
      <c r="H20" s="26">
        <f t="shared" si="20"/>
        <v>2200</v>
      </c>
      <c r="I20" s="40">
        <v>5</v>
      </c>
      <c r="J20" s="24">
        <v>1</v>
      </c>
      <c r="K20" s="24">
        <v>1</v>
      </c>
      <c r="L20" s="24">
        <v>1</v>
      </c>
      <c r="M20" s="24" t="s">
        <v>100</v>
      </c>
      <c r="N20" s="23" t="s">
        <v>215</v>
      </c>
      <c r="O20" s="58">
        <v>0</v>
      </c>
      <c r="P20" s="60">
        <v>170029</v>
      </c>
      <c r="Q20" s="58">
        <v>10</v>
      </c>
      <c r="R20" s="12" t="str">
        <f t="shared" si="3"/>
        <v>102:60|104:1400</v>
      </c>
      <c r="S20" s="12" t="str">
        <f t="shared" si="4"/>
        <v>101:60|104:1400</v>
      </c>
      <c r="T20" s="12" t="str">
        <f t="shared" si="5"/>
        <v>101:60|102:60</v>
      </c>
      <c r="U20" s="12" t="str">
        <f t="shared" si="6"/>
        <v>102:300|104:7000</v>
      </c>
      <c r="V20" s="12" t="str">
        <f t="shared" si="7"/>
        <v>101:300|104:7000</v>
      </c>
      <c r="W20" s="12" t="str">
        <f t="shared" si="8"/>
        <v>101:300|102:300</v>
      </c>
      <c r="X20" s="12">
        <v>101</v>
      </c>
      <c r="Y20" s="14">
        <f t="shared" si="9"/>
        <v>60</v>
      </c>
      <c r="Z20" s="12">
        <v>102</v>
      </c>
      <c r="AA20" s="14">
        <f t="shared" si="10"/>
        <v>60</v>
      </c>
      <c r="AB20" s="12">
        <v>104</v>
      </c>
      <c r="AC20" s="14">
        <f t="shared" si="11"/>
        <v>1400</v>
      </c>
      <c r="AD20" s="14" t="str">
        <f t="shared" si="21"/>
        <v>[C776F3FF]疯子[-]\n被动属性:\n防御力+60\n生命值+1400\n使用属性:\n防御力+300\n生命值+7000\n</v>
      </c>
      <c r="AE20" s="14" t="str">
        <f t="shared" si="22"/>
        <v>[C776F3FF]疯子[-]\n被动属性:\n攻击力+60\n生命值+1400\n使用属性:\n攻击力+300\n生命值+7000\n</v>
      </c>
      <c r="AF20" s="14" t="str">
        <f t="shared" si="23"/>
        <v>[C776F3FF]疯子[-]\n被动属性:\n攻击力+60\n防御力+60\n使用属性:\n攻击力+300\n防御力+300\n</v>
      </c>
      <c r="AG20" s="12" t="str">
        <f>VLOOKUP(X20,[1]CharPropertyConfig!$A:$B,2,FALSE)</f>
        <v>攻击力</v>
      </c>
      <c r="AH20" s="12" t="str">
        <f>VLOOKUP(Z20,[1]CharPropertyConfig!$A:$B,2,FALSE)</f>
        <v>防御力</v>
      </c>
      <c r="AI20" s="12" t="str">
        <f>VLOOKUP(AB20,[1]CharPropertyConfig!$A:$B,2,FALSE)</f>
        <v>生命值</v>
      </c>
      <c r="AJ20" s="14">
        <f t="shared" si="12"/>
        <v>3130</v>
      </c>
      <c r="AK20" s="12">
        <f t="shared" si="13"/>
        <v>0.70287539936102239</v>
      </c>
      <c r="AL20" s="12">
        <f t="shared" si="14"/>
        <v>3.5143769968051117</v>
      </c>
      <c r="AM20" s="12" t="e">
        <f>INDEX([2]achievement!$B:$B,MATCH(SUMIFS([3]ItemConfig!$A:$A,[3]ItemConfig!$T:$T,"add_title",[3]ItemConfig!$U:$U,A20),[2]achievement!$H:$H,0))</f>
        <v>#VALUE!</v>
      </c>
      <c r="AO20" s="12" t="str">
        <f t="shared" si="15"/>
        <v>[C776F3FF][C776F3FF]疯子[-][-]</v>
      </c>
      <c r="AQ20" s="14" t="str">
        <f t="shared" si="24"/>
        <v>疯子[-][-]</v>
      </c>
      <c r="AR20" s="14" t="s">
        <v>177</v>
      </c>
      <c r="AS20" s="13">
        <v>9</v>
      </c>
      <c r="AT20" s="4" t="s">
        <v>243</v>
      </c>
      <c r="AV20" s="12">
        <f t="shared" si="16"/>
        <v>13200</v>
      </c>
      <c r="AW20" s="12">
        <f t="shared" si="17"/>
        <v>5</v>
      </c>
      <c r="AX20" s="14" t="str">
        <f t="shared" si="25"/>
        <v/>
      </c>
    </row>
    <row r="21" spans="1:50">
      <c r="A21" s="24">
        <v>24</v>
      </c>
      <c r="B21" s="47" t="s">
        <v>260</v>
      </c>
      <c r="C21" s="24" t="str">
        <f t="shared" si="0"/>
        <v>特殊活动产出</v>
      </c>
      <c r="D21" s="24" t="s">
        <v>336</v>
      </c>
      <c r="E21" s="26" t="str">
        <f t="shared" ca="1" si="1"/>
        <v>102:25|104:625</v>
      </c>
      <c r="F21" s="26" t="str">
        <f t="shared" ca="1" si="2"/>
        <v>102:5|104:125</v>
      </c>
      <c r="G21" s="24">
        <f t="shared" si="19"/>
        <v>935</v>
      </c>
      <c r="H21" s="26">
        <f t="shared" si="20"/>
        <v>187</v>
      </c>
      <c r="I21" s="40">
        <v>1</v>
      </c>
      <c r="J21" s="24">
        <v>1</v>
      </c>
      <c r="K21" s="24">
        <v>1</v>
      </c>
      <c r="L21" s="24">
        <v>1</v>
      </c>
      <c r="M21" s="24" t="s">
        <v>100</v>
      </c>
      <c r="N21" s="23" t="s">
        <v>215</v>
      </c>
      <c r="O21" s="58">
        <v>0</v>
      </c>
      <c r="P21" s="60">
        <v>170030</v>
      </c>
      <c r="Q21" s="58">
        <v>10</v>
      </c>
      <c r="R21" s="12" t="str">
        <f t="shared" si="3"/>
        <v>102:5|104:125</v>
      </c>
      <c r="S21" s="12" t="str">
        <f t="shared" si="4"/>
        <v>101:5|104:125</v>
      </c>
      <c r="T21" s="12" t="str">
        <f t="shared" si="5"/>
        <v>101:5|102:5</v>
      </c>
      <c r="U21" s="12" t="str">
        <f t="shared" si="6"/>
        <v>102:25|104:625</v>
      </c>
      <c r="V21" s="12" t="str">
        <f t="shared" si="7"/>
        <v>101:25|104:625</v>
      </c>
      <c r="W21" s="12" t="str">
        <f t="shared" si="8"/>
        <v>101:25|102:25</v>
      </c>
      <c r="X21" s="12">
        <v>101</v>
      </c>
      <c r="Y21" s="14">
        <f t="shared" si="9"/>
        <v>5</v>
      </c>
      <c r="Z21" s="12">
        <v>102</v>
      </c>
      <c r="AA21" s="14">
        <f t="shared" si="10"/>
        <v>5</v>
      </c>
      <c r="AB21" s="12">
        <v>104</v>
      </c>
      <c r="AC21" s="14">
        <f t="shared" si="11"/>
        <v>125</v>
      </c>
      <c r="AD21" s="14" t="str">
        <f t="shared" si="21"/>
        <v>[A4E66FFF]ATM[-]\n被动属性:\n防御力+5\n生命值+125\n使用属性:\n防御力+25\n生命值+625\n</v>
      </c>
      <c r="AE21" s="14" t="str">
        <f t="shared" si="22"/>
        <v>[A4E66FFF]ATM[-]\n被动属性:\n攻击力+5\n生命值+125\n使用属性:\n攻击力+25\n生命值+625\n</v>
      </c>
      <c r="AF21" s="14" t="str">
        <f t="shared" si="23"/>
        <v>[A4E66FFF]ATM[-]\n被动属性:\n攻击力+5\n防御力+5\n使用属性:\n攻击力+25\n防御力+25\n</v>
      </c>
      <c r="AG21" s="12" t="str">
        <f>VLOOKUP(X21,[1]CharPropertyConfig!$A:$B,2,FALSE)</f>
        <v>攻击力</v>
      </c>
      <c r="AH21" s="12" t="str">
        <f>VLOOKUP(Z21,[1]CharPropertyConfig!$A:$B,2,FALSE)</f>
        <v>防御力</v>
      </c>
      <c r="AI21" s="12" t="str">
        <f>VLOOKUP(AB21,[1]CharPropertyConfig!$A:$B,2,FALSE)</f>
        <v>生命值</v>
      </c>
      <c r="AJ21" s="14">
        <f t="shared" si="12"/>
        <v>10</v>
      </c>
      <c r="AK21" s="12">
        <f t="shared" si="13"/>
        <v>18.7</v>
      </c>
      <c r="AL21" s="12">
        <f t="shared" si="14"/>
        <v>93.5</v>
      </c>
      <c r="AM21" s="12" t="e">
        <f>INDEX([2]achievement!$B:$B,MATCH(SUMIFS([3]ItemConfig!$A:$A,[3]ItemConfig!$T:$T,"add_title",[3]ItemConfig!$U:$U,A21),[2]achievement!$H:$H,0))</f>
        <v>#VALUE!</v>
      </c>
      <c r="AO21" s="12" t="str">
        <f t="shared" si="15"/>
        <v>[A4E66FFF][A4E66FFF]ATM[-][-]</v>
      </c>
      <c r="AQ21" s="14" t="str">
        <f t="shared" si="24"/>
        <v>ATM[-][-]</v>
      </c>
      <c r="AR21" s="14" t="s">
        <v>178</v>
      </c>
      <c r="AS21" s="13">
        <v>10</v>
      </c>
      <c r="AT21" s="4" t="s">
        <v>233</v>
      </c>
      <c r="AV21" s="12">
        <f t="shared" si="16"/>
        <v>1122</v>
      </c>
      <c r="AW21" s="12">
        <f t="shared" si="17"/>
        <v>1</v>
      </c>
      <c r="AX21" s="14" t="str">
        <f t="shared" si="25"/>
        <v/>
      </c>
    </row>
    <row r="22" spans="1:50">
      <c r="A22" s="24">
        <v>25</v>
      </c>
      <c r="B22" s="47" t="s">
        <v>261</v>
      </c>
      <c r="C22" s="24" t="str">
        <f t="shared" si="0"/>
        <v>特殊活动产出</v>
      </c>
      <c r="D22" s="24" t="s">
        <v>337</v>
      </c>
      <c r="E22" s="26" t="str">
        <f t="shared" ca="1" si="1"/>
        <v>102:300|104:7000</v>
      </c>
      <c r="F22" s="26" t="str">
        <f t="shared" ca="1" si="2"/>
        <v>102:60|104:1400</v>
      </c>
      <c r="G22" s="24">
        <f t="shared" si="19"/>
        <v>11000</v>
      </c>
      <c r="H22" s="26">
        <f t="shared" si="20"/>
        <v>2200</v>
      </c>
      <c r="I22" s="40">
        <v>5</v>
      </c>
      <c r="J22" s="24">
        <v>1</v>
      </c>
      <c r="K22" s="24">
        <v>1</v>
      </c>
      <c r="L22" s="24">
        <v>1</v>
      </c>
      <c r="M22" s="24" t="s">
        <v>100</v>
      </c>
      <c r="N22" s="23" t="s">
        <v>215</v>
      </c>
      <c r="O22" s="58">
        <v>0</v>
      </c>
      <c r="P22" s="60">
        <v>170031</v>
      </c>
      <c r="Q22" s="58">
        <v>10</v>
      </c>
      <c r="R22" s="12" t="str">
        <f t="shared" si="3"/>
        <v>102:60|104:1400</v>
      </c>
      <c r="S22" s="12" t="str">
        <f t="shared" si="4"/>
        <v>101:60|104:1400</v>
      </c>
      <c r="T22" s="12" t="str">
        <f t="shared" si="5"/>
        <v>101:60|102:60</v>
      </c>
      <c r="U22" s="12" t="str">
        <f t="shared" si="6"/>
        <v>102:300|104:7000</v>
      </c>
      <c r="V22" s="12" t="str">
        <f t="shared" si="7"/>
        <v>101:300|104:7000</v>
      </c>
      <c r="W22" s="12" t="str">
        <f t="shared" si="8"/>
        <v>101:300|102:300</v>
      </c>
      <c r="X22" s="12">
        <v>101</v>
      </c>
      <c r="Y22" s="14">
        <f t="shared" si="9"/>
        <v>60</v>
      </c>
      <c r="Z22" s="12">
        <v>102</v>
      </c>
      <c r="AA22" s="14">
        <f t="shared" si="10"/>
        <v>60</v>
      </c>
      <c r="AB22" s="12">
        <v>104</v>
      </c>
      <c r="AC22" s="14">
        <f t="shared" si="11"/>
        <v>1400</v>
      </c>
      <c r="AD22" s="14" t="str">
        <f t="shared" si="21"/>
        <v>[C776F3FF]集结号[-]\n被动属性:\n防御力+60\n生命值+1400\n使用属性:\n防御力+300\n生命值+7000\n</v>
      </c>
      <c r="AE22" s="14" t="str">
        <f t="shared" si="22"/>
        <v>[C776F3FF]集结号[-]\n被动属性:\n攻击力+60\n生命值+1400\n使用属性:\n攻击力+300\n生命值+7000\n</v>
      </c>
      <c r="AF22" s="14" t="str">
        <f t="shared" si="23"/>
        <v>[C776F3FF]集结号[-]\n被动属性:\n攻击力+60\n防御力+60\n使用属性:\n攻击力+300\n防御力+300\n</v>
      </c>
      <c r="AG22" s="12" t="str">
        <f>VLOOKUP(X22,[1]CharPropertyConfig!$A:$B,2,FALSE)</f>
        <v>攻击力</v>
      </c>
      <c r="AH22" s="12" t="str">
        <f>VLOOKUP(Z22,[1]CharPropertyConfig!$A:$B,2,FALSE)</f>
        <v>防御力</v>
      </c>
      <c r="AI22" s="12" t="str">
        <f>VLOOKUP(AB22,[1]CharPropertyConfig!$A:$B,2,FALSE)</f>
        <v>生命值</v>
      </c>
      <c r="AJ22" s="14">
        <f t="shared" si="12"/>
        <v>3130</v>
      </c>
      <c r="AK22" s="12">
        <f t="shared" si="13"/>
        <v>0.70287539936102239</v>
      </c>
      <c r="AL22" s="12">
        <f t="shared" si="14"/>
        <v>3.5143769968051117</v>
      </c>
      <c r="AM22" s="12" t="e">
        <f>INDEX([2]achievement!$B:$B,MATCH(SUMIFS([3]ItemConfig!$A:$A,[3]ItemConfig!$T:$T,"add_title",[3]ItemConfig!$U:$U,A22),[2]achievement!$H:$H,0))</f>
        <v>#VALUE!</v>
      </c>
      <c r="AO22" s="12" t="str">
        <f t="shared" si="15"/>
        <v>[C776F3FF][C776F3FF]集结号[-][-]</v>
      </c>
      <c r="AQ22" s="14" t="str">
        <f t="shared" si="24"/>
        <v>集结号[-][-]</v>
      </c>
      <c r="AR22" s="14" t="s">
        <v>179</v>
      </c>
      <c r="AV22" s="12">
        <f t="shared" si="16"/>
        <v>13200</v>
      </c>
      <c r="AW22" s="12">
        <f t="shared" si="17"/>
        <v>5</v>
      </c>
      <c r="AX22" s="14" t="str">
        <f t="shared" si="25"/>
        <v/>
      </c>
    </row>
    <row r="23" spans="1:50">
      <c r="A23" s="24">
        <v>26</v>
      </c>
      <c r="B23" s="47" t="s">
        <v>262</v>
      </c>
      <c r="C23" s="24" t="str">
        <f t="shared" si="0"/>
        <v>成长挑战产出</v>
      </c>
      <c r="D23" s="24" t="s">
        <v>338</v>
      </c>
      <c r="E23" s="26" t="str">
        <f t="shared" ca="1" si="1"/>
        <v>102:375|104:9200</v>
      </c>
      <c r="F23" s="26" t="str">
        <f t="shared" ca="1" si="2"/>
        <v>102:75|104:1840</v>
      </c>
      <c r="G23" s="24">
        <f t="shared" si="19"/>
        <v>13975</v>
      </c>
      <c r="H23" s="26">
        <f t="shared" si="20"/>
        <v>2795</v>
      </c>
      <c r="I23" s="41">
        <v>6</v>
      </c>
      <c r="J23" s="24">
        <v>1</v>
      </c>
      <c r="K23" s="24">
        <v>1</v>
      </c>
      <c r="L23" s="24">
        <v>1</v>
      </c>
      <c r="M23" s="24" t="s">
        <v>100</v>
      </c>
      <c r="N23" s="23" t="s">
        <v>215</v>
      </c>
      <c r="O23" s="58">
        <v>0</v>
      </c>
      <c r="P23" s="60">
        <v>170032</v>
      </c>
      <c r="Q23" s="58">
        <v>10</v>
      </c>
      <c r="R23" s="12" t="str">
        <f t="shared" si="3"/>
        <v>102:75|104:1840</v>
      </c>
      <c r="S23" s="12" t="str">
        <f t="shared" si="4"/>
        <v>101:75|104:1840</v>
      </c>
      <c r="T23" s="12" t="str">
        <f t="shared" si="5"/>
        <v>101:75|102:75</v>
      </c>
      <c r="U23" s="12" t="str">
        <f t="shared" si="6"/>
        <v>102:375|104:9200</v>
      </c>
      <c r="V23" s="12" t="str">
        <f t="shared" si="7"/>
        <v>101:375|104:9200</v>
      </c>
      <c r="W23" s="12" t="str">
        <f t="shared" si="8"/>
        <v>101:375|102:375</v>
      </c>
      <c r="X23" s="12">
        <v>101</v>
      </c>
      <c r="Y23" s="14">
        <f t="shared" si="9"/>
        <v>75</v>
      </c>
      <c r="Z23" s="12">
        <v>102</v>
      </c>
      <c r="AA23" s="14">
        <f t="shared" si="10"/>
        <v>75</v>
      </c>
      <c r="AB23" s="12">
        <v>104</v>
      </c>
      <c r="AC23" s="14">
        <f t="shared" si="11"/>
        <v>1840</v>
      </c>
      <c r="AD23" s="14" t="str">
        <f t="shared" si="21"/>
        <v>[76CBF3FF]冒险者[-]\n被动属性:\n防御力+75\n生命值+1840\n使用属性:\n防御力+375\n生命值+9200\n</v>
      </c>
      <c r="AE23" s="14" t="str">
        <f t="shared" si="22"/>
        <v>[76CBF3FF]冒险者[-]\n被动属性:\n攻击力+75\n生命值+1840\n使用属性:\n攻击力+375\n生命值+9200\n</v>
      </c>
      <c r="AF23" s="14" t="str">
        <f t="shared" si="23"/>
        <v>[76CBF3FF]冒险者[-]\n被动属性:\n攻击力+75\n防御力+75\n使用属性:\n攻击力+375\n防御力+375\n</v>
      </c>
      <c r="AG23" s="12" t="str">
        <f>VLOOKUP(X23,[1]CharPropertyConfig!$A:$B,2,FALSE)</f>
        <v>攻击力</v>
      </c>
      <c r="AH23" s="12" t="str">
        <f>VLOOKUP(Z23,[1]CharPropertyConfig!$A:$B,2,FALSE)</f>
        <v>防御力</v>
      </c>
      <c r="AI23" s="12" t="str">
        <f>VLOOKUP(AB23,[1]CharPropertyConfig!$A:$B,2,FALSE)</f>
        <v>生命值</v>
      </c>
      <c r="AJ23" s="14">
        <f t="shared" si="12"/>
        <v>6480</v>
      </c>
      <c r="AK23" s="12">
        <f t="shared" si="13"/>
        <v>0.43132716049382713</v>
      </c>
      <c r="AL23" s="12">
        <f t="shared" si="14"/>
        <v>2.1566358024691357</v>
      </c>
      <c r="AM23" s="12" t="e">
        <f>INDEX([2]achievement!$B:$B,MATCH(SUMIFS([3]ItemConfig!$A:$A,[3]ItemConfig!$T:$T,"add_title",[3]ItemConfig!$U:$U,A23),[2]achievement!$H:$H,0))</f>
        <v>#VALUE!</v>
      </c>
      <c r="AN23" s="12" t="s">
        <v>34</v>
      </c>
      <c r="AO23" s="12" t="str">
        <f t="shared" si="15"/>
        <v>[C776F3FF][76CBF3FF]冒险者[-][-]</v>
      </c>
      <c r="AQ23" s="14" t="str">
        <f t="shared" si="24"/>
        <v>冒险者[-][-]</v>
      </c>
      <c r="AR23" s="14" t="s">
        <v>180</v>
      </c>
      <c r="AV23" s="12">
        <f t="shared" si="16"/>
        <v>16770</v>
      </c>
      <c r="AW23" s="12">
        <f t="shared" si="17"/>
        <v>6</v>
      </c>
      <c r="AX23" s="14" t="str">
        <f t="shared" si="25"/>
        <v/>
      </c>
    </row>
    <row r="24" spans="1:50">
      <c r="A24" s="24">
        <v>27</v>
      </c>
      <c r="B24" s="47" t="s">
        <v>86</v>
      </c>
      <c r="C24" s="24" t="str">
        <f t="shared" si="0"/>
        <v>特殊活动产出</v>
      </c>
      <c r="D24" s="24" t="s">
        <v>339</v>
      </c>
      <c r="E24" s="26" t="str">
        <f t="shared" ca="1" si="1"/>
        <v>101:75|104:1775</v>
      </c>
      <c r="F24" s="26" t="str">
        <f t="shared" ca="1" si="2"/>
        <v>101:15|104:355</v>
      </c>
      <c r="G24" s="24">
        <f t="shared" si="19"/>
        <v>2760</v>
      </c>
      <c r="H24" s="26">
        <f t="shared" si="20"/>
        <v>552</v>
      </c>
      <c r="I24" s="40">
        <v>2</v>
      </c>
      <c r="J24" s="24">
        <v>2</v>
      </c>
      <c r="K24" s="24">
        <v>1</v>
      </c>
      <c r="L24" s="24">
        <v>1</v>
      </c>
      <c r="M24" s="24" t="s">
        <v>100</v>
      </c>
      <c r="N24" s="23" t="s">
        <v>215</v>
      </c>
      <c r="O24" s="58">
        <v>0</v>
      </c>
      <c r="P24" s="60">
        <v>170033</v>
      </c>
      <c r="Q24" s="58">
        <v>10</v>
      </c>
      <c r="R24" s="12" t="str">
        <f t="shared" si="3"/>
        <v>102:15|104:355</v>
      </c>
      <c r="S24" s="12" t="str">
        <f t="shared" si="4"/>
        <v>101:15|104:355</v>
      </c>
      <c r="T24" s="12" t="str">
        <f t="shared" si="5"/>
        <v>101:15|102:15</v>
      </c>
      <c r="U24" s="12" t="str">
        <f t="shared" si="6"/>
        <v>102:75|104:1775</v>
      </c>
      <c r="V24" s="12" t="str">
        <f t="shared" si="7"/>
        <v>101:75|104:1775</v>
      </c>
      <c r="W24" s="12" t="str">
        <f t="shared" si="8"/>
        <v>101:75|102:75</v>
      </c>
      <c r="X24" s="12">
        <v>101</v>
      </c>
      <c r="Y24" s="14">
        <f t="shared" si="9"/>
        <v>15</v>
      </c>
      <c r="Z24" s="12">
        <v>102</v>
      </c>
      <c r="AA24" s="14">
        <f t="shared" si="10"/>
        <v>15</v>
      </c>
      <c r="AB24" s="12">
        <v>104</v>
      </c>
      <c r="AC24" s="14">
        <f t="shared" si="11"/>
        <v>355</v>
      </c>
      <c r="AD24" s="14" t="str">
        <f t="shared" si="21"/>
        <v>[A4E66FFF]赏金猎人[-]\n被动属性:\n防御力+15\n生命值+355\n使用属性:\n防御力+75\n生命值+1775\n</v>
      </c>
      <c r="AE24" s="14" t="str">
        <f t="shared" si="22"/>
        <v>[A4E66FFF]赏金猎人[-]\n被动属性:\n攻击力+15\n生命值+355\n使用属性:\n攻击力+75\n生命值+1775\n</v>
      </c>
      <c r="AF24" s="14" t="str">
        <f t="shared" si="23"/>
        <v>[A4E66FFF]赏金猎人[-]\n被动属性:\n攻击力+15\n防御力+15\n使用属性:\n攻击力+75\n防御力+75\n</v>
      </c>
      <c r="AG24" s="12" t="str">
        <f>VLOOKUP(X24,[1]CharPropertyConfig!$A:$B,2,FALSE)</f>
        <v>攻击力</v>
      </c>
      <c r="AH24" s="12" t="str">
        <f>VLOOKUP(Z24,[1]CharPropertyConfig!$A:$B,2,FALSE)</f>
        <v>防御力</v>
      </c>
      <c r="AI24" s="12" t="str">
        <f>VLOOKUP(AB24,[1]CharPropertyConfig!$A:$B,2,FALSE)</f>
        <v>生命值</v>
      </c>
      <c r="AJ24" s="14">
        <f t="shared" si="12"/>
        <v>80</v>
      </c>
      <c r="AK24" s="12">
        <f t="shared" si="13"/>
        <v>6.9</v>
      </c>
      <c r="AL24" s="12">
        <f t="shared" si="14"/>
        <v>34.5</v>
      </c>
      <c r="AM24" s="12" t="e">
        <f>INDEX([2]achievement!$B:$B,MATCH(SUMIFS([3]ItemConfig!$A:$A,[3]ItemConfig!$T:$T,"add_title",[3]ItemConfig!$U:$U,A24),[2]achievement!$H:$H,0))</f>
        <v>#VALUE!</v>
      </c>
      <c r="AO24" s="12" t="str">
        <f t="shared" si="15"/>
        <v>[A4E66FFF][A4E66FFF]赏金猎人[-][-]</v>
      </c>
      <c r="AQ24" s="14" t="str">
        <f t="shared" si="24"/>
        <v>赏金猎人[-][-]</v>
      </c>
      <c r="AR24" s="14" t="s">
        <v>181</v>
      </c>
      <c r="AV24" s="12">
        <f t="shared" si="16"/>
        <v>3312</v>
      </c>
      <c r="AW24" s="12">
        <f t="shared" si="17"/>
        <v>2</v>
      </c>
      <c r="AX24" s="14" t="str">
        <f t="shared" si="25"/>
        <v/>
      </c>
    </row>
    <row r="25" spans="1:50">
      <c r="A25" s="24">
        <v>28</v>
      </c>
      <c r="B25" s="47" t="s">
        <v>263</v>
      </c>
      <c r="C25" s="24" t="str">
        <f t="shared" si="0"/>
        <v>特殊活动产出</v>
      </c>
      <c r="D25" s="24" t="s">
        <v>340</v>
      </c>
      <c r="E25" s="26" t="str">
        <f t="shared" ca="1" si="1"/>
        <v>101:300|104:7000</v>
      </c>
      <c r="F25" s="26" t="str">
        <f t="shared" ca="1" si="2"/>
        <v>101:60|104:1400</v>
      </c>
      <c r="G25" s="24">
        <f t="shared" si="19"/>
        <v>11000</v>
      </c>
      <c r="H25" s="26">
        <f t="shared" si="20"/>
        <v>2200</v>
      </c>
      <c r="I25" s="40">
        <v>5</v>
      </c>
      <c r="J25" s="24">
        <v>2</v>
      </c>
      <c r="K25" s="24">
        <v>1</v>
      </c>
      <c r="L25" s="24">
        <v>1</v>
      </c>
      <c r="M25" s="24" t="s">
        <v>100</v>
      </c>
      <c r="N25" s="23" t="s">
        <v>215</v>
      </c>
      <c r="O25" s="58">
        <v>0</v>
      </c>
      <c r="P25" s="60">
        <v>170034</v>
      </c>
      <c r="Q25" s="58">
        <v>10</v>
      </c>
      <c r="R25" s="12" t="str">
        <f t="shared" si="3"/>
        <v>102:60|104:1400</v>
      </c>
      <c r="S25" s="12" t="str">
        <f t="shared" si="4"/>
        <v>101:60|104:1400</v>
      </c>
      <c r="T25" s="12" t="str">
        <f t="shared" si="5"/>
        <v>101:60|102:60</v>
      </c>
      <c r="U25" s="12" t="str">
        <f t="shared" si="6"/>
        <v>102:300|104:7000</v>
      </c>
      <c r="V25" s="12" t="str">
        <f t="shared" si="7"/>
        <v>101:300|104:7000</v>
      </c>
      <c r="W25" s="12" t="str">
        <f t="shared" si="8"/>
        <v>101:300|102:300</v>
      </c>
      <c r="X25" s="12">
        <v>101</v>
      </c>
      <c r="Y25" s="14">
        <f t="shared" si="9"/>
        <v>60</v>
      </c>
      <c r="Z25" s="12">
        <v>102</v>
      </c>
      <c r="AA25" s="14">
        <f t="shared" si="10"/>
        <v>60</v>
      </c>
      <c r="AB25" s="12">
        <v>104</v>
      </c>
      <c r="AC25" s="14">
        <f t="shared" si="11"/>
        <v>1400</v>
      </c>
      <c r="AD25" s="14" t="str">
        <f t="shared" si="21"/>
        <v>[C776F3FF]招牌赏金[-]\n被动属性:\n防御力+60\n生命值+1400\n使用属性:\n防御力+300\n生命值+7000\n</v>
      </c>
      <c r="AE25" s="14" t="str">
        <f t="shared" si="22"/>
        <v>[C776F3FF]招牌赏金[-]\n被动属性:\n攻击力+60\n生命值+1400\n使用属性:\n攻击力+300\n生命值+7000\n</v>
      </c>
      <c r="AF25" s="14" t="str">
        <f t="shared" si="23"/>
        <v>[C776F3FF]招牌赏金[-]\n被动属性:\n攻击力+60\n防御力+60\n使用属性:\n攻击力+300\n防御力+300\n</v>
      </c>
      <c r="AG25" s="12" t="str">
        <f>VLOOKUP(X25,[1]CharPropertyConfig!$A:$B,2,FALSE)</f>
        <v>攻击力</v>
      </c>
      <c r="AH25" s="12" t="str">
        <f>VLOOKUP(Z25,[1]CharPropertyConfig!$A:$B,2,FALSE)</f>
        <v>防御力</v>
      </c>
      <c r="AI25" s="12" t="str">
        <f>VLOOKUP(AB25,[1]CharPropertyConfig!$A:$B,2,FALSE)</f>
        <v>生命值</v>
      </c>
      <c r="AJ25" s="14">
        <f t="shared" si="12"/>
        <v>3130</v>
      </c>
      <c r="AK25" s="12">
        <f t="shared" si="13"/>
        <v>0.70287539936102239</v>
      </c>
      <c r="AL25" s="12">
        <f t="shared" si="14"/>
        <v>3.5143769968051117</v>
      </c>
      <c r="AM25" s="12" t="e">
        <f>INDEX([2]achievement!$B:$B,MATCH(SUMIFS([3]ItemConfig!$A:$A,[3]ItemConfig!$T:$T,"add_title",[3]ItemConfig!$U:$U,A25),[2]achievement!$H:$H,0))</f>
        <v>#VALUE!</v>
      </c>
      <c r="AO25" s="12" t="str">
        <f t="shared" si="15"/>
        <v>[C776F3FF][C776F3FF]招牌赏金[-][-]</v>
      </c>
      <c r="AQ25" s="14" t="str">
        <f t="shared" si="24"/>
        <v>招牌赏金[-][-]</v>
      </c>
      <c r="AR25" s="14" t="s">
        <v>182</v>
      </c>
      <c r="AV25" s="12">
        <f t="shared" si="16"/>
        <v>13200</v>
      </c>
      <c r="AW25" s="12">
        <f t="shared" si="17"/>
        <v>5</v>
      </c>
      <c r="AX25" s="14" t="str">
        <f t="shared" si="25"/>
        <v/>
      </c>
    </row>
    <row r="26" spans="1:50">
      <c r="A26" s="24">
        <v>29</v>
      </c>
      <c r="B26" s="47" t="s">
        <v>264</v>
      </c>
      <c r="C26" s="24" t="str">
        <f t="shared" si="0"/>
        <v>特殊活动产出</v>
      </c>
      <c r="D26" s="24" t="s">
        <v>341</v>
      </c>
      <c r="E26" s="26" t="str">
        <f t="shared" ca="1" si="1"/>
        <v>101:75|104:1775</v>
      </c>
      <c r="F26" s="26" t="str">
        <f t="shared" ca="1" si="2"/>
        <v>101:15|104:355</v>
      </c>
      <c r="G26" s="24">
        <f t="shared" si="19"/>
        <v>2760</v>
      </c>
      <c r="H26" s="26">
        <f t="shared" si="20"/>
        <v>552</v>
      </c>
      <c r="I26" s="41">
        <v>2</v>
      </c>
      <c r="J26" s="24">
        <v>2</v>
      </c>
      <c r="K26" s="24">
        <v>1</v>
      </c>
      <c r="L26" s="24">
        <v>1</v>
      </c>
      <c r="M26" s="24" t="s">
        <v>100</v>
      </c>
      <c r="N26" s="23" t="s">
        <v>215</v>
      </c>
      <c r="O26" s="58">
        <v>0</v>
      </c>
      <c r="P26" s="60">
        <v>170035</v>
      </c>
      <c r="Q26" s="58">
        <v>10</v>
      </c>
      <c r="R26" s="12" t="str">
        <f t="shared" si="3"/>
        <v>102:15|104:355</v>
      </c>
      <c r="S26" s="12" t="str">
        <f t="shared" si="4"/>
        <v>101:15|104:355</v>
      </c>
      <c r="T26" s="12" t="str">
        <f t="shared" si="5"/>
        <v>101:15|102:15</v>
      </c>
      <c r="U26" s="12" t="str">
        <f t="shared" si="6"/>
        <v>102:75|104:1775</v>
      </c>
      <c r="V26" s="12" t="str">
        <f t="shared" si="7"/>
        <v>101:75|104:1775</v>
      </c>
      <c r="W26" s="12" t="str">
        <f t="shared" si="8"/>
        <v>101:75|102:75</v>
      </c>
      <c r="X26" s="12">
        <v>101</v>
      </c>
      <c r="Y26" s="14">
        <f t="shared" si="9"/>
        <v>15</v>
      </c>
      <c r="Z26" s="12">
        <v>102</v>
      </c>
      <c r="AA26" s="14">
        <f t="shared" si="10"/>
        <v>15</v>
      </c>
      <c r="AB26" s="12">
        <v>104</v>
      </c>
      <c r="AC26" s="14">
        <f t="shared" si="11"/>
        <v>355</v>
      </c>
      <c r="AD26" s="14" t="str">
        <f t="shared" si="21"/>
        <v>[A4E66FFF]白手起家[-]\n被动属性:\n防御力+15\n生命值+355\n使用属性:\n防御力+75\n生命值+1775\n</v>
      </c>
      <c r="AE26" s="14" t="str">
        <f t="shared" si="22"/>
        <v>[A4E66FFF]白手起家[-]\n被动属性:\n攻击力+15\n生命值+355\n使用属性:\n攻击力+75\n生命值+1775\n</v>
      </c>
      <c r="AF26" s="14" t="str">
        <f t="shared" si="23"/>
        <v>[A4E66FFF]白手起家[-]\n被动属性:\n攻击力+15\n防御力+15\n使用属性:\n攻击力+75\n防御力+75\n</v>
      </c>
      <c r="AG26" s="12" t="str">
        <f>VLOOKUP(X26,[1]CharPropertyConfig!$A:$B,2,FALSE)</f>
        <v>攻击力</v>
      </c>
      <c r="AH26" s="12" t="str">
        <f>VLOOKUP(Z26,[1]CharPropertyConfig!$A:$B,2,FALSE)</f>
        <v>防御力</v>
      </c>
      <c r="AI26" s="12" t="str">
        <f>VLOOKUP(AB26,[1]CharPropertyConfig!$A:$B,2,FALSE)</f>
        <v>生命值</v>
      </c>
      <c r="AJ26" s="14">
        <f t="shared" si="12"/>
        <v>80</v>
      </c>
      <c r="AK26" s="12">
        <f t="shared" si="13"/>
        <v>6.9</v>
      </c>
      <c r="AL26" s="12">
        <f t="shared" si="14"/>
        <v>34.5</v>
      </c>
      <c r="AM26" s="12" t="e">
        <f>INDEX([2]achievement!$B:$B,MATCH(SUMIFS([3]ItemConfig!$A:$A,[3]ItemConfig!$T:$T,"add_title",[3]ItemConfig!$U:$U,A26),[2]achievement!$H:$H,0))</f>
        <v>#VALUE!</v>
      </c>
      <c r="AO26" s="12" t="str">
        <f t="shared" si="15"/>
        <v>[A4E66FFF][A4E66FFF]白手起家[-][-]</v>
      </c>
      <c r="AQ26" s="14" t="str">
        <f t="shared" si="24"/>
        <v>白手起家[-][-]</v>
      </c>
      <c r="AR26" s="14" t="s">
        <v>183</v>
      </c>
      <c r="AV26" s="12">
        <f t="shared" si="16"/>
        <v>3312</v>
      </c>
      <c r="AW26" s="12">
        <f t="shared" si="17"/>
        <v>2</v>
      </c>
      <c r="AX26" s="14" t="str">
        <f t="shared" si="25"/>
        <v/>
      </c>
    </row>
    <row r="27" spans="1:50">
      <c r="A27" s="24">
        <v>30</v>
      </c>
      <c r="B27" s="47" t="s">
        <v>265</v>
      </c>
      <c r="C27" s="24" t="str">
        <f t="shared" si="0"/>
        <v>特殊活动产出</v>
      </c>
      <c r="D27" s="24" t="s">
        <v>342</v>
      </c>
      <c r="E27" s="26" t="str">
        <f t="shared" ca="1" si="1"/>
        <v>101:150|104:3250</v>
      </c>
      <c r="F27" s="26" t="str">
        <f t="shared" ca="1" si="2"/>
        <v>101:30|104:650</v>
      </c>
      <c r="G27" s="24">
        <f t="shared" si="19"/>
        <v>5375</v>
      </c>
      <c r="H27" s="26">
        <f t="shared" si="20"/>
        <v>1075</v>
      </c>
      <c r="I27" s="41">
        <v>3</v>
      </c>
      <c r="J27" s="24">
        <v>2</v>
      </c>
      <c r="K27" s="24">
        <v>1</v>
      </c>
      <c r="L27" s="24">
        <v>1</v>
      </c>
      <c r="M27" s="24" t="s">
        <v>100</v>
      </c>
      <c r="N27" s="23" t="s">
        <v>215</v>
      </c>
      <c r="O27" s="58">
        <v>0</v>
      </c>
      <c r="P27" s="62">
        <v>170035</v>
      </c>
      <c r="Q27" s="58">
        <v>10</v>
      </c>
      <c r="R27" s="12" t="str">
        <f t="shared" si="3"/>
        <v>102:30|104:650</v>
      </c>
      <c r="S27" s="12" t="str">
        <f t="shared" si="4"/>
        <v>101:30|104:650</v>
      </c>
      <c r="T27" s="12" t="str">
        <f t="shared" si="5"/>
        <v>101:30|102:30</v>
      </c>
      <c r="U27" s="12" t="str">
        <f t="shared" si="6"/>
        <v>102:150|104:3250</v>
      </c>
      <c r="V27" s="12" t="str">
        <f t="shared" si="7"/>
        <v>101:150|104:3250</v>
      </c>
      <c r="W27" s="12" t="str">
        <f t="shared" si="8"/>
        <v>101:150|102:150</v>
      </c>
      <c r="X27" s="12">
        <v>101</v>
      </c>
      <c r="Y27" s="14">
        <f t="shared" si="9"/>
        <v>30</v>
      </c>
      <c r="Z27" s="12">
        <v>102</v>
      </c>
      <c r="AA27" s="14">
        <f t="shared" si="10"/>
        <v>30</v>
      </c>
      <c r="AB27" s="12">
        <v>104</v>
      </c>
      <c r="AC27" s="14">
        <f t="shared" si="11"/>
        <v>650</v>
      </c>
      <c r="AD27" s="14" t="str">
        <f t="shared" si="21"/>
        <v>[76CBF3FF]金币满仓[-]\n被动属性:\n防御力+30\n生命值+650\n使用属性:\n防御力+150\n生命值+3250\n</v>
      </c>
      <c r="AE27" s="14" t="str">
        <f t="shared" si="22"/>
        <v>[76CBF3FF]金币满仓[-]\n被动属性:\n攻击力+30\n生命值+650\n使用属性:\n攻击力+150\n生命值+3250\n</v>
      </c>
      <c r="AF27" s="14" t="str">
        <f t="shared" si="23"/>
        <v>[76CBF3FF]金币满仓[-]\n被动属性:\n攻击力+30\n防御力+30\n使用属性:\n攻击力+150\n防御力+150\n</v>
      </c>
      <c r="AG27" s="12" t="str">
        <f>VLOOKUP(X27,[1]CharPropertyConfig!$A:$B,2,FALSE)</f>
        <v>攻击力</v>
      </c>
      <c r="AH27" s="12" t="str">
        <f>VLOOKUP(Z27,[1]CharPropertyConfig!$A:$B,2,FALSE)</f>
        <v>防御力</v>
      </c>
      <c r="AI27" s="12" t="str">
        <f>VLOOKUP(AB27,[1]CharPropertyConfig!$A:$B,2,FALSE)</f>
        <v>生命值</v>
      </c>
      <c r="AJ27" s="14">
        <f t="shared" si="12"/>
        <v>410</v>
      </c>
      <c r="AK27" s="12">
        <f t="shared" si="13"/>
        <v>2.6219512195121952</v>
      </c>
      <c r="AL27" s="12">
        <f t="shared" si="14"/>
        <v>13.109756097560975</v>
      </c>
      <c r="AM27" s="12" t="e">
        <f>INDEX([2]achievement!$B:$B,MATCH(SUMIFS([3]ItemConfig!$A:$A,[3]ItemConfig!$T:$T,"add_title",[3]ItemConfig!$U:$U,A27),[2]achievement!$H:$H,0))</f>
        <v>#VALUE!</v>
      </c>
      <c r="AO27" s="12" t="str">
        <f t="shared" si="15"/>
        <v>[76CBF3FF][76CBF3FF]金币满仓[-][-]</v>
      </c>
      <c r="AQ27" s="14" t="str">
        <f t="shared" si="24"/>
        <v>金币满仓[-][-]</v>
      </c>
      <c r="AR27" s="14" t="s">
        <v>184</v>
      </c>
      <c r="AV27" s="12">
        <f t="shared" si="16"/>
        <v>6450</v>
      </c>
      <c r="AW27" s="12">
        <f t="shared" si="17"/>
        <v>3</v>
      </c>
      <c r="AX27" s="14" t="str">
        <f t="shared" si="25"/>
        <v/>
      </c>
    </row>
    <row r="28" spans="1:50">
      <c r="A28" s="24">
        <v>31</v>
      </c>
      <c r="B28" s="47" t="s">
        <v>266</v>
      </c>
      <c r="C28" s="24" t="str">
        <f t="shared" si="0"/>
        <v>特殊活动产出</v>
      </c>
      <c r="D28" s="24" t="s">
        <v>330</v>
      </c>
      <c r="E28" s="26" t="str">
        <f t="shared" ca="1" si="1"/>
        <v>101:200|104:5000</v>
      </c>
      <c r="F28" s="26" t="str">
        <f t="shared" ca="1" si="2"/>
        <v>101:40|104:1000</v>
      </c>
      <c r="G28" s="24">
        <f t="shared" si="19"/>
        <v>7500</v>
      </c>
      <c r="H28" s="26">
        <f t="shared" si="20"/>
        <v>1500</v>
      </c>
      <c r="I28" s="41">
        <v>4</v>
      </c>
      <c r="J28" s="24">
        <v>2</v>
      </c>
      <c r="K28" s="24">
        <v>1</v>
      </c>
      <c r="L28" s="24">
        <v>1</v>
      </c>
      <c r="M28" s="24" t="s">
        <v>100</v>
      </c>
      <c r="N28" s="23" t="s">
        <v>215</v>
      </c>
      <c r="O28" s="58">
        <v>0</v>
      </c>
      <c r="P28" s="62">
        <v>170036</v>
      </c>
      <c r="Q28" s="58">
        <v>10</v>
      </c>
      <c r="R28" s="12" t="str">
        <f t="shared" si="3"/>
        <v>102:40|104:1000</v>
      </c>
      <c r="S28" s="12" t="str">
        <f t="shared" si="4"/>
        <v>101:40|104:1000</v>
      </c>
      <c r="T28" s="12" t="str">
        <f t="shared" si="5"/>
        <v>101:40|102:40</v>
      </c>
      <c r="U28" s="12" t="str">
        <f t="shared" si="6"/>
        <v>102:200|104:5000</v>
      </c>
      <c r="V28" s="12" t="str">
        <f t="shared" si="7"/>
        <v>101:200|104:5000</v>
      </c>
      <c r="W28" s="12" t="str">
        <f t="shared" si="8"/>
        <v>101:200|102:200</v>
      </c>
      <c r="X28" s="12">
        <v>101</v>
      </c>
      <c r="Y28" s="14">
        <f t="shared" si="9"/>
        <v>40</v>
      </c>
      <c r="Z28" s="12">
        <v>102</v>
      </c>
      <c r="AA28" s="14">
        <f t="shared" si="10"/>
        <v>40</v>
      </c>
      <c r="AB28" s="12">
        <v>104</v>
      </c>
      <c r="AC28" s="14">
        <f t="shared" si="11"/>
        <v>1000</v>
      </c>
      <c r="AD28" s="14" t="str">
        <f t="shared" si="21"/>
        <v>[76CBF3FF]富甲一方[-]\n被动属性:\n防御力+40\n生命值+1000\n使用属性:\n防御力+200\n生命值+5000\n</v>
      </c>
      <c r="AE28" s="14" t="str">
        <f t="shared" si="22"/>
        <v>[76CBF3FF]富甲一方[-]\n被动属性:\n攻击力+40\n生命值+1000\n使用属性:\n攻击力+200\n生命值+5000\n</v>
      </c>
      <c r="AF28" s="14" t="str">
        <f t="shared" si="23"/>
        <v>[76CBF3FF]富甲一方[-]\n被动属性:\n攻击力+40\n防御力+40\n使用属性:\n攻击力+200\n防御力+200\n</v>
      </c>
      <c r="AG28" s="12" t="str">
        <f>VLOOKUP(X28,[1]CharPropertyConfig!$A:$B,2,FALSE)</f>
        <v>攻击力</v>
      </c>
      <c r="AH28" s="12" t="str">
        <f>VLOOKUP(Z28,[1]CharPropertyConfig!$A:$B,2,FALSE)</f>
        <v>防御力</v>
      </c>
      <c r="AI28" s="12" t="str">
        <f>VLOOKUP(AB28,[1]CharPropertyConfig!$A:$B,2,FALSE)</f>
        <v>生命值</v>
      </c>
      <c r="AJ28" s="14">
        <f t="shared" si="12"/>
        <v>1280</v>
      </c>
      <c r="AK28" s="12">
        <f t="shared" si="13"/>
        <v>1.171875</v>
      </c>
      <c r="AL28" s="12">
        <f t="shared" si="14"/>
        <v>5.859375</v>
      </c>
      <c r="AM28" s="12" t="e">
        <f>INDEX([2]achievement!$B:$B,MATCH(SUMIFS([3]ItemConfig!$A:$A,[3]ItemConfig!$T:$T,"add_title",[3]ItemConfig!$U:$U,A28),[2]achievement!$H:$H,0))</f>
        <v>#VALUE!</v>
      </c>
      <c r="AO28" s="12" t="str">
        <f t="shared" si="15"/>
        <v>[76CBF3FF][76CBF3FF]富甲一方[-][-]</v>
      </c>
      <c r="AQ28" s="14" t="str">
        <f t="shared" si="24"/>
        <v>富甲一方[-][-]</v>
      </c>
      <c r="AR28" s="14" t="s">
        <v>185</v>
      </c>
      <c r="AV28" s="12">
        <f t="shared" si="16"/>
        <v>9000</v>
      </c>
      <c r="AW28" s="12">
        <f t="shared" si="17"/>
        <v>4</v>
      </c>
      <c r="AX28" s="14" t="str">
        <f t="shared" si="25"/>
        <v/>
      </c>
    </row>
    <row r="29" spans="1:50">
      <c r="A29" s="24">
        <v>32</v>
      </c>
      <c r="B29" s="47" t="s">
        <v>267</v>
      </c>
      <c r="C29" s="24" t="str">
        <f t="shared" si="0"/>
        <v>特殊活动产出</v>
      </c>
      <c r="D29" s="24" t="s">
        <v>331</v>
      </c>
      <c r="E29" s="26" t="str">
        <f t="shared" ca="1" si="1"/>
        <v>101:150|104:3250</v>
      </c>
      <c r="F29" s="26" t="str">
        <f t="shared" ca="1" si="2"/>
        <v>101:30|104:650</v>
      </c>
      <c r="G29" s="24">
        <f t="shared" si="19"/>
        <v>5375</v>
      </c>
      <c r="H29" s="26">
        <f t="shared" si="20"/>
        <v>1075</v>
      </c>
      <c r="I29" s="40">
        <v>3</v>
      </c>
      <c r="J29" s="24">
        <v>2</v>
      </c>
      <c r="K29" s="24">
        <v>1</v>
      </c>
      <c r="L29" s="24">
        <v>1</v>
      </c>
      <c r="M29" s="24" t="s">
        <v>100</v>
      </c>
      <c r="N29" s="23" t="s">
        <v>215</v>
      </c>
      <c r="O29" s="58">
        <v>0</v>
      </c>
      <c r="P29" s="62">
        <v>170037</v>
      </c>
      <c r="Q29" s="58">
        <v>10</v>
      </c>
      <c r="R29" s="12" t="str">
        <f t="shared" si="3"/>
        <v>102:30|104:650</v>
      </c>
      <c r="S29" s="12" t="str">
        <f t="shared" si="4"/>
        <v>101:30|104:650</v>
      </c>
      <c r="T29" s="12" t="str">
        <f t="shared" si="5"/>
        <v>101:30|102:30</v>
      </c>
      <c r="U29" s="12" t="str">
        <f t="shared" si="6"/>
        <v>102:150|104:3250</v>
      </c>
      <c r="V29" s="12" t="str">
        <f t="shared" si="7"/>
        <v>101:150|104:3250</v>
      </c>
      <c r="W29" s="12" t="str">
        <f t="shared" si="8"/>
        <v>101:150|102:150</v>
      </c>
      <c r="X29" s="12">
        <v>101</v>
      </c>
      <c r="Y29" s="14">
        <f t="shared" si="9"/>
        <v>30</v>
      </c>
      <c r="Z29" s="12">
        <v>102</v>
      </c>
      <c r="AA29" s="14">
        <f t="shared" si="10"/>
        <v>30</v>
      </c>
      <c r="AB29" s="12">
        <v>104</v>
      </c>
      <c r="AC29" s="14">
        <f t="shared" si="11"/>
        <v>650</v>
      </c>
      <c r="AD29" s="14" t="str">
        <f t="shared" si="21"/>
        <v>[76CBF3FF]饲养员[-]\n被动属性:\n防御力+30\n生命值+650\n使用属性:\n防御力+150\n生命值+3250\n</v>
      </c>
      <c r="AE29" s="14" t="str">
        <f t="shared" si="22"/>
        <v>[76CBF3FF]饲养员[-]\n被动属性:\n攻击力+30\n生命值+650\n使用属性:\n攻击力+150\n生命值+3250\n</v>
      </c>
      <c r="AF29" s="14" t="str">
        <f t="shared" si="23"/>
        <v>[76CBF3FF]饲养员[-]\n被动属性:\n攻击力+30\n防御力+30\n使用属性:\n攻击力+150\n防御力+150\n</v>
      </c>
      <c r="AG29" s="12" t="str">
        <f>VLOOKUP(X29,[1]CharPropertyConfig!$A:$B,2,FALSE)</f>
        <v>攻击力</v>
      </c>
      <c r="AH29" s="12" t="str">
        <f>VLOOKUP(Z29,[1]CharPropertyConfig!$A:$B,2,FALSE)</f>
        <v>防御力</v>
      </c>
      <c r="AI29" s="12" t="str">
        <f>VLOOKUP(AB29,[1]CharPropertyConfig!$A:$B,2,FALSE)</f>
        <v>生命值</v>
      </c>
      <c r="AJ29" s="14">
        <f t="shared" si="12"/>
        <v>410</v>
      </c>
      <c r="AK29" s="12">
        <f t="shared" si="13"/>
        <v>2.6219512195121952</v>
      </c>
      <c r="AL29" s="12">
        <f t="shared" si="14"/>
        <v>13.109756097560975</v>
      </c>
      <c r="AM29" s="12" t="e">
        <f>INDEX([2]achievement!$B:$B,MATCH(SUMIFS([3]ItemConfig!$A:$A,[3]ItemConfig!$T:$T,"add_title",[3]ItemConfig!$U:$U,A29),[2]achievement!$H:$H,0))</f>
        <v>#VALUE!</v>
      </c>
      <c r="AO29" s="12" t="str">
        <f t="shared" si="15"/>
        <v>[76CBF3FF][76CBF3FF]饲养员[-][-]</v>
      </c>
      <c r="AQ29" s="14" t="str">
        <f t="shared" si="24"/>
        <v>饲养员[-][-]</v>
      </c>
      <c r="AR29" s="14" t="s">
        <v>186</v>
      </c>
      <c r="AV29" s="12">
        <f t="shared" si="16"/>
        <v>6450</v>
      </c>
      <c r="AW29" s="12">
        <f t="shared" si="17"/>
        <v>3</v>
      </c>
      <c r="AX29" s="14" t="str">
        <f t="shared" si="25"/>
        <v/>
      </c>
    </row>
    <row r="30" spans="1:50">
      <c r="A30" s="24">
        <v>33</v>
      </c>
      <c r="B30" s="47" t="s">
        <v>268</v>
      </c>
      <c r="C30" s="24" t="str">
        <f t="shared" si="0"/>
        <v>特殊活动产出</v>
      </c>
      <c r="D30" s="24" t="s">
        <v>332</v>
      </c>
      <c r="E30" s="26" t="str">
        <f t="shared" ca="1" si="1"/>
        <v>101:25|104:625</v>
      </c>
      <c r="F30" s="26" t="str">
        <f t="shared" ca="1" si="2"/>
        <v>101:5|104:125</v>
      </c>
      <c r="G30" s="24">
        <f t="shared" si="19"/>
        <v>935</v>
      </c>
      <c r="H30" s="26">
        <f t="shared" si="20"/>
        <v>187</v>
      </c>
      <c r="I30" s="40">
        <v>1</v>
      </c>
      <c r="J30" s="24">
        <v>2</v>
      </c>
      <c r="K30" s="24">
        <v>1</v>
      </c>
      <c r="L30" s="24">
        <v>1</v>
      </c>
      <c r="M30" s="24" t="s">
        <v>100</v>
      </c>
      <c r="N30" s="23" t="s">
        <v>215</v>
      </c>
      <c r="O30" s="58">
        <v>0</v>
      </c>
      <c r="P30" s="62">
        <v>170038</v>
      </c>
      <c r="Q30" s="58">
        <v>10</v>
      </c>
      <c r="R30" s="12" t="str">
        <f t="shared" si="3"/>
        <v>102:5|104:125</v>
      </c>
      <c r="S30" s="12" t="str">
        <f t="shared" si="4"/>
        <v>101:5|104:125</v>
      </c>
      <c r="T30" s="12" t="str">
        <f t="shared" si="5"/>
        <v>101:5|102:5</v>
      </c>
      <c r="U30" s="12" t="str">
        <f t="shared" si="6"/>
        <v>102:25|104:625</v>
      </c>
      <c r="V30" s="12" t="str">
        <f t="shared" si="7"/>
        <v>101:25|104:625</v>
      </c>
      <c r="W30" s="12" t="str">
        <f t="shared" si="8"/>
        <v>101:25|102:25</v>
      </c>
      <c r="X30" s="12">
        <v>101</v>
      </c>
      <c r="Y30" s="14">
        <f t="shared" si="9"/>
        <v>5</v>
      </c>
      <c r="Z30" s="12">
        <v>102</v>
      </c>
      <c r="AA30" s="14">
        <f t="shared" si="10"/>
        <v>5</v>
      </c>
      <c r="AB30" s="12">
        <v>104</v>
      </c>
      <c r="AC30" s="14">
        <f t="shared" si="11"/>
        <v>125</v>
      </c>
      <c r="AD30" s="14" t="str">
        <f t="shared" si="21"/>
        <v>[A4E66FFF]收集癖患者[-]\n被动属性:\n防御力+5\n生命值+125\n使用属性:\n防御力+25\n生命值+625\n</v>
      </c>
      <c r="AE30" s="14" t="str">
        <f t="shared" si="22"/>
        <v>[A4E66FFF]收集癖患者[-]\n被动属性:\n攻击力+5\n生命值+125\n使用属性:\n攻击力+25\n生命值+625\n</v>
      </c>
      <c r="AF30" s="14" t="str">
        <f t="shared" si="23"/>
        <v>[A4E66FFF]收集癖患者[-]\n被动属性:\n攻击力+5\n防御力+5\n使用属性:\n攻击力+25\n防御力+25\n</v>
      </c>
      <c r="AG30" s="12" t="str">
        <f>VLOOKUP(X30,[1]CharPropertyConfig!$A:$B,2,FALSE)</f>
        <v>攻击力</v>
      </c>
      <c r="AH30" s="12" t="str">
        <f>VLOOKUP(Z30,[1]CharPropertyConfig!$A:$B,2,FALSE)</f>
        <v>防御力</v>
      </c>
      <c r="AI30" s="12" t="str">
        <f>VLOOKUP(AB30,[1]CharPropertyConfig!$A:$B,2,FALSE)</f>
        <v>生命值</v>
      </c>
      <c r="AJ30" s="14">
        <f t="shared" si="12"/>
        <v>10</v>
      </c>
      <c r="AK30" s="12">
        <f t="shared" si="13"/>
        <v>18.7</v>
      </c>
      <c r="AL30" s="12">
        <f t="shared" si="14"/>
        <v>93.5</v>
      </c>
      <c r="AM30" s="12" t="e">
        <f>INDEX([2]achievement!$B:$B,MATCH(SUMIFS([3]ItemConfig!$A:$A,[3]ItemConfig!$T:$T,"add_title",[3]ItemConfig!$U:$U,A30),[2]achievement!$H:$H,0))</f>
        <v>#VALUE!</v>
      </c>
      <c r="AO30" s="12" t="str">
        <f t="shared" si="15"/>
        <v>[A4E66FFF][A4E66FFF]收集癖患者[-][-]</v>
      </c>
      <c r="AQ30" s="14" t="str">
        <f t="shared" si="24"/>
        <v>收集癖患者[-][-]</v>
      </c>
      <c r="AR30" s="14" t="s">
        <v>187</v>
      </c>
      <c r="AV30" s="12">
        <f t="shared" si="16"/>
        <v>1122</v>
      </c>
      <c r="AW30" s="12">
        <f t="shared" si="17"/>
        <v>1</v>
      </c>
      <c r="AX30" s="14" t="str">
        <f t="shared" si="25"/>
        <v/>
      </c>
    </row>
    <row r="31" spans="1:50">
      <c r="A31" s="24">
        <v>34</v>
      </c>
      <c r="B31" s="47" t="s">
        <v>269</v>
      </c>
      <c r="C31" s="24" t="str">
        <f t="shared" si="0"/>
        <v>特殊活动产出</v>
      </c>
      <c r="D31" s="24" t="s">
        <v>333</v>
      </c>
      <c r="E31" s="26" t="str">
        <f t="shared" ca="1" si="1"/>
        <v>101:150|104:3250</v>
      </c>
      <c r="F31" s="26" t="str">
        <f t="shared" ca="1" si="2"/>
        <v>101:30|104:650</v>
      </c>
      <c r="G31" s="24">
        <f t="shared" si="19"/>
        <v>5375</v>
      </c>
      <c r="H31" s="26">
        <f t="shared" si="20"/>
        <v>1075</v>
      </c>
      <c r="I31" s="40">
        <v>3</v>
      </c>
      <c r="J31" s="24">
        <v>2</v>
      </c>
      <c r="K31" s="24">
        <v>1</v>
      </c>
      <c r="L31" s="24">
        <v>1</v>
      </c>
      <c r="M31" s="24" t="s">
        <v>100</v>
      </c>
      <c r="N31" s="23" t="s">
        <v>215</v>
      </c>
      <c r="O31" s="58">
        <v>0</v>
      </c>
      <c r="P31" s="62">
        <v>170039</v>
      </c>
      <c r="Q31" s="58">
        <v>10</v>
      </c>
      <c r="R31" s="12" t="str">
        <f t="shared" si="3"/>
        <v>102:30|104:650</v>
      </c>
      <c r="S31" s="12" t="str">
        <f t="shared" si="4"/>
        <v>101:30|104:650</v>
      </c>
      <c r="T31" s="12" t="str">
        <f t="shared" si="5"/>
        <v>101:30|102:30</v>
      </c>
      <c r="U31" s="12" t="str">
        <f t="shared" si="6"/>
        <v>102:150|104:3250</v>
      </c>
      <c r="V31" s="12" t="str">
        <f t="shared" si="7"/>
        <v>101:150|104:3250</v>
      </c>
      <c r="W31" s="12" t="str">
        <f t="shared" si="8"/>
        <v>101:150|102:150</v>
      </c>
      <c r="X31" s="12">
        <v>101</v>
      </c>
      <c r="Y31" s="14">
        <f t="shared" si="9"/>
        <v>30</v>
      </c>
      <c r="Z31" s="12">
        <v>102</v>
      </c>
      <c r="AA31" s="14">
        <f t="shared" si="10"/>
        <v>30</v>
      </c>
      <c r="AB31" s="12">
        <v>104</v>
      </c>
      <c r="AC31" s="14">
        <f t="shared" si="11"/>
        <v>650</v>
      </c>
      <c r="AD31" s="14" t="str">
        <f t="shared" si="21"/>
        <v>[76CBF3FF]收藏家[-]\n被动属性:\n防御力+30\n生命值+650\n使用属性:\n防御力+150\n生命值+3250\n</v>
      </c>
      <c r="AE31" s="14" t="str">
        <f t="shared" si="22"/>
        <v>[76CBF3FF]收藏家[-]\n被动属性:\n攻击力+30\n生命值+650\n使用属性:\n攻击力+150\n生命值+3250\n</v>
      </c>
      <c r="AF31" s="14" t="str">
        <f t="shared" si="23"/>
        <v>[76CBF3FF]收藏家[-]\n被动属性:\n攻击力+30\n防御力+30\n使用属性:\n攻击力+150\n防御力+150\n</v>
      </c>
      <c r="AG31" s="12" t="str">
        <f>VLOOKUP(X31,[1]CharPropertyConfig!$A:$B,2,FALSE)</f>
        <v>攻击力</v>
      </c>
      <c r="AH31" s="12" t="str">
        <f>VLOOKUP(Z31,[1]CharPropertyConfig!$A:$B,2,FALSE)</f>
        <v>防御力</v>
      </c>
      <c r="AI31" s="12" t="str">
        <f>VLOOKUP(AB31,[1]CharPropertyConfig!$A:$B,2,FALSE)</f>
        <v>生命值</v>
      </c>
      <c r="AJ31" s="14">
        <f t="shared" si="12"/>
        <v>410</v>
      </c>
      <c r="AK31" s="12">
        <f t="shared" si="13"/>
        <v>2.6219512195121952</v>
      </c>
      <c r="AL31" s="12">
        <f t="shared" si="14"/>
        <v>13.109756097560975</v>
      </c>
      <c r="AM31" s="12" t="e">
        <f>INDEX([2]achievement!$B:$B,MATCH(SUMIFS([3]ItemConfig!$A:$A,[3]ItemConfig!$T:$T,"add_title",[3]ItemConfig!$U:$U,A31),[2]achievement!$H:$H,0))</f>
        <v>#VALUE!</v>
      </c>
      <c r="AO31" s="12" t="str">
        <f t="shared" si="15"/>
        <v>[76CBF3FF][76CBF3FF]收藏家[-][-]</v>
      </c>
      <c r="AQ31" s="14" t="str">
        <f t="shared" si="24"/>
        <v>收藏家[-][-]</v>
      </c>
      <c r="AR31" s="14" t="s">
        <v>188</v>
      </c>
      <c r="AV31" s="12">
        <f t="shared" si="16"/>
        <v>6450</v>
      </c>
      <c r="AW31" s="12">
        <f t="shared" si="17"/>
        <v>3</v>
      </c>
      <c r="AX31" s="14" t="str">
        <f t="shared" si="25"/>
        <v/>
      </c>
    </row>
    <row r="32" spans="1:50">
      <c r="A32" s="24">
        <v>35</v>
      </c>
      <c r="B32" s="47" t="s">
        <v>270</v>
      </c>
      <c r="C32" s="24" t="str">
        <f t="shared" si="0"/>
        <v>特殊活动产出</v>
      </c>
      <c r="D32" s="24" t="s">
        <v>334</v>
      </c>
      <c r="E32" s="26" t="str">
        <f t="shared" ca="1" si="1"/>
        <v>101:25|104:625</v>
      </c>
      <c r="F32" s="26" t="str">
        <f t="shared" ca="1" si="2"/>
        <v>101:5|104:125</v>
      </c>
      <c r="G32" s="24">
        <f t="shared" si="19"/>
        <v>935</v>
      </c>
      <c r="H32" s="26">
        <f t="shared" si="20"/>
        <v>187</v>
      </c>
      <c r="I32" s="40">
        <v>1</v>
      </c>
      <c r="J32" s="24">
        <v>2</v>
      </c>
      <c r="K32" s="24">
        <v>1</v>
      </c>
      <c r="L32" s="24">
        <v>1</v>
      </c>
      <c r="M32" s="24" t="s">
        <v>100</v>
      </c>
      <c r="N32" s="23" t="s">
        <v>215</v>
      </c>
      <c r="O32" s="58">
        <v>0</v>
      </c>
      <c r="P32" s="62">
        <v>170040</v>
      </c>
      <c r="Q32" s="58">
        <v>10</v>
      </c>
      <c r="R32" s="12" t="str">
        <f t="shared" si="3"/>
        <v>102:5|104:125</v>
      </c>
      <c r="S32" s="12" t="str">
        <f t="shared" si="4"/>
        <v>101:5|104:125</v>
      </c>
      <c r="T32" s="12" t="str">
        <f t="shared" si="5"/>
        <v>101:5|102:5</v>
      </c>
      <c r="U32" s="12" t="str">
        <f t="shared" si="6"/>
        <v>102:25|104:625</v>
      </c>
      <c r="V32" s="12" t="str">
        <f t="shared" si="7"/>
        <v>101:25|104:625</v>
      </c>
      <c r="W32" s="12" t="str">
        <f t="shared" si="8"/>
        <v>101:25|102:25</v>
      </c>
      <c r="X32" s="12">
        <v>101</v>
      </c>
      <c r="Y32" s="14">
        <f t="shared" si="9"/>
        <v>5</v>
      </c>
      <c r="Z32" s="12">
        <v>102</v>
      </c>
      <c r="AA32" s="14">
        <f t="shared" si="10"/>
        <v>5</v>
      </c>
      <c r="AB32" s="12">
        <v>104</v>
      </c>
      <c r="AC32" s="14">
        <f t="shared" si="11"/>
        <v>125</v>
      </c>
      <c r="AD32" s="14" t="str">
        <f t="shared" si="21"/>
        <v>[A4E66FFF]理财高手[-]\n被动属性:\n防御力+5\n生命值+125\n使用属性:\n防御力+25\n生命值+625\n</v>
      </c>
      <c r="AE32" s="14" t="str">
        <f t="shared" si="22"/>
        <v>[A4E66FFF]理财高手[-]\n被动属性:\n攻击力+5\n生命值+125\n使用属性:\n攻击力+25\n生命值+625\n</v>
      </c>
      <c r="AF32" s="14" t="str">
        <f t="shared" si="23"/>
        <v>[A4E66FFF]理财高手[-]\n被动属性:\n攻击力+5\n防御力+5\n使用属性:\n攻击力+25\n防御力+25\n</v>
      </c>
      <c r="AG32" s="12" t="str">
        <f>VLOOKUP(X32,[1]CharPropertyConfig!$A:$B,2,FALSE)</f>
        <v>攻击力</v>
      </c>
      <c r="AH32" s="12" t="str">
        <f>VLOOKUP(Z32,[1]CharPropertyConfig!$A:$B,2,FALSE)</f>
        <v>防御力</v>
      </c>
      <c r="AI32" s="12" t="str">
        <f>VLOOKUP(AB32,[1]CharPropertyConfig!$A:$B,2,FALSE)</f>
        <v>生命值</v>
      </c>
      <c r="AJ32" s="14">
        <f t="shared" si="12"/>
        <v>10</v>
      </c>
      <c r="AK32" s="12">
        <f t="shared" si="13"/>
        <v>18.7</v>
      </c>
      <c r="AL32" s="12">
        <f t="shared" si="14"/>
        <v>93.5</v>
      </c>
      <c r="AM32" s="12" t="e">
        <f>INDEX([2]achievement!$B:$B,MATCH(SUMIFS([3]ItemConfig!$A:$A,[3]ItemConfig!$T:$T,"add_title",[3]ItemConfig!$U:$U,A32),[2]achievement!$H:$H,0))</f>
        <v>#VALUE!</v>
      </c>
      <c r="AO32" s="12" t="str">
        <f t="shared" si="15"/>
        <v>[A4E66FFF][A4E66FFF]理财高手[-][-]</v>
      </c>
      <c r="AQ32" s="14" t="str">
        <f t="shared" si="24"/>
        <v>理财高手[-][-]</v>
      </c>
      <c r="AR32" s="14" t="s">
        <v>189</v>
      </c>
      <c r="AV32" s="12">
        <f t="shared" si="16"/>
        <v>1122</v>
      </c>
      <c r="AW32" s="12">
        <f t="shared" si="17"/>
        <v>1</v>
      </c>
      <c r="AX32" s="14" t="str">
        <f t="shared" si="25"/>
        <v/>
      </c>
    </row>
    <row r="33" spans="1:50">
      <c r="A33" s="24">
        <v>36</v>
      </c>
      <c r="B33" s="47" t="s">
        <v>271</v>
      </c>
      <c r="C33" s="24" t="str">
        <f t="shared" si="0"/>
        <v>特殊活动产出</v>
      </c>
      <c r="D33" s="24" t="s">
        <v>335</v>
      </c>
      <c r="E33" s="26" t="str">
        <f t="shared" ca="1" si="1"/>
        <v>101:25|104:625</v>
      </c>
      <c r="F33" s="26" t="str">
        <f t="shared" ca="1" si="2"/>
        <v>101:5|104:125</v>
      </c>
      <c r="G33" s="24">
        <f t="shared" si="19"/>
        <v>935</v>
      </c>
      <c r="H33" s="26">
        <f t="shared" si="20"/>
        <v>187</v>
      </c>
      <c r="I33" s="40">
        <v>1</v>
      </c>
      <c r="J33" s="24">
        <v>2</v>
      </c>
      <c r="K33" s="24">
        <v>1</v>
      </c>
      <c r="L33" s="24">
        <v>1</v>
      </c>
      <c r="M33" s="24" t="s">
        <v>100</v>
      </c>
      <c r="N33" s="23" t="s">
        <v>215</v>
      </c>
      <c r="O33" s="58">
        <v>0</v>
      </c>
      <c r="P33" s="62">
        <v>170041</v>
      </c>
      <c r="Q33" s="58">
        <v>10</v>
      </c>
      <c r="R33" s="12" t="str">
        <f t="shared" si="3"/>
        <v>102:5|104:125</v>
      </c>
      <c r="S33" s="12" t="str">
        <f t="shared" si="4"/>
        <v>101:5|104:125</v>
      </c>
      <c r="T33" s="12" t="str">
        <f t="shared" si="5"/>
        <v>101:5|102:5</v>
      </c>
      <c r="U33" s="12" t="str">
        <f t="shared" si="6"/>
        <v>102:25|104:625</v>
      </c>
      <c r="V33" s="12" t="str">
        <f t="shared" si="7"/>
        <v>101:25|104:625</v>
      </c>
      <c r="W33" s="12" t="str">
        <f t="shared" si="8"/>
        <v>101:25|102:25</v>
      </c>
      <c r="X33" s="12">
        <v>101</v>
      </c>
      <c r="Y33" s="14">
        <f t="shared" si="9"/>
        <v>5</v>
      </c>
      <c r="Z33" s="12">
        <v>102</v>
      </c>
      <c r="AA33" s="14">
        <f t="shared" si="10"/>
        <v>5</v>
      </c>
      <c r="AB33" s="12">
        <v>104</v>
      </c>
      <c r="AC33" s="14">
        <f t="shared" si="11"/>
        <v>125</v>
      </c>
      <c r="AD33" s="14" t="str">
        <f t="shared" si="21"/>
        <v>[A4E66FFF]根本停不下来[-]\n被动属性:\n防御力+5\n生命值+125\n使用属性:\n防御力+25\n生命值+625\n</v>
      </c>
      <c r="AE33" s="14" t="str">
        <f t="shared" si="22"/>
        <v>[A4E66FFF]根本停不下来[-]\n被动属性:\n攻击力+5\n生命值+125\n使用属性:\n攻击力+25\n生命值+625\n</v>
      </c>
      <c r="AF33" s="14" t="str">
        <f t="shared" si="23"/>
        <v>[A4E66FFF]根本停不下来[-]\n被动属性:\n攻击力+5\n防御力+5\n使用属性:\n攻击力+25\n防御力+25\n</v>
      </c>
      <c r="AG33" s="12" t="str">
        <f>VLOOKUP(X33,[1]CharPropertyConfig!$A:$B,2,FALSE)</f>
        <v>攻击力</v>
      </c>
      <c r="AH33" s="12" t="str">
        <f>VLOOKUP(Z33,[1]CharPropertyConfig!$A:$B,2,FALSE)</f>
        <v>防御力</v>
      </c>
      <c r="AI33" s="12" t="str">
        <f>VLOOKUP(AB33,[1]CharPropertyConfig!$A:$B,2,FALSE)</f>
        <v>生命值</v>
      </c>
      <c r="AJ33" s="14">
        <f t="shared" si="12"/>
        <v>10</v>
      </c>
      <c r="AK33" s="12">
        <f t="shared" si="13"/>
        <v>18.7</v>
      </c>
      <c r="AL33" s="12">
        <f t="shared" si="14"/>
        <v>93.5</v>
      </c>
      <c r="AM33" s="12" t="e">
        <f>INDEX([2]achievement!$B:$B,MATCH(SUMIFS([3]ItemConfig!$A:$A,[3]ItemConfig!$T:$T,"add_title",[3]ItemConfig!$U:$U,A33),[2]achievement!$H:$H,0))</f>
        <v>#VALUE!</v>
      </c>
      <c r="AO33" s="12" t="str">
        <f t="shared" si="15"/>
        <v>[A4E66FFF][A4E66FFF]根本停不下来[-][-]</v>
      </c>
      <c r="AQ33" s="14" t="str">
        <f t="shared" si="24"/>
        <v>根本停不下来[-][-]</v>
      </c>
      <c r="AR33" s="14" t="s">
        <v>190</v>
      </c>
      <c r="AV33" s="12">
        <f t="shared" si="16"/>
        <v>1122</v>
      </c>
      <c r="AW33" s="12">
        <f t="shared" si="17"/>
        <v>1</v>
      </c>
      <c r="AX33" s="14" t="str">
        <f t="shared" si="25"/>
        <v/>
      </c>
    </row>
    <row r="34" spans="1:50">
      <c r="A34" s="24">
        <v>37</v>
      </c>
      <c r="B34" s="47" t="s">
        <v>272</v>
      </c>
      <c r="C34" s="24" t="str">
        <f t="shared" ref="C34:C69" si="26">IFERROR(IF(AN34="",CONCATENATE("完成“",AM34,"”成就可获得此称号"),AN34),"特殊活动产出")</f>
        <v>特殊活动产出</v>
      </c>
      <c r="D34" s="24" t="s">
        <v>336</v>
      </c>
      <c r="E34" s="26" t="str">
        <f t="shared" ref="E34:E65" ca="1" si="27">OFFSET(U34,0,J34-1,1,1)</f>
        <v>101:25|104:625</v>
      </c>
      <c r="F34" s="26" t="str">
        <f t="shared" ref="F34:F69" ca="1" si="28">OFFSET(R34,0,J34-1,1,1)</f>
        <v>101:5|104:125</v>
      </c>
      <c r="G34" s="24">
        <f t="shared" si="19"/>
        <v>935</v>
      </c>
      <c r="H34" s="26">
        <f t="shared" si="20"/>
        <v>187</v>
      </c>
      <c r="I34" s="40">
        <v>1</v>
      </c>
      <c r="J34" s="24">
        <v>2</v>
      </c>
      <c r="K34" s="24">
        <v>1</v>
      </c>
      <c r="L34" s="24">
        <v>1</v>
      </c>
      <c r="M34" s="24" t="s">
        <v>100</v>
      </c>
      <c r="N34" s="23" t="s">
        <v>215</v>
      </c>
      <c r="O34" s="58">
        <v>0</v>
      </c>
      <c r="P34" s="62">
        <v>170042</v>
      </c>
      <c r="Q34" s="58">
        <v>10</v>
      </c>
      <c r="R34" s="12" t="str">
        <f t="shared" ref="R34:R69" si="29">CONCATENATE(Z34,AS$2,AA34,AT$2,AB34,AS$2,AC34)</f>
        <v>102:5|104:125</v>
      </c>
      <c r="S34" s="12" t="str">
        <f t="shared" ref="S34:S69" si="30">CONCATENATE(X34,AS$2,Y34,AT$2,AB34,AS$2,AC34)</f>
        <v>101:5|104:125</v>
      </c>
      <c r="T34" s="12" t="str">
        <f t="shared" ref="T34:T69" si="31">CONCATENATE(X34,AS$2,Y34,AT$2,Z34,AS$2,AA34)</f>
        <v>101:5|102:5</v>
      </c>
      <c r="U34" s="12" t="str">
        <f t="shared" ref="U34:U69" si="32">CONCATENATE(Z34,AS$2,AA34*5,AT$2,AB34,AS$2,AC34*5)</f>
        <v>102:25|104:625</v>
      </c>
      <c r="V34" s="12" t="str">
        <f t="shared" ref="V34:V69" si="33">CONCATENATE(X34,AS$2,Y34*5,AT$2,AB34,AS$2,AC34*5)</f>
        <v>101:25|104:625</v>
      </c>
      <c r="W34" s="12" t="str">
        <f t="shared" ref="W34:W65" si="34">CONCATENATE(X34,AS$2,Y34*5,AT$2,Z34,AS$2,AA34*5)</f>
        <v>101:25|102:25</v>
      </c>
      <c r="X34" s="12">
        <v>101</v>
      </c>
      <c r="Y34" s="14">
        <f t="shared" ref="Y34:Y65" si="35">CEILING(POWER(I34,1.5)*5,5)</f>
        <v>5</v>
      </c>
      <c r="Z34" s="12">
        <v>102</v>
      </c>
      <c r="AA34" s="14">
        <f t="shared" ref="AA34:AA65" si="36">CEILING(POWER(I34,1.5)*5,5)</f>
        <v>5</v>
      </c>
      <c r="AB34" s="12">
        <v>104</v>
      </c>
      <c r="AC34" s="14">
        <f t="shared" ref="AC34:AC65" si="37">CEILING(POWER(I34,1.5)*125,5)</f>
        <v>125</v>
      </c>
      <c r="AD34" s="14" t="str">
        <f t="shared" si="21"/>
        <v>[A4E66FFF]购物狂[-]\n被动属性:\n防御力+5\n生命值+125\n使用属性:\n防御力+25\n生命值+625\n</v>
      </c>
      <c r="AE34" s="14" t="str">
        <f t="shared" si="22"/>
        <v>[A4E66FFF]购物狂[-]\n被动属性:\n攻击力+5\n生命值+125\n使用属性:\n攻击力+25\n生命值+625\n</v>
      </c>
      <c r="AF34" s="14" t="str">
        <f t="shared" si="23"/>
        <v>[A4E66FFF]购物狂[-]\n被动属性:\n攻击力+5\n防御力+5\n使用属性:\n攻击力+25\n防御力+25\n</v>
      </c>
      <c r="AG34" s="12" t="str">
        <f>VLOOKUP(X34,[1]CharPropertyConfig!$A:$B,2,FALSE)</f>
        <v>攻击力</v>
      </c>
      <c r="AH34" s="12" t="str">
        <f>VLOOKUP(Z34,[1]CharPropertyConfig!$A:$B,2,FALSE)</f>
        <v>防御力</v>
      </c>
      <c r="AI34" s="12" t="str">
        <f>VLOOKUP(AB34,[1]CharPropertyConfig!$A:$B,2,FALSE)</f>
        <v>生命值</v>
      </c>
      <c r="AJ34" s="14">
        <f t="shared" ref="AJ34:AJ65" si="38">CEILING(POWER(I34,4)*5,10)</f>
        <v>10</v>
      </c>
      <c r="AK34" s="12">
        <f t="shared" ref="AK34:AK65" si="39">H34/AJ34</f>
        <v>18.7</v>
      </c>
      <c r="AL34" s="12">
        <f t="shared" ref="AL34:AL65" si="40">G34/AJ34</f>
        <v>93.5</v>
      </c>
      <c r="AM34" s="12" t="e">
        <f>INDEX([2]achievement!$B:$B,MATCH(SUMIFS([3]ItemConfig!$A:$A,[3]ItemConfig!$T:$T,"add_title",[3]ItemConfig!$U:$U,A34),[2]achievement!$H:$H,0))</f>
        <v>#VALUE!</v>
      </c>
      <c r="AO34" s="12" t="str">
        <f t="shared" ref="AO34:AO65" si="41">CONCATENATE("[",VLOOKUP(I34,AS$12:AT$21,2,FALSE),"]",IF(AP34="",B34,AP34),"[-]")</f>
        <v>[A4E66FFF][A4E66FFF]购物狂[-][-]</v>
      </c>
      <c r="AQ34" s="14" t="str">
        <f t="shared" si="24"/>
        <v>购物狂[-][-]</v>
      </c>
      <c r="AR34" s="14" t="s">
        <v>191</v>
      </c>
      <c r="AV34" s="12">
        <f t="shared" ref="AV34:AV65" si="42">(H34+G34)</f>
        <v>1122</v>
      </c>
      <c r="AW34" s="12">
        <f t="shared" ref="AW34:AW65" si="43">I34</f>
        <v>1</v>
      </c>
      <c r="AX34" s="14" t="str">
        <f t="shared" si="25"/>
        <v/>
      </c>
    </row>
    <row r="35" spans="1:50">
      <c r="A35" s="24">
        <v>38</v>
      </c>
      <c r="B35" s="47" t="s">
        <v>273</v>
      </c>
      <c r="C35" s="24" t="str">
        <f t="shared" si="26"/>
        <v>特殊活动产出</v>
      </c>
      <c r="D35" s="24" t="s">
        <v>337</v>
      </c>
      <c r="E35" s="26" t="str">
        <f t="shared" ca="1" si="27"/>
        <v>101:25|104:625</v>
      </c>
      <c r="F35" s="26" t="str">
        <f t="shared" ca="1" si="28"/>
        <v>101:5|104:125</v>
      </c>
      <c r="G35" s="24">
        <f t="shared" si="19"/>
        <v>935</v>
      </c>
      <c r="H35" s="26">
        <f t="shared" si="20"/>
        <v>187</v>
      </c>
      <c r="I35" s="40">
        <v>1</v>
      </c>
      <c r="J35" s="24">
        <v>2</v>
      </c>
      <c r="K35" s="24">
        <v>1</v>
      </c>
      <c r="L35" s="24">
        <v>1</v>
      </c>
      <c r="M35" s="24" t="s">
        <v>100</v>
      </c>
      <c r="N35" s="23" t="s">
        <v>215</v>
      </c>
      <c r="O35" s="58">
        <v>0</v>
      </c>
      <c r="P35" s="62">
        <v>170043</v>
      </c>
      <c r="Q35" s="58">
        <v>10</v>
      </c>
      <c r="R35" s="12" t="str">
        <f t="shared" si="29"/>
        <v>102:5|104:125</v>
      </c>
      <c r="S35" s="12" t="str">
        <f t="shared" si="30"/>
        <v>101:5|104:125</v>
      </c>
      <c r="T35" s="12" t="str">
        <f t="shared" si="31"/>
        <v>101:5|102:5</v>
      </c>
      <c r="U35" s="12" t="str">
        <f t="shared" si="32"/>
        <v>102:25|104:625</v>
      </c>
      <c r="V35" s="12" t="str">
        <f t="shared" si="33"/>
        <v>101:25|104:625</v>
      </c>
      <c r="W35" s="12" t="str">
        <f t="shared" si="34"/>
        <v>101:25|102:25</v>
      </c>
      <c r="X35" s="12">
        <v>101</v>
      </c>
      <c r="Y35" s="14">
        <f t="shared" si="35"/>
        <v>5</v>
      </c>
      <c r="Z35" s="12">
        <v>102</v>
      </c>
      <c r="AA35" s="14">
        <f t="shared" si="36"/>
        <v>5</v>
      </c>
      <c r="AB35" s="12">
        <v>104</v>
      </c>
      <c r="AC35" s="14">
        <f t="shared" si="37"/>
        <v>125</v>
      </c>
      <c r="AD35" s="14" t="str">
        <f t="shared" si="21"/>
        <v>[A4E66FFF]星光灿烂[-]\n被动属性:\n防御力+5\n生命值+125\n使用属性:\n防御力+25\n生命值+625\n</v>
      </c>
      <c r="AE35" s="14" t="str">
        <f t="shared" si="22"/>
        <v>[A4E66FFF]星光灿烂[-]\n被动属性:\n攻击力+5\n生命值+125\n使用属性:\n攻击力+25\n生命值+625\n</v>
      </c>
      <c r="AF35" s="14" t="str">
        <f t="shared" si="23"/>
        <v>[A4E66FFF]星光灿烂[-]\n被动属性:\n攻击力+5\n防御力+5\n使用属性:\n攻击力+25\n防御力+25\n</v>
      </c>
      <c r="AG35" s="12" t="str">
        <f>VLOOKUP(X35,[1]CharPropertyConfig!$A:$B,2,FALSE)</f>
        <v>攻击力</v>
      </c>
      <c r="AH35" s="12" t="str">
        <f>VLOOKUP(Z35,[1]CharPropertyConfig!$A:$B,2,FALSE)</f>
        <v>防御力</v>
      </c>
      <c r="AI35" s="12" t="str">
        <f>VLOOKUP(AB35,[1]CharPropertyConfig!$A:$B,2,FALSE)</f>
        <v>生命值</v>
      </c>
      <c r="AJ35" s="14">
        <f t="shared" si="38"/>
        <v>10</v>
      </c>
      <c r="AK35" s="12">
        <f t="shared" si="39"/>
        <v>18.7</v>
      </c>
      <c r="AL35" s="12">
        <f t="shared" si="40"/>
        <v>93.5</v>
      </c>
      <c r="AM35" s="12" t="e">
        <f>INDEX([2]achievement!$B:$B,MATCH(SUMIFS([3]ItemConfig!$A:$A,[3]ItemConfig!$T:$T,"add_title",[3]ItemConfig!$U:$U,A35),[2]achievement!$H:$H,0))</f>
        <v>#VALUE!</v>
      </c>
      <c r="AO35" s="12" t="str">
        <f t="shared" si="41"/>
        <v>[A4E66FFF][A4E66FFF]星光灿烂[-][-]</v>
      </c>
      <c r="AQ35" s="14" t="str">
        <f t="shared" si="24"/>
        <v>星光灿烂[-][-]</v>
      </c>
      <c r="AR35" s="14" t="s">
        <v>192</v>
      </c>
      <c r="AV35" s="12">
        <f t="shared" si="42"/>
        <v>1122</v>
      </c>
      <c r="AW35" s="12">
        <f t="shared" si="43"/>
        <v>1</v>
      </c>
      <c r="AX35" s="14" t="str">
        <f t="shared" si="25"/>
        <v/>
      </c>
    </row>
    <row r="36" spans="1:50">
      <c r="A36" s="24">
        <v>39</v>
      </c>
      <c r="B36" s="47" t="s">
        <v>274</v>
      </c>
      <c r="C36" s="24" t="str">
        <f t="shared" si="26"/>
        <v>特殊活动产出</v>
      </c>
      <c r="D36" s="24" t="s">
        <v>338</v>
      </c>
      <c r="E36" s="26" t="str">
        <f t="shared" ca="1" si="27"/>
        <v>102:300|104:7000</v>
      </c>
      <c r="F36" s="26" t="str">
        <f t="shared" ca="1" si="28"/>
        <v>102:60|104:1400</v>
      </c>
      <c r="G36" s="24">
        <f t="shared" si="19"/>
        <v>11000</v>
      </c>
      <c r="H36" s="26">
        <f t="shared" si="20"/>
        <v>2200</v>
      </c>
      <c r="I36" s="40">
        <v>5</v>
      </c>
      <c r="J36" s="24">
        <v>1</v>
      </c>
      <c r="K36" s="24">
        <v>1</v>
      </c>
      <c r="L36" s="24">
        <v>1</v>
      </c>
      <c r="M36" s="24" t="s">
        <v>100</v>
      </c>
      <c r="N36" s="23" t="s">
        <v>215</v>
      </c>
      <c r="O36" s="58">
        <v>0</v>
      </c>
      <c r="P36" s="62">
        <v>170044</v>
      </c>
      <c r="Q36" s="58">
        <v>10</v>
      </c>
      <c r="R36" s="12" t="str">
        <f t="shared" si="29"/>
        <v>102:60|104:1400</v>
      </c>
      <c r="S36" s="12" t="str">
        <f t="shared" si="30"/>
        <v>101:60|104:1400</v>
      </c>
      <c r="T36" s="12" t="str">
        <f t="shared" si="31"/>
        <v>101:60|102:60</v>
      </c>
      <c r="U36" s="12" t="str">
        <f t="shared" si="32"/>
        <v>102:300|104:7000</v>
      </c>
      <c r="V36" s="12" t="str">
        <f t="shared" si="33"/>
        <v>101:300|104:7000</v>
      </c>
      <c r="W36" s="12" t="str">
        <f t="shared" si="34"/>
        <v>101:300|102:300</v>
      </c>
      <c r="X36" s="12">
        <v>101</v>
      </c>
      <c r="Y36" s="14">
        <f t="shared" si="35"/>
        <v>60</v>
      </c>
      <c r="Z36" s="12">
        <v>102</v>
      </c>
      <c r="AA36" s="14">
        <f t="shared" si="36"/>
        <v>60</v>
      </c>
      <c r="AB36" s="12">
        <v>104</v>
      </c>
      <c r="AC36" s="14">
        <f t="shared" si="37"/>
        <v>1400</v>
      </c>
      <c r="AD36" s="14" t="str">
        <f t="shared" si="21"/>
        <v>[C776F3FF]满天星光[-]\n被动属性:\n防御力+60\n生命值+1400\n使用属性:\n防御力+300\n生命值+7000\n</v>
      </c>
      <c r="AE36" s="14" t="str">
        <f t="shared" si="22"/>
        <v>[C776F3FF]满天星光[-]\n被动属性:\n攻击力+60\n生命值+1400\n使用属性:\n攻击力+300\n生命值+7000\n</v>
      </c>
      <c r="AF36" s="14" t="str">
        <f t="shared" si="23"/>
        <v>[C776F3FF]满天星光[-]\n被动属性:\n攻击力+60\n防御力+60\n使用属性:\n攻击力+300\n防御力+300\n</v>
      </c>
      <c r="AG36" s="12" t="str">
        <f>VLOOKUP(X36,[1]CharPropertyConfig!$A:$B,2,FALSE)</f>
        <v>攻击力</v>
      </c>
      <c r="AH36" s="12" t="str">
        <f>VLOOKUP(Z36,[1]CharPropertyConfig!$A:$B,2,FALSE)</f>
        <v>防御力</v>
      </c>
      <c r="AI36" s="12" t="str">
        <f>VLOOKUP(AB36,[1]CharPropertyConfig!$A:$B,2,FALSE)</f>
        <v>生命值</v>
      </c>
      <c r="AJ36" s="14">
        <f t="shared" si="38"/>
        <v>3130</v>
      </c>
      <c r="AK36" s="12">
        <f t="shared" si="39"/>
        <v>0.70287539936102239</v>
      </c>
      <c r="AL36" s="12">
        <f t="shared" si="40"/>
        <v>3.5143769968051117</v>
      </c>
      <c r="AM36" s="12" t="e">
        <f>INDEX([2]achievement!$B:$B,MATCH(SUMIFS([3]ItemConfig!$A:$A,[3]ItemConfig!$T:$T,"add_title",[3]ItemConfig!$U:$U,A36),[2]achievement!$H:$H,0))</f>
        <v>#VALUE!</v>
      </c>
      <c r="AO36" s="12" t="str">
        <f t="shared" si="41"/>
        <v>[C776F3FF][C776F3FF]满天星光[-][-]</v>
      </c>
      <c r="AQ36" s="14" t="str">
        <f t="shared" si="24"/>
        <v>满天星光[-][-]</v>
      </c>
      <c r="AR36" s="14" t="s">
        <v>193</v>
      </c>
      <c r="AV36" s="12">
        <f t="shared" si="42"/>
        <v>13200</v>
      </c>
      <c r="AW36" s="12">
        <f t="shared" si="43"/>
        <v>5</v>
      </c>
      <c r="AX36" s="14" t="str">
        <f t="shared" si="25"/>
        <v/>
      </c>
    </row>
    <row r="37" spans="1:50">
      <c r="A37" s="24">
        <v>40</v>
      </c>
      <c r="B37" s="47" t="s">
        <v>275</v>
      </c>
      <c r="C37" s="24" t="str">
        <f t="shared" si="26"/>
        <v>特殊活动产出</v>
      </c>
      <c r="D37" s="24" t="s">
        <v>339</v>
      </c>
      <c r="E37" s="26" t="str">
        <f t="shared" ca="1" si="27"/>
        <v>102:25|104:625</v>
      </c>
      <c r="F37" s="26" t="str">
        <f t="shared" ca="1" si="28"/>
        <v>102:5|104:125</v>
      </c>
      <c r="G37" s="24">
        <f t="shared" si="19"/>
        <v>935</v>
      </c>
      <c r="H37" s="26">
        <f t="shared" si="20"/>
        <v>187</v>
      </c>
      <c r="I37" s="40">
        <v>1</v>
      </c>
      <c r="J37" s="24">
        <v>1</v>
      </c>
      <c r="K37" s="24">
        <v>1</v>
      </c>
      <c r="L37" s="24">
        <v>1</v>
      </c>
      <c r="M37" s="24" t="s">
        <v>100</v>
      </c>
      <c r="N37" s="23" t="s">
        <v>215</v>
      </c>
      <c r="O37" s="58">
        <v>0</v>
      </c>
      <c r="P37" s="62">
        <v>170045</v>
      </c>
      <c r="Q37" s="58">
        <v>10</v>
      </c>
      <c r="R37" s="12" t="str">
        <f t="shared" si="29"/>
        <v>102:5|104:125</v>
      </c>
      <c r="S37" s="12" t="str">
        <f t="shared" si="30"/>
        <v>101:5|104:125</v>
      </c>
      <c r="T37" s="12" t="str">
        <f t="shared" si="31"/>
        <v>101:5|102:5</v>
      </c>
      <c r="U37" s="12" t="str">
        <f t="shared" si="32"/>
        <v>102:25|104:625</v>
      </c>
      <c r="V37" s="12" t="str">
        <f t="shared" si="33"/>
        <v>101:25|104:625</v>
      </c>
      <c r="W37" s="12" t="str">
        <f t="shared" si="34"/>
        <v>101:25|102:25</v>
      </c>
      <c r="X37" s="12">
        <v>101</v>
      </c>
      <c r="Y37" s="14">
        <f t="shared" si="35"/>
        <v>5</v>
      </c>
      <c r="Z37" s="12">
        <v>102</v>
      </c>
      <c r="AA37" s="14">
        <f t="shared" si="36"/>
        <v>5</v>
      </c>
      <c r="AB37" s="12">
        <v>104</v>
      </c>
      <c r="AC37" s="14">
        <f t="shared" si="37"/>
        <v>125</v>
      </c>
      <c r="AD37" s="14" t="str">
        <f t="shared" si="21"/>
        <v>[A4E66FFF]千锤百炼[-]\n被动属性:\n防御力+5\n生命值+125\n使用属性:\n防御力+25\n生命值+625\n</v>
      </c>
      <c r="AE37" s="14" t="str">
        <f t="shared" si="22"/>
        <v>[A4E66FFF]千锤百炼[-]\n被动属性:\n攻击力+5\n生命值+125\n使用属性:\n攻击力+25\n生命值+625\n</v>
      </c>
      <c r="AF37" s="14" t="str">
        <f t="shared" si="23"/>
        <v>[A4E66FFF]千锤百炼[-]\n被动属性:\n攻击力+5\n防御力+5\n使用属性:\n攻击力+25\n防御力+25\n</v>
      </c>
      <c r="AG37" s="12" t="str">
        <f>VLOOKUP(X37,[1]CharPropertyConfig!$A:$B,2,FALSE)</f>
        <v>攻击力</v>
      </c>
      <c r="AH37" s="12" t="str">
        <f>VLOOKUP(Z37,[1]CharPropertyConfig!$A:$B,2,FALSE)</f>
        <v>防御力</v>
      </c>
      <c r="AI37" s="12" t="str">
        <f>VLOOKUP(AB37,[1]CharPropertyConfig!$A:$B,2,FALSE)</f>
        <v>生命值</v>
      </c>
      <c r="AJ37" s="14">
        <f t="shared" si="38"/>
        <v>10</v>
      </c>
      <c r="AK37" s="12">
        <f t="shared" si="39"/>
        <v>18.7</v>
      </c>
      <c r="AL37" s="12">
        <f t="shared" si="40"/>
        <v>93.5</v>
      </c>
      <c r="AM37" s="12" t="e">
        <f>INDEX([2]achievement!$B:$B,MATCH(SUMIFS([3]ItemConfig!$A:$A,[3]ItemConfig!$T:$T,"add_title",[3]ItemConfig!$U:$U,A37),[2]achievement!$H:$H,0))</f>
        <v>#VALUE!</v>
      </c>
      <c r="AO37" s="12" t="str">
        <f t="shared" si="41"/>
        <v>[A4E66FFF][A4E66FFF]千锤百炼[-][-]</v>
      </c>
      <c r="AQ37" s="14" t="str">
        <f t="shared" si="24"/>
        <v>千锤百炼[-][-]</v>
      </c>
      <c r="AR37" s="14" t="s">
        <v>194</v>
      </c>
      <c r="AV37" s="12">
        <f t="shared" si="42"/>
        <v>1122</v>
      </c>
      <c r="AW37" s="12">
        <f t="shared" si="43"/>
        <v>1</v>
      </c>
      <c r="AX37" s="14" t="str">
        <f t="shared" si="25"/>
        <v/>
      </c>
    </row>
    <row r="38" spans="1:50">
      <c r="A38" s="24">
        <v>41</v>
      </c>
      <c r="B38" s="47" t="s">
        <v>276</v>
      </c>
      <c r="C38" s="24" t="str">
        <f t="shared" si="26"/>
        <v>特殊活动产出</v>
      </c>
      <c r="D38" s="24" t="s">
        <v>340</v>
      </c>
      <c r="E38" s="26" t="str">
        <f t="shared" ca="1" si="27"/>
        <v>102:300|104:7000</v>
      </c>
      <c r="F38" s="26" t="str">
        <f t="shared" ca="1" si="28"/>
        <v>102:60|104:1400</v>
      </c>
      <c r="G38" s="24">
        <f t="shared" si="19"/>
        <v>11000</v>
      </c>
      <c r="H38" s="26">
        <f t="shared" si="20"/>
        <v>2200</v>
      </c>
      <c r="I38" s="40">
        <v>5</v>
      </c>
      <c r="J38" s="24">
        <v>1</v>
      </c>
      <c r="K38" s="24">
        <v>1</v>
      </c>
      <c r="L38" s="24">
        <v>1</v>
      </c>
      <c r="M38" s="24" t="s">
        <v>100</v>
      </c>
      <c r="N38" s="23" t="s">
        <v>215</v>
      </c>
      <c r="O38" s="58">
        <v>0</v>
      </c>
      <c r="P38" s="62">
        <v>170046</v>
      </c>
      <c r="Q38" s="58">
        <v>10</v>
      </c>
      <c r="R38" s="12" t="str">
        <f t="shared" si="29"/>
        <v>102:60|104:1400</v>
      </c>
      <c r="S38" s="12" t="str">
        <f t="shared" si="30"/>
        <v>101:60|104:1400</v>
      </c>
      <c r="T38" s="12" t="str">
        <f t="shared" si="31"/>
        <v>101:60|102:60</v>
      </c>
      <c r="U38" s="12" t="str">
        <f t="shared" si="32"/>
        <v>102:300|104:7000</v>
      </c>
      <c r="V38" s="12" t="str">
        <f t="shared" si="33"/>
        <v>101:300|104:7000</v>
      </c>
      <c r="W38" s="12" t="str">
        <f t="shared" si="34"/>
        <v>101:300|102:300</v>
      </c>
      <c r="X38" s="12">
        <v>101</v>
      </c>
      <c r="Y38" s="14">
        <f t="shared" si="35"/>
        <v>60</v>
      </c>
      <c r="Z38" s="12">
        <v>102</v>
      </c>
      <c r="AA38" s="14">
        <f t="shared" si="36"/>
        <v>60</v>
      </c>
      <c r="AB38" s="12">
        <v>104</v>
      </c>
      <c r="AC38" s="14">
        <f t="shared" si="37"/>
        <v>1400</v>
      </c>
      <c r="AD38" s="14" t="str">
        <f t="shared" si="21"/>
        <v>[C776F3FF]全副武装[-]\n被动属性:\n防御力+60\n生命值+1400\n使用属性:\n防御力+300\n生命值+7000\n</v>
      </c>
      <c r="AE38" s="14" t="str">
        <f t="shared" si="22"/>
        <v>[C776F3FF]全副武装[-]\n被动属性:\n攻击力+60\n生命值+1400\n使用属性:\n攻击力+300\n生命值+7000\n</v>
      </c>
      <c r="AF38" s="14" t="str">
        <f t="shared" si="23"/>
        <v>[C776F3FF]全副武装[-]\n被动属性:\n攻击力+60\n防御力+60\n使用属性:\n攻击力+300\n防御力+300\n</v>
      </c>
      <c r="AG38" s="12" t="str">
        <f>VLOOKUP(X38,[1]CharPropertyConfig!$A:$B,2,FALSE)</f>
        <v>攻击力</v>
      </c>
      <c r="AH38" s="12" t="str">
        <f>VLOOKUP(Z38,[1]CharPropertyConfig!$A:$B,2,FALSE)</f>
        <v>防御力</v>
      </c>
      <c r="AI38" s="12" t="str">
        <f>VLOOKUP(AB38,[1]CharPropertyConfig!$A:$B,2,FALSE)</f>
        <v>生命值</v>
      </c>
      <c r="AJ38" s="14">
        <f t="shared" si="38"/>
        <v>3130</v>
      </c>
      <c r="AK38" s="12">
        <f t="shared" si="39"/>
        <v>0.70287539936102239</v>
      </c>
      <c r="AL38" s="12">
        <f t="shared" si="40"/>
        <v>3.5143769968051117</v>
      </c>
      <c r="AM38" s="12" t="e">
        <f>INDEX([2]achievement!$B:$B,MATCH(SUMIFS([3]ItemConfig!$A:$A,[3]ItemConfig!$T:$T,"add_title",[3]ItemConfig!$U:$U,A38),[2]achievement!$H:$H,0))</f>
        <v>#VALUE!</v>
      </c>
      <c r="AO38" s="12" t="str">
        <f t="shared" si="41"/>
        <v>[C776F3FF][C776F3FF]全副武装[-][-]</v>
      </c>
      <c r="AQ38" s="14" t="str">
        <f t="shared" si="24"/>
        <v>全副武装[-][-]</v>
      </c>
      <c r="AR38" s="14" t="s">
        <v>195</v>
      </c>
      <c r="AV38" s="12">
        <f t="shared" si="42"/>
        <v>13200</v>
      </c>
      <c r="AW38" s="12">
        <f t="shared" si="43"/>
        <v>5</v>
      </c>
      <c r="AX38" s="14" t="str">
        <f t="shared" si="25"/>
        <v/>
      </c>
    </row>
    <row r="39" spans="1:50">
      <c r="A39" s="24">
        <v>42</v>
      </c>
      <c r="B39" s="47" t="s">
        <v>277</v>
      </c>
      <c r="C39" s="24" t="str">
        <f t="shared" si="26"/>
        <v>特殊活动产出</v>
      </c>
      <c r="D39" s="24" t="s">
        <v>341</v>
      </c>
      <c r="E39" s="26" t="str">
        <f t="shared" ca="1" si="27"/>
        <v>102:150|104:3250</v>
      </c>
      <c r="F39" s="26" t="str">
        <f t="shared" ca="1" si="28"/>
        <v>102:30|104:650</v>
      </c>
      <c r="G39" s="24">
        <f t="shared" si="19"/>
        <v>5375</v>
      </c>
      <c r="H39" s="26">
        <f t="shared" si="20"/>
        <v>1075</v>
      </c>
      <c r="I39" s="40">
        <v>3</v>
      </c>
      <c r="J39" s="24">
        <v>1</v>
      </c>
      <c r="K39" s="24">
        <v>1</v>
      </c>
      <c r="L39" s="24">
        <v>1</v>
      </c>
      <c r="M39" s="24" t="s">
        <v>100</v>
      </c>
      <c r="N39" s="23" t="s">
        <v>215</v>
      </c>
      <c r="O39" s="58">
        <v>0</v>
      </c>
      <c r="P39" s="62">
        <v>170047</v>
      </c>
      <c r="Q39" s="58">
        <v>10</v>
      </c>
      <c r="R39" s="12" t="str">
        <f t="shared" si="29"/>
        <v>102:30|104:650</v>
      </c>
      <c r="S39" s="12" t="str">
        <f t="shared" si="30"/>
        <v>101:30|104:650</v>
      </c>
      <c r="T39" s="12" t="str">
        <f t="shared" si="31"/>
        <v>101:30|102:30</v>
      </c>
      <c r="U39" s="12" t="str">
        <f t="shared" si="32"/>
        <v>102:150|104:3250</v>
      </c>
      <c r="V39" s="12" t="str">
        <f t="shared" si="33"/>
        <v>101:150|104:3250</v>
      </c>
      <c r="W39" s="12" t="str">
        <f t="shared" si="34"/>
        <v>101:150|102:150</v>
      </c>
      <c r="X39" s="12">
        <v>101</v>
      </c>
      <c r="Y39" s="14">
        <f t="shared" si="35"/>
        <v>30</v>
      </c>
      <c r="Z39" s="12">
        <v>102</v>
      </c>
      <c r="AA39" s="14">
        <f t="shared" si="36"/>
        <v>30</v>
      </c>
      <c r="AB39" s="12">
        <v>104</v>
      </c>
      <c r="AC39" s="14">
        <f t="shared" si="37"/>
        <v>650</v>
      </c>
      <c r="AD39" s="14" t="str">
        <f t="shared" si="21"/>
        <v>[76CBF3FF]战斗精通[-]\n被动属性:\n防御力+30\n生命值+650\n使用属性:\n防御力+150\n生命值+3250\n</v>
      </c>
      <c r="AE39" s="14" t="str">
        <f t="shared" si="22"/>
        <v>[76CBF3FF]战斗精通[-]\n被动属性:\n攻击力+30\n生命值+650\n使用属性:\n攻击力+150\n生命值+3250\n</v>
      </c>
      <c r="AF39" s="14" t="str">
        <f t="shared" si="23"/>
        <v>[76CBF3FF]战斗精通[-]\n被动属性:\n攻击力+30\n防御力+30\n使用属性:\n攻击力+150\n防御力+150\n</v>
      </c>
      <c r="AG39" s="12" t="str">
        <f>VLOOKUP(X39,[1]CharPropertyConfig!$A:$B,2,FALSE)</f>
        <v>攻击力</v>
      </c>
      <c r="AH39" s="12" t="str">
        <f>VLOOKUP(Z39,[1]CharPropertyConfig!$A:$B,2,FALSE)</f>
        <v>防御力</v>
      </c>
      <c r="AI39" s="12" t="str">
        <f>VLOOKUP(AB39,[1]CharPropertyConfig!$A:$B,2,FALSE)</f>
        <v>生命值</v>
      </c>
      <c r="AJ39" s="14">
        <f t="shared" si="38"/>
        <v>410</v>
      </c>
      <c r="AK39" s="12">
        <f t="shared" si="39"/>
        <v>2.6219512195121952</v>
      </c>
      <c r="AL39" s="12">
        <f t="shared" si="40"/>
        <v>13.109756097560975</v>
      </c>
      <c r="AM39" s="12" t="e">
        <f>INDEX([2]achievement!$B:$B,MATCH(SUMIFS([3]ItemConfig!$A:$A,[3]ItemConfig!$T:$T,"add_title",[3]ItemConfig!$U:$U,A39),[2]achievement!$H:$H,0))</f>
        <v>#VALUE!</v>
      </c>
      <c r="AO39" s="12" t="str">
        <f t="shared" si="41"/>
        <v>[76CBF3FF][76CBF3FF]战斗精通[-][-]</v>
      </c>
      <c r="AQ39" s="14" t="str">
        <f t="shared" si="24"/>
        <v>战斗精通[-][-]</v>
      </c>
      <c r="AR39" s="14" t="s">
        <v>196</v>
      </c>
      <c r="AV39" s="12">
        <f t="shared" si="42"/>
        <v>6450</v>
      </c>
      <c r="AW39" s="12">
        <f t="shared" si="43"/>
        <v>3</v>
      </c>
      <c r="AX39" s="14" t="str">
        <f t="shared" si="25"/>
        <v/>
      </c>
    </row>
    <row r="40" spans="1:50">
      <c r="A40" s="24">
        <v>43</v>
      </c>
      <c r="B40" s="47" t="s">
        <v>87</v>
      </c>
      <c r="C40" s="24" t="str">
        <f t="shared" si="26"/>
        <v>特殊活动产出</v>
      </c>
      <c r="D40" s="24" t="s">
        <v>342</v>
      </c>
      <c r="E40" s="26" t="str">
        <f t="shared" ca="1" si="27"/>
        <v>101:75|102:75</v>
      </c>
      <c r="F40" s="26" t="str">
        <f t="shared" ca="1" si="28"/>
        <v>101:15|102:15</v>
      </c>
      <c r="G40" s="24">
        <f t="shared" si="19"/>
        <v>2760</v>
      </c>
      <c r="H40" s="26">
        <f t="shared" si="20"/>
        <v>552</v>
      </c>
      <c r="I40" s="40">
        <v>2</v>
      </c>
      <c r="J40" s="24">
        <v>3</v>
      </c>
      <c r="K40" s="24">
        <v>1</v>
      </c>
      <c r="L40" s="24">
        <v>1</v>
      </c>
      <c r="M40" s="24" t="s">
        <v>100</v>
      </c>
      <c r="N40" s="23" t="s">
        <v>215</v>
      </c>
      <c r="O40" s="58">
        <v>0</v>
      </c>
      <c r="P40" s="62">
        <v>170048</v>
      </c>
      <c r="Q40" s="58">
        <v>10</v>
      </c>
      <c r="R40" s="12" t="str">
        <f t="shared" si="29"/>
        <v>102:15|104:355</v>
      </c>
      <c r="S40" s="12" t="str">
        <f t="shared" si="30"/>
        <v>101:15|104:355</v>
      </c>
      <c r="T40" s="12" t="str">
        <f t="shared" si="31"/>
        <v>101:15|102:15</v>
      </c>
      <c r="U40" s="12" t="str">
        <f t="shared" si="32"/>
        <v>102:75|104:1775</v>
      </c>
      <c r="V40" s="12" t="str">
        <f t="shared" si="33"/>
        <v>101:75|104:1775</v>
      </c>
      <c r="W40" s="12" t="str">
        <f t="shared" si="34"/>
        <v>101:75|102:75</v>
      </c>
      <c r="X40" s="12">
        <v>101</v>
      </c>
      <c r="Y40" s="14">
        <f t="shared" si="35"/>
        <v>15</v>
      </c>
      <c r="Z40" s="12">
        <v>102</v>
      </c>
      <c r="AA40" s="14">
        <f t="shared" si="36"/>
        <v>15</v>
      </c>
      <c r="AB40" s="12">
        <v>104</v>
      </c>
      <c r="AC40" s="14">
        <f t="shared" si="37"/>
        <v>355</v>
      </c>
      <c r="AD40" s="14" t="str">
        <f t="shared" si="21"/>
        <v>[A4E66FFF]盗墓者[-]\n被动属性:\n防御力+15\n生命值+355\n使用属性:\n防御力+75\n生命值+1775\n</v>
      </c>
      <c r="AE40" s="14" t="str">
        <f t="shared" si="22"/>
        <v>[A4E66FFF]盗墓者[-]\n被动属性:\n攻击力+15\n生命值+355\n使用属性:\n攻击力+75\n生命值+1775\n</v>
      </c>
      <c r="AF40" s="14" t="str">
        <f t="shared" si="23"/>
        <v>[A4E66FFF]盗墓者[-]\n被动属性:\n攻击力+15\n防御力+15\n使用属性:\n攻击力+75\n防御力+75\n</v>
      </c>
      <c r="AG40" s="12" t="str">
        <f>VLOOKUP(X40,[1]CharPropertyConfig!$A:$B,2,FALSE)</f>
        <v>攻击力</v>
      </c>
      <c r="AH40" s="12" t="str">
        <f>VLOOKUP(Z40,[1]CharPropertyConfig!$A:$B,2,FALSE)</f>
        <v>防御力</v>
      </c>
      <c r="AI40" s="12" t="str">
        <f>VLOOKUP(AB40,[1]CharPropertyConfig!$A:$B,2,FALSE)</f>
        <v>生命值</v>
      </c>
      <c r="AJ40" s="14">
        <f t="shared" si="38"/>
        <v>80</v>
      </c>
      <c r="AK40" s="12">
        <f t="shared" si="39"/>
        <v>6.9</v>
      </c>
      <c r="AL40" s="12">
        <f t="shared" si="40"/>
        <v>34.5</v>
      </c>
      <c r="AM40" s="12" t="e">
        <f>INDEX([2]achievement!$B:$B,MATCH(SUMIFS([3]ItemConfig!$A:$A,[3]ItemConfig!$T:$T,"add_title",[3]ItemConfig!$U:$U,A40),[2]achievement!$H:$H,0))</f>
        <v>#VALUE!</v>
      </c>
      <c r="AO40" s="12" t="str">
        <f t="shared" si="41"/>
        <v>[A4E66FFF][A4E66FFF]盗墓者[-][-]</v>
      </c>
      <c r="AQ40" s="14" t="str">
        <f t="shared" si="24"/>
        <v>盗墓者[-][-]</v>
      </c>
      <c r="AR40" s="14" t="s">
        <v>197</v>
      </c>
      <c r="AV40" s="12">
        <f t="shared" si="42"/>
        <v>3312</v>
      </c>
      <c r="AW40" s="12">
        <f t="shared" si="43"/>
        <v>2</v>
      </c>
      <c r="AX40" s="14" t="str">
        <f t="shared" si="25"/>
        <v/>
      </c>
    </row>
    <row r="41" spans="1:50">
      <c r="A41" s="24">
        <v>44</v>
      </c>
      <c r="B41" s="47" t="s">
        <v>278</v>
      </c>
      <c r="C41" s="24" t="str">
        <f t="shared" si="26"/>
        <v>特殊活动产出</v>
      </c>
      <c r="D41" s="24" t="s">
        <v>330</v>
      </c>
      <c r="E41" s="26" t="str">
        <f t="shared" ca="1" si="27"/>
        <v>101:150|102:150</v>
      </c>
      <c r="F41" s="26" t="str">
        <f t="shared" ca="1" si="28"/>
        <v>101:30|102:30</v>
      </c>
      <c r="G41" s="24">
        <f t="shared" si="19"/>
        <v>5375</v>
      </c>
      <c r="H41" s="26">
        <f t="shared" si="20"/>
        <v>1075</v>
      </c>
      <c r="I41" s="40">
        <v>3</v>
      </c>
      <c r="J41" s="24">
        <v>3</v>
      </c>
      <c r="K41" s="24">
        <v>1</v>
      </c>
      <c r="L41" s="24">
        <v>1</v>
      </c>
      <c r="M41" s="24" t="s">
        <v>100</v>
      </c>
      <c r="N41" s="23" t="s">
        <v>215</v>
      </c>
      <c r="O41" s="58">
        <v>0</v>
      </c>
      <c r="P41" s="62">
        <v>170049</v>
      </c>
      <c r="Q41" s="58">
        <v>10</v>
      </c>
      <c r="R41" s="12" t="str">
        <f t="shared" si="29"/>
        <v>102:30|104:650</v>
      </c>
      <c r="S41" s="12" t="str">
        <f t="shared" si="30"/>
        <v>101:30|104:650</v>
      </c>
      <c r="T41" s="12" t="str">
        <f t="shared" si="31"/>
        <v>101:30|102:30</v>
      </c>
      <c r="U41" s="12" t="str">
        <f t="shared" si="32"/>
        <v>102:150|104:3250</v>
      </c>
      <c r="V41" s="12" t="str">
        <f t="shared" si="33"/>
        <v>101:150|104:3250</v>
      </c>
      <c r="W41" s="12" t="str">
        <f t="shared" si="34"/>
        <v>101:150|102:150</v>
      </c>
      <c r="X41" s="12">
        <v>101</v>
      </c>
      <c r="Y41" s="14">
        <f t="shared" si="35"/>
        <v>30</v>
      </c>
      <c r="Z41" s="12">
        <v>102</v>
      </c>
      <c r="AA41" s="14">
        <f t="shared" si="36"/>
        <v>30</v>
      </c>
      <c r="AB41" s="12">
        <v>104</v>
      </c>
      <c r="AC41" s="14">
        <f t="shared" si="37"/>
        <v>650</v>
      </c>
      <c r="AD41" s="14" t="str">
        <f t="shared" si="21"/>
        <v>[76CBF3FF]考古学家[-]\n被动属性:\n防御力+30\n生命值+650\n使用属性:\n防御力+150\n生命值+3250\n</v>
      </c>
      <c r="AE41" s="14" t="str">
        <f t="shared" si="22"/>
        <v>[76CBF3FF]考古学家[-]\n被动属性:\n攻击力+30\n生命值+650\n使用属性:\n攻击力+150\n生命值+3250\n</v>
      </c>
      <c r="AF41" s="14" t="str">
        <f t="shared" si="23"/>
        <v>[76CBF3FF]考古学家[-]\n被动属性:\n攻击力+30\n防御力+30\n使用属性:\n攻击力+150\n防御力+150\n</v>
      </c>
      <c r="AG41" s="12" t="str">
        <f>VLOOKUP(X41,[1]CharPropertyConfig!$A:$B,2,FALSE)</f>
        <v>攻击力</v>
      </c>
      <c r="AH41" s="12" t="str">
        <f>VLOOKUP(Z41,[1]CharPropertyConfig!$A:$B,2,FALSE)</f>
        <v>防御力</v>
      </c>
      <c r="AI41" s="12" t="str">
        <f>VLOOKUP(AB41,[1]CharPropertyConfig!$A:$B,2,FALSE)</f>
        <v>生命值</v>
      </c>
      <c r="AJ41" s="14">
        <f t="shared" si="38"/>
        <v>410</v>
      </c>
      <c r="AK41" s="12">
        <f t="shared" si="39"/>
        <v>2.6219512195121952</v>
      </c>
      <c r="AL41" s="12">
        <f t="shared" si="40"/>
        <v>13.109756097560975</v>
      </c>
      <c r="AM41" s="12" t="e">
        <f>INDEX([2]achievement!$B:$B,MATCH(SUMIFS([3]ItemConfig!$A:$A,[3]ItemConfig!$T:$T,"add_title",[3]ItemConfig!$U:$U,A41),[2]achievement!$H:$H,0))</f>
        <v>#VALUE!</v>
      </c>
      <c r="AO41" s="12" t="str">
        <f t="shared" si="41"/>
        <v>[76CBF3FF][76CBF3FF]考古学家[-][-]</v>
      </c>
      <c r="AQ41" s="14" t="str">
        <f t="shared" si="24"/>
        <v>考古学家[-][-]</v>
      </c>
      <c r="AR41" s="14" t="s">
        <v>198</v>
      </c>
      <c r="AV41" s="12">
        <f t="shared" si="42"/>
        <v>6450</v>
      </c>
      <c r="AW41" s="12">
        <f t="shared" si="43"/>
        <v>3</v>
      </c>
      <c r="AX41" s="14" t="str">
        <f t="shared" si="25"/>
        <v/>
      </c>
    </row>
    <row r="42" spans="1:50">
      <c r="A42" s="24">
        <v>45</v>
      </c>
      <c r="B42" s="47" t="s">
        <v>88</v>
      </c>
      <c r="C42" s="24" t="str">
        <f t="shared" si="26"/>
        <v>特殊活动产出</v>
      </c>
      <c r="D42" s="24" t="s">
        <v>331</v>
      </c>
      <c r="E42" s="26" t="str">
        <f t="shared" ca="1" si="27"/>
        <v>101:75|102:75</v>
      </c>
      <c r="F42" s="26" t="str">
        <f t="shared" ca="1" si="28"/>
        <v>101:15|102:15</v>
      </c>
      <c r="G42" s="24">
        <f t="shared" si="19"/>
        <v>2760</v>
      </c>
      <c r="H42" s="26">
        <f t="shared" si="20"/>
        <v>552</v>
      </c>
      <c r="I42" s="40">
        <v>2</v>
      </c>
      <c r="J42" s="24">
        <v>3</v>
      </c>
      <c r="K42" s="24">
        <v>1</v>
      </c>
      <c r="L42" s="24">
        <v>1</v>
      </c>
      <c r="M42" s="24" t="s">
        <v>100</v>
      </c>
      <c r="N42" s="23" t="s">
        <v>215</v>
      </c>
      <c r="O42" s="58">
        <v>0</v>
      </c>
      <c r="P42" s="62">
        <v>170050</v>
      </c>
      <c r="Q42" s="58">
        <v>10</v>
      </c>
      <c r="R42" s="12" t="str">
        <f t="shared" si="29"/>
        <v>102:15|104:355</v>
      </c>
      <c r="S42" s="12" t="str">
        <f t="shared" si="30"/>
        <v>101:15|104:355</v>
      </c>
      <c r="T42" s="12" t="str">
        <f t="shared" si="31"/>
        <v>101:15|102:15</v>
      </c>
      <c r="U42" s="12" t="str">
        <f t="shared" si="32"/>
        <v>102:75|104:1775</v>
      </c>
      <c r="V42" s="12" t="str">
        <f t="shared" si="33"/>
        <v>101:75|104:1775</v>
      </c>
      <c r="W42" s="12" t="str">
        <f t="shared" si="34"/>
        <v>101:75|102:75</v>
      </c>
      <c r="X42" s="12">
        <v>101</v>
      </c>
      <c r="Y42" s="14">
        <f t="shared" si="35"/>
        <v>15</v>
      </c>
      <c r="Z42" s="12">
        <v>102</v>
      </c>
      <c r="AA42" s="14">
        <f t="shared" si="36"/>
        <v>15</v>
      </c>
      <c r="AB42" s="12">
        <v>104</v>
      </c>
      <c r="AC42" s="14">
        <f t="shared" si="37"/>
        <v>355</v>
      </c>
      <c r="AD42" s="14" t="str">
        <f t="shared" si="21"/>
        <v>[A4E66FFF]军功累累[-]\n被动属性:\n防御力+15\n生命值+355\n使用属性:\n防御力+75\n生命值+1775\n</v>
      </c>
      <c r="AE42" s="14" t="str">
        <f t="shared" si="22"/>
        <v>[A4E66FFF]军功累累[-]\n被动属性:\n攻击力+15\n生命值+355\n使用属性:\n攻击力+75\n生命值+1775\n</v>
      </c>
      <c r="AF42" s="14" t="str">
        <f t="shared" si="23"/>
        <v>[A4E66FFF]军功累累[-]\n被动属性:\n攻击力+15\n防御力+15\n使用属性:\n攻击力+75\n防御力+75\n</v>
      </c>
      <c r="AG42" s="12" t="str">
        <f>VLOOKUP(X42,[1]CharPropertyConfig!$A:$B,2,FALSE)</f>
        <v>攻击力</v>
      </c>
      <c r="AH42" s="12" t="str">
        <f>VLOOKUP(Z42,[1]CharPropertyConfig!$A:$B,2,FALSE)</f>
        <v>防御力</v>
      </c>
      <c r="AI42" s="12" t="str">
        <f>VLOOKUP(AB42,[1]CharPropertyConfig!$A:$B,2,FALSE)</f>
        <v>生命值</v>
      </c>
      <c r="AJ42" s="14">
        <f t="shared" si="38"/>
        <v>80</v>
      </c>
      <c r="AK42" s="12">
        <f t="shared" si="39"/>
        <v>6.9</v>
      </c>
      <c r="AL42" s="12">
        <f t="shared" si="40"/>
        <v>34.5</v>
      </c>
      <c r="AM42" s="12" t="e">
        <f>INDEX([2]achievement!$B:$B,MATCH(SUMIFS([3]ItemConfig!$A:$A,[3]ItemConfig!$T:$T,"add_title",[3]ItemConfig!$U:$U,A42),[2]achievement!$H:$H,0))</f>
        <v>#VALUE!</v>
      </c>
      <c r="AO42" s="12" t="str">
        <f t="shared" si="41"/>
        <v>[A4E66FFF][A4E66FFF]军功累累[-][-]</v>
      </c>
      <c r="AQ42" s="14" t="str">
        <f t="shared" si="24"/>
        <v>军功累累[-][-]</v>
      </c>
      <c r="AR42" s="14" t="s">
        <v>199</v>
      </c>
      <c r="AV42" s="12">
        <f t="shared" si="42"/>
        <v>3312</v>
      </c>
      <c r="AW42" s="12">
        <f t="shared" si="43"/>
        <v>2</v>
      </c>
      <c r="AX42" s="14" t="str">
        <f t="shared" si="25"/>
        <v/>
      </c>
    </row>
    <row r="43" spans="1:50">
      <c r="A43" s="24">
        <v>46</v>
      </c>
      <c r="B43" s="47" t="s">
        <v>279</v>
      </c>
      <c r="C43" s="24" t="str">
        <f t="shared" si="26"/>
        <v>特殊活动产出</v>
      </c>
      <c r="D43" s="24" t="s">
        <v>332</v>
      </c>
      <c r="E43" s="26" t="str">
        <f t="shared" ca="1" si="27"/>
        <v>101:150|102:150</v>
      </c>
      <c r="F43" s="26" t="str">
        <f t="shared" ca="1" si="28"/>
        <v>101:30|102:30</v>
      </c>
      <c r="G43" s="24">
        <f t="shared" si="19"/>
        <v>5375</v>
      </c>
      <c r="H43" s="26">
        <f t="shared" si="20"/>
        <v>1075</v>
      </c>
      <c r="I43" s="40">
        <v>3</v>
      </c>
      <c r="J43" s="24">
        <v>3</v>
      </c>
      <c r="K43" s="24">
        <v>1</v>
      </c>
      <c r="L43" s="24">
        <v>1</v>
      </c>
      <c r="M43" s="24" t="s">
        <v>100</v>
      </c>
      <c r="N43" s="23" t="s">
        <v>215</v>
      </c>
      <c r="O43" s="58">
        <v>0</v>
      </c>
      <c r="P43" s="62">
        <v>170051</v>
      </c>
      <c r="Q43" s="58">
        <v>10</v>
      </c>
      <c r="R43" s="12" t="str">
        <f t="shared" si="29"/>
        <v>102:30|104:650</v>
      </c>
      <c r="S43" s="12" t="str">
        <f t="shared" si="30"/>
        <v>101:30|104:650</v>
      </c>
      <c r="T43" s="12" t="str">
        <f t="shared" si="31"/>
        <v>101:30|102:30</v>
      </c>
      <c r="U43" s="12" t="str">
        <f t="shared" si="32"/>
        <v>102:150|104:3250</v>
      </c>
      <c r="V43" s="12" t="str">
        <f t="shared" si="33"/>
        <v>101:150|104:3250</v>
      </c>
      <c r="W43" s="12" t="str">
        <f t="shared" si="34"/>
        <v>101:150|102:150</v>
      </c>
      <c r="X43" s="12">
        <v>101</v>
      </c>
      <c r="Y43" s="14">
        <f t="shared" si="35"/>
        <v>30</v>
      </c>
      <c r="Z43" s="12">
        <v>102</v>
      </c>
      <c r="AA43" s="14">
        <f t="shared" si="36"/>
        <v>30</v>
      </c>
      <c r="AB43" s="12">
        <v>104</v>
      </c>
      <c r="AC43" s="14">
        <f t="shared" si="37"/>
        <v>650</v>
      </c>
      <c r="AD43" s="14" t="str">
        <f t="shared" si="21"/>
        <v>[76CBF3FF]成藏功与名[-]\n被动属性:\n防御力+30\n生命值+650\n使用属性:\n防御力+150\n生命值+3250\n</v>
      </c>
      <c r="AE43" s="14" t="str">
        <f t="shared" si="22"/>
        <v>[76CBF3FF]成藏功与名[-]\n被动属性:\n攻击力+30\n生命值+650\n使用属性:\n攻击力+150\n生命值+3250\n</v>
      </c>
      <c r="AF43" s="14" t="str">
        <f t="shared" si="23"/>
        <v>[76CBF3FF]成藏功与名[-]\n被动属性:\n攻击力+30\n防御力+30\n使用属性:\n攻击力+150\n防御力+150\n</v>
      </c>
      <c r="AG43" s="12" t="str">
        <f>VLOOKUP(X43,[1]CharPropertyConfig!$A:$B,2,FALSE)</f>
        <v>攻击力</v>
      </c>
      <c r="AH43" s="12" t="str">
        <f>VLOOKUP(Z43,[1]CharPropertyConfig!$A:$B,2,FALSE)</f>
        <v>防御力</v>
      </c>
      <c r="AI43" s="12" t="str">
        <f>VLOOKUP(AB43,[1]CharPropertyConfig!$A:$B,2,FALSE)</f>
        <v>生命值</v>
      </c>
      <c r="AJ43" s="14">
        <f t="shared" si="38"/>
        <v>410</v>
      </c>
      <c r="AK43" s="12">
        <f t="shared" si="39"/>
        <v>2.6219512195121952</v>
      </c>
      <c r="AL43" s="12">
        <f t="shared" si="40"/>
        <v>13.109756097560975</v>
      </c>
      <c r="AM43" s="12" t="e">
        <f>INDEX([2]achievement!$B:$B,MATCH(SUMIFS([3]ItemConfig!$A:$A,[3]ItemConfig!$T:$T,"add_title",[3]ItemConfig!$U:$U,A43),[2]achievement!$H:$H,0))</f>
        <v>#VALUE!</v>
      </c>
      <c r="AO43" s="12" t="str">
        <f t="shared" si="41"/>
        <v>[76CBF3FF][76CBF3FF]成藏功与名[-][-]</v>
      </c>
      <c r="AQ43" s="14" t="str">
        <f t="shared" si="24"/>
        <v>成藏功与名[-][-]</v>
      </c>
      <c r="AR43" s="14" t="s">
        <v>200</v>
      </c>
      <c r="AV43" s="12">
        <f t="shared" si="42"/>
        <v>6450</v>
      </c>
      <c r="AW43" s="12">
        <f t="shared" si="43"/>
        <v>3</v>
      </c>
      <c r="AX43" s="14" t="str">
        <f t="shared" si="25"/>
        <v/>
      </c>
    </row>
    <row r="44" spans="1:50">
      <c r="A44" s="24">
        <v>47</v>
      </c>
      <c r="B44" s="47" t="s">
        <v>280</v>
      </c>
      <c r="C44" s="24" t="str">
        <f t="shared" si="26"/>
        <v>特殊活动产出</v>
      </c>
      <c r="D44" s="24" t="s">
        <v>333</v>
      </c>
      <c r="E44" s="26" t="str">
        <f t="shared" ca="1" si="27"/>
        <v>101:25|102:25</v>
      </c>
      <c r="F44" s="26" t="str">
        <f t="shared" ca="1" si="28"/>
        <v>101:5|102:5</v>
      </c>
      <c r="G44" s="24">
        <f t="shared" si="19"/>
        <v>935</v>
      </c>
      <c r="H44" s="26">
        <f t="shared" si="20"/>
        <v>187</v>
      </c>
      <c r="I44" s="40">
        <v>1</v>
      </c>
      <c r="J44" s="24">
        <v>3</v>
      </c>
      <c r="K44" s="24">
        <v>1</v>
      </c>
      <c r="L44" s="24">
        <v>1</v>
      </c>
      <c r="M44" s="24" t="s">
        <v>100</v>
      </c>
      <c r="N44" s="23" t="s">
        <v>215</v>
      </c>
      <c r="O44" s="58">
        <v>0</v>
      </c>
      <c r="P44" s="62">
        <v>170052</v>
      </c>
      <c r="Q44" s="58">
        <v>10</v>
      </c>
      <c r="R44" s="12" t="str">
        <f t="shared" si="29"/>
        <v>102:5|104:125</v>
      </c>
      <c r="S44" s="12" t="str">
        <f t="shared" si="30"/>
        <v>101:5|104:125</v>
      </c>
      <c r="T44" s="12" t="str">
        <f t="shared" si="31"/>
        <v>101:5|102:5</v>
      </c>
      <c r="U44" s="12" t="str">
        <f t="shared" si="32"/>
        <v>102:25|104:625</v>
      </c>
      <c r="V44" s="12" t="str">
        <f t="shared" si="33"/>
        <v>101:25|104:625</v>
      </c>
      <c r="W44" s="12" t="str">
        <f t="shared" si="34"/>
        <v>101:25|102:25</v>
      </c>
      <c r="X44" s="12">
        <v>101</v>
      </c>
      <c r="Y44" s="14">
        <f t="shared" si="35"/>
        <v>5</v>
      </c>
      <c r="Z44" s="12">
        <v>102</v>
      </c>
      <c r="AA44" s="14">
        <f t="shared" si="36"/>
        <v>5</v>
      </c>
      <c r="AB44" s="12">
        <v>104</v>
      </c>
      <c r="AC44" s="14">
        <f t="shared" si="37"/>
        <v>125</v>
      </c>
      <c r="AD44" s="14" t="str">
        <f t="shared" si="21"/>
        <v>[A4E66FFF]勇士[-]\n被动属性:\n防御力+5\n生命值+125\n使用属性:\n防御力+25\n生命值+625\n</v>
      </c>
      <c r="AE44" s="14" t="str">
        <f t="shared" si="22"/>
        <v>[A4E66FFF]勇士[-]\n被动属性:\n攻击力+5\n生命值+125\n使用属性:\n攻击力+25\n生命值+625\n</v>
      </c>
      <c r="AF44" s="14" t="str">
        <f t="shared" si="23"/>
        <v>[A4E66FFF]勇士[-]\n被动属性:\n攻击力+5\n防御力+5\n使用属性:\n攻击力+25\n防御力+25\n</v>
      </c>
      <c r="AG44" s="12" t="str">
        <f>VLOOKUP(X44,[1]CharPropertyConfig!$A:$B,2,FALSE)</f>
        <v>攻击力</v>
      </c>
      <c r="AH44" s="12" t="str">
        <f>VLOOKUP(Z44,[1]CharPropertyConfig!$A:$B,2,FALSE)</f>
        <v>防御力</v>
      </c>
      <c r="AI44" s="12" t="str">
        <f>VLOOKUP(AB44,[1]CharPropertyConfig!$A:$B,2,FALSE)</f>
        <v>生命值</v>
      </c>
      <c r="AJ44" s="14">
        <f t="shared" si="38"/>
        <v>10</v>
      </c>
      <c r="AK44" s="12">
        <f t="shared" si="39"/>
        <v>18.7</v>
      </c>
      <c r="AL44" s="12">
        <f t="shared" si="40"/>
        <v>93.5</v>
      </c>
      <c r="AM44" s="12" t="e">
        <f>INDEX([2]achievement!$B:$B,MATCH(SUMIFS([3]ItemConfig!$A:$A,[3]ItemConfig!$T:$T,"add_title",[3]ItemConfig!$U:$U,A44),[2]achievement!$H:$H,0))</f>
        <v>#VALUE!</v>
      </c>
      <c r="AO44" s="12" t="str">
        <f t="shared" si="41"/>
        <v>[A4E66FFF][A4E66FFF]勇士[-][-]</v>
      </c>
      <c r="AQ44" s="14" t="str">
        <f t="shared" si="24"/>
        <v>勇士[-][-]</v>
      </c>
      <c r="AR44" s="14" t="s">
        <v>201</v>
      </c>
      <c r="AV44" s="12">
        <f t="shared" si="42"/>
        <v>1122</v>
      </c>
      <c r="AW44" s="12">
        <f t="shared" si="43"/>
        <v>1</v>
      </c>
      <c r="AX44" s="14" t="str">
        <f t="shared" si="25"/>
        <v/>
      </c>
    </row>
    <row r="45" spans="1:50">
      <c r="A45" s="24">
        <v>48</v>
      </c>
      <c r="B45" s="47" t="s">
        <v>281</v>
      </c>
      <c r="C45" s="24" t="str">
        <f t="shared" si="26"/>
        <v>特殊活动产出</v>
      </c>
      <c r="D45" s="24" t="s">
        <v>334</v>
      </c>
      <c r="E45" s="26" t="str">
        <f t="shared" ca="1" si="27"/>
        <v>101:25|102:25</v>
      </c>
      <c r="F45" s="26" t="str">
        <f t="shared" ca="1" si="28"/>
        <v>101:5|102:5</v>
      </c>
      <c r="G45" s="24">
        <f t="shared" si="19"/>
        <v>935</v>
      </c>
      <c r="H45" s="26">
        <f t="shared" si="20"/>
        <v>187</v>
      </c>
      <c r="I45" s="40">
        <v>1</v>
      </c>
      <c r="J45" s="24">
        <v>3</v>
      </c>
      <c r="K45" s="24">
        <v>1</v>
      </c>
      <c r="L45" s="24">
        <v>1</v>
      </c>
      <c r="M45" s="24" t="s">
        <v>100</v>
      </c>
      <c r="N45" s="23" t="s">
        <v>215</v>
      </c>
      <c r="O45" s="58">
        <v>0</v>
      </c>
      <c r="P45" s="62">
        <v>170053</v>
      </c>
      <c r="Q45" s="58">
        <v>10</v>
      </c>
      <c r="R45" s="12" t="str">
        <f t="shared" si="29"/>
        <v>102:5|104:125</v>
      </c>
      <c r="S45" s="12" t="str">
        <f t="shared" si="30"/>
        <v>101:5|104:125</v>
      </c>
      <c r="T45" s="12" t="str">
        <f t="shared" si="31"/>
        <v>101:5|102:5</v>
      </c>
      <c r="U45" s="12" t="str">
        <f t="shared" si="32"/>
        <v>102:25|104:625</v>
      </c>
      <c r="V45" s="12" t="str">
        <f t="shared" si="33"/>
        <v>101:25|104:625</v>
      </c>
      <c r="W45" s="12" t="str">
        <f t="shared" si="34"/>
        <v>101:25|102:25</v>
      </c>
      <c r="X45" s="12">
        <v>101</v>
      </c>
      <c r="Y45" s="14">
        <f t="shared" si="35"/>
        <v>5</v>
      </c>
      <c r="Z45" s="12">
        <v>102</v>
      </c>
      <c r="AA45" s="14">
        <f t="shared" si="36"/>
        <v>5</v>
      </c>
      <c r="AB45" s="12">
        <v>104</v>
      </c>
      <c r="AC45" s="14">
        <f t="shared" si="37"/>
        <v>125</v>
      </c>
      <c r="AD45" s="14" t="str">
        <f t="shared" si="21"/>
        <v>[A4E66FFF]财迷[-]\n被动属性:\n防御力+5\n生命值+125\n使用属性:\n防御力+25\n生命值+625\n</v>
      </c>
      <c r="AE45" s="14" t="str">
        <f t="shared" si="22"/>
        <v>[A4E66FFF]财迷[-]\n被动属性:\n攻击力+5\n生命值+125\n使用属性:\n攻击力+25\n生命值+625\n</v>
      </c>
      <c r="AF45" s="14" t="str">
        <f t="shared" si="23"/>
        <v>[A4E66FFF]财迷[-]\n被动属性:\n攻击力+5\n防御力+5\n使用属性:\n攻击力+25\n防御力+25\n</v>
      </c>
      <c r="AG45" s="12" t="str">
        <f>VLOOKUP(X45,[1]CharPropertyConfig!$A:$B,2,FALSE)</f>
        <v>攻击力</v>
      </c>
      <c r="AH45" s="12" t="str">
        <f>VLOOKUP(Z45,[1]CharPropertyConfig!$A:$B,2,FALSE)</f>
        <v>防御力</v>
      </c>
      <c r="AI45" s="12" t="str">
        <f>VLOOKUP(AB45,[1]CharPropertyConfig!$A:$B,2,FALSE)</f>
        <v>生命值</v>
      </c>
      <c r="AJ45" s="14">
        <f t="shared" si="38"/>
        <v>10</v>
      </c>
      <c r="AK45" s="12">
        <f t="shared" si="39"/>
        <v>18.7</v>
      </c>
      <c r="AL45" s="12">
        <f t="shared" si="40"/>
        <v>93.5</v>
      </c>
      <c r="AM45" s="12" t="e">
        <f>INDEX([2]achievement!$B:$B,MATCH(SUMIFS([3]ItemConfig!$A:$A,[3]ItemConfig!$T:$T,"add_title",[3]ItemConfig!$U:$U,A45),[2]achievement!$H:$H,0))</f>
        <v>#VALUE!</v>
      </c>
      <c r="AO45" s="12" t="str">
        <f t="shared" si="41"/>
        <v>[A4E66FFF][A4E66FFF]财迷[-][-]</v>
      </c>
      <c r="AQ45" s="14" t="str">
        <f t="shared" si="24"/>
        <v>财迷[-][-]</v>
      </c>
      <c r="AR45" s="14" t="s">
        <v>202</v>
      </c>
      <c r="AV45" s="12">
        <f t="shared" si="42"/>
        <v>1122</v>
      </c>
      <c r="AW45" s="12">
        <f t="shared" si="43"/>
        <v>1</v>
      </c>
      <c r="AX45" s="14" t="str">
        <f t="shared" si="25"/>
        <v/>
      </c>
    </row>
    <row r="46" spans="1:50">
      <c r="A46" s="24">
        <v>49</v>
      </c>
      <c r="B46" s="47" t="s">
        <v>89</v>
      </c>
      <c r="C46" s="24" t="str">
        <f t="shared" si="26"/>
        <v>特殊活动产出</v>
      </c>
      <c r="D46" s="24" t="s">
        <v>335</v>
      </c>
      <c r="E46" s="26" t="str">
        <f t="shared" ca="1" si="27"/>
        <v>101:75|102:75</v>
      </c>
      <c r="F46" s="26" t="str">
        <f t="shared" ca="1" si="28"/>
        <v>101:15|102:15</v>
      </c>
      <c r="G46" s="24">
        <f t="shared" si="19"/>
        <v>2760</v>
      </c>
      <c r="H46" s="26">
        <f t="shared" si="20"/>
        <v>552</v>
      </c>
      <c r="I46" s="40">
        <v>2</v>
      </c>
      <c r="J46" s="24">
        <v>3</v>
      </c>
      <c r="K46" s="24">
        <v>1</v>
      </c>
      <c r="L46" s="24">
        <v>1</v>
      </c>
      <c r="M46" s="24" t="s">
        <v>100</v>
      </c>
      <c r="N46" s="23" t="s">
        <v>215</v>
      </c>
      <c r="O46" s="58">
        <v>0</v>
      </c>
      <c r="P46" s="62">
        <v>170054</v>
      </c>
      <c r="Q46" s="58">
        <v>10</v>
      </c>
      <c r="R46" s="12" t="str">
        <f t="shared" si="29"/>
        <v>102:15|104:355</v>
      </c>
      <c r="S46" s="12" t="str">
        <f t="shared" si="30"/>
        <v>101:15|104:355</v>
      </c>
      <c r="T46" s="12" t="str">
        <f t="shared" si="31"/>
        <v>101:15|102:15</v>
      </c>
      <c r="U46" s="12" t="str">
        <f t="shared" si="32"/>
        <v>102:75|104:1775</v>
      </c>
      <c r="V46" s="12" t="str">
        <f t="shared" si="33"/>
        <v>101:75|104:1775</v>
      </c>
      <c r="W46" s="12" t="str">
        <f t="shared" si="34"/>
        <v>101:75|102:75</v>
      </c>
      <c r="X46" s="12">
        <v>101</v>
      </c>
      <c r="Y46" s="14">
        <f t="shared" si="35"/>
        <v>15</v>
      </c>
      <c r="Z46" s="12">
        <v>102</v>
      </c>
      <c r="AA46" s="14">
        <f t="shared" si="36"/>
        <v>15</v>
      </c>
      <c r="AB46" s="12">
        <v>104</v>
      </c>
      <c r="AC46" s="14">
        <f t="shared" si="37"/>
        <v>355</v>
      </c>
      <c r="AD46" s="14" t="str">
        <f t="shared" si="21"/>
        <v>[A4E66FFF]人品无敌[-]\n被动属性:\n防御力+15\n生命值+355\n使用属性:\n防御力+75\n生命值+1775\n</v>
      </c>
      <c r="AE46" s="14" t="str">
        <f t="shared" si="22"/>
        <v>[A4E66FFF]人品无敌[-]\n被动属性:\n攻击力+15\n生命值+355\n使用属性:\n攻击力+75\n生命值+1775\n</v>
      </c>
      <c r="AF46" s="14" t="str">
        <f t="shared" si="23"/>
        <v>[A4E66FFF]人品无敌[-]\n被动属性:\n攻击力+15\n防御力+15\n使用属性:\n攻击力+75\n防御力+75\n</v>
      </c>
      <c r="AG46" s="12" t="str">
        <f>VLOOKUP(X46,[1]CharPropertyConfig!$A:$B,2,FALSE)</f>
        <v>攻击力</v>
      </c>
      <c r="AH46" s="12" t="str">
        <f>VLOOKUP(Z46,[1]CharPropertyConfig!$A:$B,2,FALSE)</f>
        <v>防御力</v>
      </c>
      <c r="AI46" s="12" t="str">
        <f>VLOOKUP(AB46,[1]CharPropertyConfig!$A:$B,2,FALSE)</f>
        <v>生命值</v>
      </c>
      <c r="AJ46" s="14">
        <f t="shared" si="38"/>
        <v>80</v>
      </c>
      <c r="AK46" s="12">
        <f t="shared" si="39"/>
        <v>6.9</v>
      </c>
      <c r="AL46" s="12">
        <f t="shared" si="40"/>
        <v>34.5</v>
      </c>
      <c r="AM46" s="12" t="e">
        <f>INDEX([2]achievement!$B:$B,MATCH(SUMIFS([3]ItemConfig!$A:$A,[3]ItemConfig!$T:$T,"add_title",[3]ItemConfig!$U:$U,A46),[2]achievement!$H:$H,0))</f>
        <v>#VALUE!</v>
      </c>
      <c r="AO46" s="12" t="str">
        <f t="shared" si="41"/>
        <v>[A4E66FFF][A4E66FFF]人品无敌[-][-]</v>
      </c>
      <c r="AQ46" s="14" t="str">
        <f t="shared" si="24"/>
        <v>人品无敌[-][-]</v>
      </c>
      <c r="AR46" s="14" t="s">
        <v>203</v>
      </c>
      <c r="AV46" s="12">
        <f t="shared" si="42"/>
        <v>3312</v>
      </c>
      <c r="AW46" s="12">
        <f t="shared" si="43"/>
        <v>2</v>
      </c>
      <c r="AX46" s="14" t="str">
        <f t="shared" si="25"/>
        <v/>
      </c>
    </row>
    <row r="47" spans="1:50">
      <c r="A47" s="24">
        <v>50</v>
      </c>
      <c r="B47" s="47" t="s">
        <v>235</v>
      </c>
      <c r="C47" s="24" t="str">
        <f t="shared" si="26"/>
        <v>特殊活动产出</v>
      </c>
      <c r="D47" s="24" t="s">
        <v>336</v>
      </c>
      <c r="E47" s="26" t="str">
        <f t="shared" ca="1" si="27"/>
        <v>101:75|102:75</v>
      </c>
      <c r="F47" s="26" t="str">
        <f t="shared" ca="1" si="28"/>
        <v>101:15|102:15</v>
      </c>
      <c r="G47" s="24">
        <f t="shared" si="19"/>
        <v>2760</v>
      </c>
      <c r="H47" s="26">
        <f t="shared" si="20"/>
        <v>552</v>
      </c>
      <c r="I47" s="40">
        <v>2</v>
      </c>
      <c r="J47" s="24">
        <v>3</v>
      </c>
      <c r="K47" s="24">
        <v>1</v>
      </c>
      <c r="L47" s="24">
        <v>1</v>
      </c>
      <c r="M47" s="24" t="s">
        <v>100</v>
      </c>
      <c r="N47" s="23" t="s">
        <v>215</v>
      </c>
      <c r="O47" s="58">
        <v>0</v>
      </c>
      <c r="P47" s="62">
        <v>170055</v>
      </c>
      <c r="Q47" s="58">
        <v>10</v>
      </c>
      <c r="R47" s="12" t="str">
        <f t="shared" si="29"/>
        <v>102:15|104:355</v>
      </c>
      <c r="S47" s="12" t="str">
        <f t="shared" si="30"/>
        <v>101:15|104:355</v>
      </c>
      <c r="T47" s="12" t="str">
        <f t="shared" si="31"/>
        <v>101:15|102:15</v>
      </c>
      <c r="U47" s="12" t="str">
        <f t="shared" si="32"/>
        <v>102:75|104:1775</v>
      </c>
      <c r="V47" s="12" t="str">
        <f t="shared" si="33"/>
        <v>101:75|104:1775</v>
      </c>
      <c r="W47" s="12" t="str">
        <f t="shared" si="34"/>
        <v>101:75|102:75</v>
      </c>
      <c r="X47" s="12">
        <v>101</v>
      </c>
      <c r="Y47" s="14">
        <f t="shared" si="35"/>
        <v>15</v>
      </c>
      <c r="Z47" s="12">
        <v>102</v>
      </c>
      <c r="AA47" s="14">
        <f t="shared" si="36"/>
        <v>15</v>
      </c>
      <c r="AB47" s="12">
        <v>104</v>
      </c>
      <c r="AC47" s="14">
        <f t="shared" si="37"/>
        <v>355</v>
      </c>
      <c r="AD47" s="14" t="str">
        <f t="shared" si="21"/>
        <v>[A4E66FFF]宝石之力[-]\n被动属性:\n防御力+15\n生命值+355\n使用属性:\n防御力+75\n生命值+1775\n</v>
      </c>
      <c r="AE47" s="14" t="str">
        <f t="shared" si="22"/>
        <v>[A4E66FFF]宝石之力[-]\n被动属性:\n攻击力+15\n生命值+355\n使用属性:\n攻击力+75\n生命值+1775\n</v>
      </c>
      <c r="AF47" s="14" t="str">
        <f t="shared" si="23"/>
        <v>[A4E66FFF]宝石之力[-]\n被动属性:\n攻击力+15\n防御力+15\n使用属性:\n攻击力+75\n防御力+75\n</v>
      </c>
      <c r="AG47" s="12" t="str">
        <f>VLOOKUP(X47,[1]CharPropertyConfig!$A:$B,2,FALSE)</f>
        <v>攻击力</v>
      </c>
      <c r="AH47" s="12" t="str">
        <f>VLOOKUP(Z47,[1]CharPropertyConfig!$A:$B,2,FALSE)</f>
        <v>防御力</v>
      </c>
      <c r="AI47" s="12" t="str">
        <f>VLOOKUP(AB47,[1]CharPropertyConfig!$A:$B,2,FALSE)</f>
        <v>生命值</v>
      </c>
      <c r="AJ47" s="14">
        <f t="shared" si="38"/>
        <v>80</v>
      </c>
      <c r="AK47" s="12">
        <f t="shared" si="39"/>
        <v>6.9</v>
      </c>
      <c r="AL47" s="12">
        <f t="shared" si="40"/>
        <v>34.5</v>
      </c>
      <c r="AM47" s="12" t="e">
        <f>INDEX([2]achievement!$B:$B,MATCH(SUMIFS([3]ItemConfig!$A:$A,[3]ItemConfig!$T:$T,"add_title",[3]ItemConfig!$U:$U,A47),[2]achievement!$H:$H,0))</f>
        <v>#VALUE!</v>
      </c>
      <c r="AO47" s="12" t="str">
        <f t="shared" si="41"/>
        <v>[A4E66FFF][A4E66FFF]宝石之力[-][-]</v>
      </c>
      <c r="AQ47" s="14" t="str">
        <f t="shared" si="24"/>
        <v>宝石之力[-][-]</v>
      </c>
      <c r="AR47" s="14" t="s">
        <v>105</v>
      </c>
      <c r="AV47" s="12">
        <f t="shared" si="42"/>
        <v>3312</v>
      </c>
      <c r="AW47" s="12">
        <f t="shared" si="43"/>
        <v>2</v>
      </c>
      <c r="AX47" s="14" t="str">
        <f t="shared" si="25"/>
        <v/>
      </c>
    </row>
    <row r="48" spans="1:50" ht="14.25">
      <c r="A48" s="24">
        <v>51</v>
      </c>
      <c r="B48" s="12" t="s">
        <v>156</v>
      </c>
      <c r="C48" s="24" t="str">
        <f t="shared" si="26"/>
        <v>充值VIP1获得</v>
      </c>
      <c r="D48" s="24" t="s">
        <v>337</v>
      </c>
      <c r="E48" s="26" t="str">
        <f t="shared" ca="1" si="27"/>
        <v>101:75|102:75</v>
      </c>
      <c r="F48" s="26" t="str">
        <f t="shared" ca="1" si="28"/>
        <v>101:15|102:15</v>
      </c>
      <c r="G48" s="24">
        <f t="shared" si="19"/>
        <v>2760</v>
      </c>
      <c r="H48" s="26">
        <f t="shared" si="20"/>
        <v>552</v>
      </c>
      <c r="I48" s="41">
        <v>2</v>
      </c>
      <c r="J48" s="28">
        <v>3</v>
      </c>
      <c r="K48" s="24">
        <v>1</v>
      </c>
      <c r="L48" s="24">
        <v>2</v>
      </c>
      <c r="M48" s="24" t="s">
        <v>99</v>
      </c>
      <c r="N48" s="23" t="s">
        <v>219</v>
      </c>
      <c r="O48" s="58">
        <v>0</v>
      </c>
      <c r="P48" s="62">
        <v>170056</v>
      </c>
      <c r="Q48" s="58">
        <v>1</v>
      </c>
      <c r="R48" s="12" t="str">
        <f t="shared" si="29"/>
        <v>102:15|104:355</v>
      </c>
      <c r="S48" s="12" t="str">
        <f t="shared" si="30"/>
        <v>101:15|104:355</v>
      </c>
      <c r="T48" s="12" t="str">
        <f t="shared" si="31"/>
        <v>101:15|102:15</v>
      </c>
      <c r="U48" s="12" t="str">
        <f t="shared" si="32"/>
        <v>102:75|104:1775</v>
      </c>
      <c r="V48" s="12" t="str">
        <f t="shared" si="33"/>
        <v>101:75|104:1775</v>
      </c>
      <c r="W48" s="12" t="str">
        <f t="shared" si="34"/>
        <v>101:75|102:75</v>
      </c>
      <c r="X48" s="12">
        <v>101</v>
      </c>
      <c r="Y48" s="14">
        <f t="shared" si="35"/>
        <v>15</v>
      </c>
      <c r="Z48" s="12">
        <v>102</v>
      </c>
      <c r="AA48" s="14">
        <f t="shared" si="36"/>
        <v>15</v>
      </c>
      <c r="AB48" s="12">
        <v>104</v>
      </c>
      <c r="AC48" s="14">
        <f t="shared" si="37"/>
        <v>355</v>
      </c>
      <c r="AD48" s="14" t="str">
        <f t="shared" si="21"/>
        <v>VIP青铜骑士\n被动属性:\n防御力+15\n生命值+355\n使用属性:\n防御力+75\n生命值+1775\n</v>
      </c>
      <c r="AE48" s="14" t="str">
        <f t="shared" si="22"/>
        <v>VIP青铜骑士\n被动属性:\n攻击力+15\n生命值+355\n使用属性:\n攻击力+75\n生命值+1775\n</v>
      </c>
      <c r="AF48" s="14" t="str">
        <f t="shared" si="23"/>
        <v>VIP青铜骑士\n被动属性:\n攻击力+15\n防御力+15\n使用属性:\n攻击力+75\n防御力+75\n</v>
      </c>
      <c r="AG48" s="12" t="str">
        <f>VLOOKUP(X48,[1]CharPropertyConfig!$A:$B,2,FALSE)</f>
        <v>攻击力</v>
      </c>
      <c r="AH48" s="12" t="str">
        <f>VLOOKUP(Z48,[1]CharPropertyConfig!$A:$B,2,FALSE)</f>
        <v>防御力</v>
      </c>
      <c r="AI48" s="12" t="str">
        <f>VLOOKUP(AB48,[1]CharPropertyConfig!$A:$B,2,FALSE)</f>
        <v>生命值</v>
      </c>
      <c r="AJ48" s="14">
        <f t="shared" si="38"/>
        <v>80</v>
      </c>
      <c r="AK48" s="12">
        <f t="shared" si="39"/>
        <v>6.9</v>
      </c>
      <c r="AL48" s="12">
        <f t="shared" si="40"/>
        <v>34.5</v>
      </c>
      <c r="AM48" s="12" t="e">
        <f>INDEX([2]achievement!$B:$B,MATCH(SUMIFS([3]ItemConfig!$A:$A,[3]ItemConfig!$T:$T,"add_title",[3]ItemConfig!$U:$U,A48),[2]achievement!$H:$H,0))</f>
        <v>#VALUE!</v>
      </c>
      <c r="AN48" s="16" t="s">
        <v>18</v>
      </c>
      <c r="AO48" s="12" t="str">
        <f t="shared" si="41"/>
        <v>[A4E66FFF]VIP青铜骑士[-]</v>
      </c>
      <c r="AP48" s="15"/>
      <c r="AQ48" s="14" t="str">
        <f t="shared" si="24"/>
        <v xml:space="preserve"> [-]</v>
      </c>
      <c r="AR48" s="12" t="s">
        <v>156</v>
      </c>
      <c r="AU48" s="12" t="s">
        <v>156</v>
      </c>
      <c r="AV48" s="12">
        <f t="shared" si="42"/>
        <v>3312</v>
      </c>
      <c r="AW48" s="12">
        <f t="shared" si="43"/>
        <v>2</v>
      </c>
      <c r="AX48" s="14" t="str">
        <f t="shared" si="25"/>
        <v/>
      </c>
    </row>
    <row r="49" spans="1:50" ht="14.25">
      <c r="A49" s="24">
        <v>52</v>
      </c>
      <c r="B49" s="12" t="s">
        <v>153</v>
      </c>
      <c r="C49" s="24" t="str">
        <f t="shared" si="26"/>
        <v>充值VIP4获得</v>
      </c>
      <c r="D49" s="24" t="s">
        <v>338</v>
      </c>
      <c r="E49" s="26" t="str">
        <f t="shared" ca="1" si="27"/>
        <v>101:200|102:200</v>
      </c>
      <c r="F49" s="26" t="str">
        <f t="shared" ca="1" si="28"/>
        <v>101:40|102:40</v>
      </c>
      <c r="G49" s="24">
        <f t="shared" si="19"/>
        <v>7500</v>
      </c>
      <c r="H49" s="26">
        <f t="shared" si="20"/>
        <v>1500</v>
      </c>
      <c r="I49" s="41">
        <v>4</v>
      </c>
      <c r="J49" s="28">
        <v>3</v>
      </c>
      <c r="K49" s="24">
        <v>1</v>
      </c>
      <c r="L49" s="24">
        <v>2</v>
      </c>
      <c r="M49" s="24" t="s">
        <v>99</v>
      </c>
      <c r="N49" s="23" t="s">
        <v>219</v>
      </c>
      <c r="O49" s="58">
        <v>0</v>
      </c>
      <c r="P49" s="62">
        <v>170057</v>
      </c>
      <c r="Q49" s="58">
        <v>1</v>
      </c>
      <c r="R49" s="12" t="str">
        <f t="shared" si="29"/>
        <v>102:40|104:1000</v>
      </c>
      <c r="S49" s="12" t="str">
        <f t="shared" si="30"/>
        <v>101:40|104:1000</v>
      </c>
      <c r="T49" s="12" t="str">
        <f t="shared" si="31"/>
        <v>101:40|102:40</v>
      </c>
      <c r="U49" s="12" t="str">
        <f t="shared" si="32"/>
        <v>102:200|104:5000</v>
      </c>
      <c r="V49" s="12" t="str">
        <f t="shared" si="33"/>
        <v>101:200|104:5000</v>
      </c>
      <c r="W49" s="12" t="str">
        <f t="shared" si="34"/>
        <v>101:200|102:200</v>
      </c>
      <c r="X49" s="12">
        <v>101</v>
      </c>
      <c r="Y49" s="14">
        <f t="shared" si="35"/>
        <v>40</v>
      </c>
      <c r="Z49" s="12">
        <v>102</v>
      </c>
      <c r="AA49" s="14">
        <f t="shared" si="36"/>
        <v>40</v>
      </c>
      <c r="AB49" s="12">
        <v>104</v>
      </c>
      <c r="AC49" s="14">
        <f t="shared" si="37"/>
        <v>1000</v>
      </c>
      <c r="AD49" s="14" t="str">
        <f t="shared" si="21"/>
        <v>VIP白金统领\n被动属性:\n防御力+40\n生命值+1000\n使用属性:\n防御力+200\n生命值+5000\n</v>
      </c>
      <c r="AE49" s="14" t="str">
        <f t="shared" si="22"/>
        <v>VIP白金统领\n被动属性:\n攻击力+40\n生命值+1000\n使用属性:\n攻击力+200\n生命值+5000\n</v>
      </c>
      <c r="AF49" s="14" t="str">
        <f t="shared" si="23"/>
        <v>VIP白金统领\n被动属性:\n攻击力+40\n防御力+40\n使用属性:\n攻击力+200\n防御力+200\n</v>
      </c>
      <c r="AG49" s="12" t="str">
        <f>VLOOKUP(X49,[1]CharPropertyConfig!$A:$B,2,FALSE)</f>
        <v>攻击力</v>
      </c>
      <c r="AH49" s="12" t="str">
        <f>VLOOKUP(Z49,[1]CharPropertyConfig!$A:$B,2,FALSE)</f>
        <v>防御力</v>
      </c>
      <c r="AI49" s="12" t="str">
        <f>VLOOKUP(AB49,[1]CharPropertyConfig!$A:$B,2,FALSE)</f>
        <v>生命值</v>
      </c>
      <c r="AJ49" s="14">
        <f t="shared" si="38"/>
        <v>1280</v>
      </c>
      <c r="AK49" s="12">
        <f t="shared" si="39"/>
        <v>1.171875</v>
      </c>
      <c r="AL49" s="12">
        <f t="shared" si="40"/>
        <v>5.859375</v>
      </c>
      <c r="AM49" s="12" t="e">
        <f>INDEX([2]achievement!$B:$B,MATCH(SUMIFS([3]ItemConfig!$A:$A,[3]ItemConfig!$T:$T,"add_title",[3]ItemConfig!$U:$U,A49),[2]achievement!$H:$H,0))</f>
        <v>#VALUE!</v>
      </c>
      <c r="AN49" s="16" t="s">
        <v>94</v>
      </c>
      <c r="AO49" s="12" t="str">
        <f t="shared" si="41"/>
        <v>[76CBF3FF]VIP白金统领[-]</v>
      </c>
      <c r="AP49" s="15"/>
      <c r="AQ49" s="14" t="str">
        <f t="shared" si="24"/>
        <v xml:space="preserve"> [-]</v>
      </c>
      <c r="AR49" s="12" t="s">
        <v>153</v>
      </c>
      <c r="AU49" s="12" t="s">
        <v>153</v>
      </c>
      <c r="AV49" s="12">
        <f t="shared" si="42"/>
        <v>9000</v>
      </c>
      <c r="AW49" s="12">
        <f t="shared" si="43"/>
        <v>4</v>
      </c>
      <c r="AX49" s="14" t="str">
        <f t="shared" si="25"/>
        <v/>
      </c>
    </row>
    <row r="50" spans="1:50" ht="14.25">
      <c r="A50" s="24">
        <v>53</v>
      </c>
      <c r="B50" s="12" t="s">
        <v>154</v>
      </c>
      <c r="C50" s="24" t="str">
        <f t="shared" si="26"/>
        <v>充值VIP6获得</v>
      </c>
      <c r="D50" s="24" t="s">
        <v>339</v>
      </c>
      <c r="E50" s="26" t="str">
        <f t="shared" ca="1" si="27"/>
        <v>101:375|102:375</v>
      </c>
      <c r="F50" s="26" t="str">
        <f t="shared" ca="1" si="28"/>
        <v>101:75|102:75</v>
      </c>
      <c r="G50" s="24">
        <f t="shared" si="19"/>
        <v>13975</v>
      </c>
      <c r="H50" s="26">
        <f t="shared" si="20"/>
        <v>2795</v>
      </c>
      <c r="I50" s="41">
        <v>6</v>
      </c>
      <c r="J50" s="28">
        <v>3</v>
      </c>
      <c r="K50" s="24">
        <v>1</v>
      </c>
      <c r="L50" s="24">
        <v>2</v>
      </c>
      <c r="M50" s="24" t="s">
        <v>99</v>
      </c>
      <c r="N50" s="23" t="s">
        <v>219</v>
      </c>
      <c r="O50" s="58">
        <v>0</v>
      </c>
      <c r="P50" s="62">
        <v>170058</v>
      </c>
      <c r="Q50" s="58">
        <v>1</v>
      </c>
      <c r="R50" s="12" t="str">
        <f t="shared" si="29"/>
        <v>102:75|104:1840</v>
      </c>
      <c r="S50" s="12" t="str">
        <f t="shared" si="30"/>
        <v>101:75|104:1840</v>
      </c>
      <c r="T50" s="12" t="str">
        <f t="shared" si="31"/>
        <v>101:75|102:75</v>
      </c>
      <c r="U50" s="12" t="str">
        <f t="shared" si="32"/>
        <v>102:375|104:9200</v>
      </c>
      <c r="V50" s="12" t="str">
        <f t="shared" si="33"/>
        <v>101:375|104:9200</v>
      </c>
      <c r="W50" s="12" t="str">
        <f t="shared" si="34"/>
        <v>101:375|102:375</v>
      </c>
      <c r="X50" s="12">
        <v>101</v>
      </c>
      <c r="Y50" s="14">
        <f t="shared" si="35"/>
        <v>75</v>
      </c>
      <c r="Z50" s="12">
        <v>102</v>
      </c>
      <c r="AA50" s="14">
        <f t="shared" si="36"/>
        <v>75</v>
      </c>
      <c r="AB50" s="12">
        <v>104</v>
      </c>
      <c r="AC50" s="14">
        <f t="shared" si="37"/>
        <v>1840</v>
      </c>
      <c r="AD50" s="14" t="str">
        <f t="shared" si="21"/>
        <v>VIP钻石统帅\n被动属性:\n防御力+75\n生命值+1840\n使用属性:\n防御力+375\n生命值+9200\n</v>
      </c>
      <c r="AE50" s="14" t="str">
        <f t="shared" si="22"/>
        <v>VIP钻石统帅\n被动属性:\n攻击力+75\n生命值+1840\n使用属性:\n攻击力+375\n生命值+9200\n</v>
      </c>
      <c r="AF50" s="14" t="str">
        <f t="shared" si="23"/>
        <v>VIP钻石统帅\n被动属性:\n攻击力+75\n防御力+75\n使用属性:\n攻击力+375\n防御力+375\n</v>
      </c>
      <c r="AG50" s="12" t="str">
        <f>VLOOKUP(X50,[1]CharPropertyConfig!$A:$B,2,FALSE)</f>
        <v>攻击力</v>
      </c>
      <c r="AH50" s="12" t="str">
        <f>VLOOKUP(Z50,[1]CharPropertyConfig!$A:$B,2,FALSE)</f>
        <v>防御力</v>
      </c>
      <c r="AI50" s="12" t="str">
        <f>VLOOKUP(AB50,[1]CharPropertyConfig!$A:$B,2,FALSE)</f>
        <v>生命值</v>
      </c>
      <c r="AJ50" s="14">
        <f t="shared" si="38"/>
        <v>6480</v>
      </c>
      <c r="AK50" s="12">
        <f t="shared" si="39"/>
        <v>0.43132716049382713</v>
      </c>
      <c r="AL50" s="12">
        <f t="shared" si="40"/>
        <v>2.1566358024691357</v>
      </c>
      <c r="AM50" s="12" t="e">
        <f>INDEX([2]achievement!$B:$B,MATCH(SUMIFS([3]ItemConfig!$A:$A,[3]ItemConfig!$T:$T,"add_title",[3]ItemConfig!$U:$U,A50),[2]achievement!$H:$H,0))</f>
        <v>#VALUE!</v>
      </c>
      <c r="AN50" s="16" t="s">
        <v>95</v>
      </c>
      <c r="AO50" s="12" t="str">
        <f t="shared" si="41"/>
        <v>[C776F3FF]VIP钻石统帅[-]</v>
      </c>
      <c r="AP50" s="15"/>
      <c r="AQ50" s="14" t="str">
        <f t="shared" si="24"/>
        <v xml:space="preserve"> [-]</v>
      </c>
      <c r="AR50" s="12" t="s">
        <v>154</v>
      </c>
      <c r="AU50" s="12" t="s">
        <v>154</v>
      </c>
      <c r="AV50" s="12">
        <f t="shared" si="42"/>
        <v>16770</v>
      </c>
      <c r="AW50" s="12">
        <f t="shared" si="43"/>
        <v>6</v>
      </c>
      <c r="AX50" s="14" t="str">
        <f t="shared" si="25"/>
        <v/>
      </c>
    </row>
    <row r="51" spans="1:50" ht="14.25">
      <c r="A51" s="24">
        <v>54</v>
      </c>
      <c r="B51" s="12" t="s">
        <v>155</v>
      </c>
      <c r="C51" s="24" t="str">
        <f t="shared" si="26"/>
        <v>充值VIP8获得</v>
      </c>
      <c r="D51" s="24" t="s">
        <v>340</v>
      </c>
      <c r="E51" s="26" t="str">
        <f t="shared" ca="1" si="27"/>
        <v>101:575|102:575</v>
      </c>
      <c r="F51" s="26" t="str">
        <f t="shared" ca="1" si="28"/>
        <v>101:115|102:115</v>
      </c>
      <c r="G51" s="24">
        <f t="shared" si="19"/>
        <v>21450</v>
      </c>
      <c r="H51" s="26">
        <f t="shared" si="20"/>
        <v>4290</v>
      </c>
      <c r="I51" s="41">
        <v>8</v>
      </c>
      <c r="J51" s="28">
        <v>3</v>
      </c>
      <c r="K51" s="24">
        <v>1</v>
      </c>
      <c r="L51" s="24">
        <v>2</v>
      </c>
      <c r="M51" s="24" t="s">
        <v>99</v>
      </c>
      <c r="N51" s="23" t="s">
        <v>220</v>
      </c>
      <c r="O51" s="58">
        <v>0</v>
      </c>
      <c r="P51" s="62">
        <v>170059</v>
      </c>
      <c r="Q51" s="58">
        <v>1</v>
      </c>
      <c r="R51" s="12" t="str">
        <f t="shared" si="29"/>
        <v>102:115|104:2830</v>
      </c>
      <c r="S51" s="12" t="str">
        <f t="shared" si="30"/>
        <v>101:115|104:2830</v>
      </c>
      <c r="T51" s="12" t="str">
        <f t="shared" si="31"/>
        <v>101:115|102:115</v>
      </c>
      <c r="U51" s="12" t="str">
        <f t="shared" si="32"/>
        <v>102:575|104:14150</v>
      </c>
      <c r="V51" s="12" t="str">
        <f t="shared" si="33"/>
        <v>101:575|104:14150</v>
      </c>
      <c r="W51" s="12" t="str">
        <f t="shared" si="34"/>
        <v>101:575|102:575</v>
      </c>
      <c r="X51" s="12">
        <v>101</v>
      </c>
      <c r="Y51" s="14">
        <f t="shared" si="35"/>
        <v>115</v>
      </c>
      <c r="Z51" s="12">
        <v>102</v>
      </c>
      <c r="AA51" s="14">
        <f t="shared" si="36"/>
        <v>115</v>
      </c>
      <c r="AB51" s="12">
        <v>104</v>
      </c>
      <c r="AC51" s="14">
        <f t="shared" si="37"/>
        <v>2830</v>
      </c>
      <c r="AD51" s="14" t="str">
        <f t="shared" si="21"/>
        <v>VIP星耀王者\n被动属性:\n防御力+115\n生命值+2830\n使用属性:\n防御力+575\n生命值+14150\n</v>
      </c>
      <c r="AE51" s="14" t="str">
        <f t="shared" si="22"/>
        <v>VIP星耀王者\n被动属性:\n攻击力+115\n生命值+2830\n使用属性:\n攻击力+575\n生命值+14150\n</v>
      </c>
      <c r="AF51" s="14" t="str">
        <f t="shared" si="23"/>
        <v>VIP星耀王者\n被动属性:\n攻击力+115\n防御力+115\n使用属性:\n攻击力+575\n防御力+575\n</v>
      </c>
      <c r="AG51" s="12" t="str">
        <f>VLOOKUP(X51,[1]CharPropertyConfig!$A:$B,2,FALSE)</f>
        <v>攻击力</v>
      </c>
      <c r="AH51" s="12" t="str">
        <f>VLOOKUP(Z51,[1]CharPropertyConfig!$A:$B,2,FALSE)</f>
        <v>防御力</v>
      </c>
      <c r="AI51" s="12" t="str">
        <f>VLOOKUP(AB51,[1]CharPropertyConfig!$A:$B,2,FALSE)</f>
        <v>生命值</v>
      </c>
      <c r="AJ51" s="14">
        <f t="shared" si="38"/>
        <v>20480</v>
      </c>
      <c r="AK51" s="12">
        <f t="shared" si="39"/>
        <v>0.20947265625</v>
      </c>
      <c r="AL51" s="12">
        <f t="shared" si="40"/>
        <v>1.04736328125</v>
      </c>
      <c r="AM51" s="12" t="e">
        <f>INDEX([2]achievement!$B:$B,MATCH(SUMIFS([3]ItemConfig!$A:$A,[3]ItemConfig!$T:$T,"add_title",[3]ItemConfig!$U:$U,A51),[2]achievement!$H:$H,0))</f>
        <v>#VALUE!</v>
      </c>
      <c r="AN51" s="16" t="s">
        <v>96</v>
      </c>
      <c r="AO51" s="12" t="str">
        <f t="shared" si="41"/>
        <v>[ff7800FF]VIP星耀王者[-]</v>
      </c>
      <c r="AP51" s="15"/>
      <c r="AQ51" s="14" t="str">
        <f t="shared" si="24"/>
        <v xml:space="preserve"> [-]</v>
      </c>
      <c r="AR51" s="12" t="s">
        <v>155</v>
      </c>
      <c r="AU51" s="12" t="s">
        <v>155</v>
      </c>
      <c r="AV51" s="12">
        <f t="shared" si="42"/>
        <v>25740</v>
      </c>
      <c r="AW51" s="12">
        <f t="shared" si="43"/>
        <v>8</v>
      </c>
      <c r="AX51" s="14" t="str">
        <f t="shared" si="25"/>
        <v/>
      </c>
    </row>
    <row r="52" spans="1:50" ht="14.25">
      <c r="A52" s="24">
        <v>55</v>
      </c>
      <c r="B52" s="12" t="s">
        <v>157</v>
      </c>
      <c r="C52" s="24" t="str">
        <f t="shared" si="26"/>
        <v>充值VIP10获得</v>
      </c>
      <c r="D52" s="24" t="s">
        <v>341</v>
      </c>
      <c r="E52" s="26" t="str">
        <f t="shared" ca="1" si="27"/>
        <v>101:675|102:675</v>
      </c>
      <c r="F52" s="26" t="str">
        <f t="shared" ca="1" si="28"/>
        <v>101:135|102:135</v>
      </c>
      <c r="G52" s="24">
        <f t="shared" si="19"/>
        <v>25310</v>
      </c>
      <c r="H52" s="26">
        <f t="shared" si="20"/>
        <v>5062</v>
      </c>
      <c r="I52" s="41">
        <v>9</v>
      </c>
      <c r="J52" s="28">
        <v>3</v>
      </c>
      <c r="K52" s="24">
        <v>1</v>
      </c>
      <c r="L52" s="24">
        <v>2</v>
      </c>
      <c r="M52" s="24" t="s">
        <v>99</v>
      </c>
      <c r="N52" s="23" t="s">
        <v>220</v>
      </c>
      <c r="O52" s="58">
        <v>0</v>
      </c>
      <c r="P52" s="62">
        <v>170060</v>
      </c>
      <c r="Q52" s="58">
        <v>1</v>
      </c>
      <c r="R52" s="12" t="str">
        <f t="shared" si="29"/>
        <v>102:135|104:3375</v>
      </c>
      <c r="S52" s="12" t="str">
        <f t="shared" si="30"/>
        <v>101:135|104:3375</v>
      </c>
      <c r="T52" s="12" t="str">
        <f t="shared" si="31"/>
        <v>101:135|102:135</v>
      </c>
      <c r="U52" s="12" t="str">
        <f t="shared" si="32"/>
        <v>102:675|104:16875</v>
      </c>
      <c r="V52" s="12" t="str">
        <f t="shared" si="33"/>
        <v>101:675|104:16875</v>
      </c>
      <c r="W52" s="12" t="str">
        <f t="shared" si="34"/>
        <v>101:675|102:675</v>
      </c>
      <c r="X52" s="12">
        <v>101</v>
      </c>
      <c r="Y52" s="14">
        <f t="shared" si="35"/>
        <v>135</v>
      </c>
      <c r="Z52" s="12">
        <v>102</v>
      </c>
      <c r="AA52" s="14">
        <f t="shared" si="36"/>
        <v>135</v>
      </c>
      <c r="AB52" s="12">
        <v>104</v>
      </c>
      <c r="AC52" s="14">
        <f t="shared" si="37"/>
        <v>3375</v>
      </c>
      <c r="AD52" s="14" t="str">
        <f t="shared" si="21"/>
        <v>VIP众神之王\n被动属性:\n防御力+135\n生命值+3375\n使用属性:\n防御力+675\n生命值+16875\n</v>
      </c>
      <c r="AE52" s="14" t="str">
        <f t="shared" si="22"/>
        <v>VIP众神之王\n被动属性:\n攻击力+135\n生命值+3375\n使用属性:\n攻击力+675\n生命值+16875\n</v>
      </c>
      <c r="AF52" s="14" t="str">
        <f t="shared" si="23"/>
        <v>VIP众神之王\n被动属性:\n攻击力+135\n防御力+135\n使用属性:\n攻击力+675\n防御力+675\n</v>
      </c>
      <c r="AG52" s="12" t="str">
        <f>VLOOKUP(X52,[1]CharPropertyConfig!$A:$B,2,FALSE)</f>
        <v>攻击力</v>
      </c>
      <c r="AH52" s="12" t="str">
        <f>VLOOKUP(Z52,[1]CharPropertyConfig!$A:$B,2,FALSE)</f>
        <v>防御力</v>
      </c>
      <c r="AI52" s="12" t="str">
        <f>VLOOKUP(AB52,[1]CharPropertyConfig!$A:$B,2,FALSE)</f>
        <v>生命值</v>
      </c>
      <c r="AJ52" s="14">
        <f t="shared" si="38"/>
        <v>32810</v>
      </c>
      <c r="AK52" s="12">
        <f t="shared" si="39"/>
        <v>0.15428223102712588</v>
      </c>
      <c r="AL52" s="12">
        <f t="shared" si="40"/>
        <v>0.77141115513562941</v>
      </c>
      <c r="AM52" s="12" t="e">
        <f>INDEX([2]achievement!$B:$B,MATCH(SUMIFS([3]ItemConfig!$A:$A,[3]ItemConfig!$T:$T,"add_title",[3]ItemConfig!$U:$U,A52),[2]achievement!$H:$H,0))</f>
        <v>#VALUE!</v>
      </c>
      <c r="AN52" s="16" t="s">
        <v>97</v>
      </c>
      <c r="AO52" s="12" t="str">
        <f t="shared" si="41"/>
        <v>[ffffffFF]VIP众神之王[-]</v>
      </c>
      <c r="AP52" s="15"/>
      <c r="AQ52" s="14" t="str">
        <f t="shared" si="24"/>
        <v xml:space="preserve"> [-]</v>
      </c>
      <c r="AR52" s="12" t="s">
        <v>157</v>
      </c>
      <c r="AU52" s="12" t="s">
        <v>157</v>
      </c>
      <c r="AV52" s="12">
        <f t="shared" si="42"/>
        <v>30372</v>
      </c>
      <c r="AW52" s="12">
        <f t="shared" si="43"/>
        <v>9</v>
      </c>
      <c r="AX52" s="14" t="str">
        <f t="shared" si="25"/>
        <v/>
      </c>
    </row>
    <row r="53" spans="1:50" ht="14.25">
      <c r="A53" s="24">
        <v>56</v>
      </c>
      <c r="B53" s="12" t="s">
        <v>158</v>
      </c>
      <c r="C53" s="24" t="str">
        <f t="shared" si="26"/>
        <v>充值VIP12获得</v>
      </c>
      <c r="D53" s="24" t="s">
        <v>342</v>
      </c>
      <c r="E53" s="26" t="str">
        <f t="shared" ca="1" si="27"/>
        <v>101:800|102:800</v>
      </c>
      <c r="F53" s="26" t="str">
        <f t="shared" ca="1" si="28"/>
        <v>101:160|102:160</v>
      </c>
      <c r="G53" s="24">
        <f t="shared" si="19"/>
        <v>29885</v>
      </c>
      <c r="H53" s="26">
        <f t="shared" si="20"/>
        <v>5977</v>
      </c>
      <c r="I53" s="42">
        <v>10</v>
      </c>
      <c r="J53" s="28">
        <v>3</v>
      </c>
      <c r="K53" s="24">
        <v>1</v>
      </c>
      <c r="L53" s="24">
        <v>2</v>
      </c>
      <c r="M53" s="24" t="s">
        <v>99</v>
      </c>
      <c r="N53" s="23" t="s">
        <v>217</v>
      </c>
      <c r="O53" s="58">
        <v>0</v>
      </c>
      <c r="P53" s="62">
        <v>170061</v>
      </c>
      <c r="Q53" s="58">
        <v>1</v>
      </c>
      <c r="R53" s="12" t="str">
        <f t="shared" si="29"/>
        <v>102:160|104:3955</v>
      </c>
      <c r="S53" s="12" t="str">
        <f t="shared" si="30"/>
        <v>101:160|104:3955</v>
      </c>
      <c r="T53" s="12" t="str">
        <f t="shared" si="31"/>
        <v>101:160|102:160</v>
      </c>
      <c r="U53" s="12" t="str">
        <f t="shared" si="32"/>
        <v>102:800|104:19775</v>
      </c>
      <c r="V53" s="12" t="str">
        <f t="shared" si="33"/>
        <v>101:800|104:19775</v>
      </c>
      <c r="W53" s="12" t="str">
        <f t="shared" si="34"/>
        <v>101:800|102:800</v>
      </c>
      <c r="X53" s="12">
        <v>101</v>
      </c>
      <c r="Y53" s="14">
        <f t="shared" si="35"/>
        <v>160</v>
      </c>
      <c r="Z53" s="12">
        <v>102</v>
      </c>
      <c r="AA53" s="14">
        <f t="shared" si="36"/>
        <v>160</v>
      </c>
      <c r="AB53" s="12">
        <v>104</v>
      </c>
      <c r="AC53" s="14">
        <f t="shared" si="37"/>
        <v>3955</v>
      </c>
      <c r="AD53" s="14" t="str">
        <f t="shared" si="21"/>
        <v>VIP永恒王者\n被动属性:\n防御力+160\n生命值+3955\n使用属性:\n防御力+800\n生命值+19775\n</v>
      </c>
      <c r="AE53" s="14" t="str">
        <f t="shared" si="22"/>
        <v>VIP永恒王者\n被动属性:\n攻击力+160\n生命值+3955\n使用属性:\n攻击力+800\n生命值+19775\n</v>
      </c>
      <c r="AF53" s="14" t="str">
        <f t="shared" si="23"/>
        <v>VIP永恒王者\n被动属性:\n攻击力+160\n防御力+160\n使用属性:\n攻击力+800\n防御力+800\n</v>
      </c>
      <c r="AG53" s="12" t="str">
        <f>VLOOKUP(X53,[1]CharPropertyConfig!$A:$B,2,FALSE)</f>
        <v>攻击力</v>
      </c>
      <c r="AH53" s="12" t="str">
        <f>VLOOKUP(Z53,[1]CharPropertyConfig!$A:$B,2,FALSE)</f>
        <v>防御力</v>
      </c>
      <c r="AI53" s="12" t="str">
        <f>VLOOKUP(AB53,[1]CharPropertyConfig!$A:$B,2,FALSE)</f>
        <v>生命值</v>
      </c>
      <c r="AJ53" s="14">
        <f t="shared" si="38"/>
        <v>50000</v>
      </c>
      <c r="AK53" s="12">
        <f t="shared" si="39"/>
        <v>0.11953999999999999</v>
      </c>
      <c r="AL53" s="12">
        <f t="shared" si="40"/>
        <v>0.59770000000000001</v>
      </c>
      <c r="AM53" s="12" t="e">
        <f>INDEX([2]achievement!$B:$B,MATCH(SUMIFS([3]ItemConfig!$A:$A,[3]ItemConfig!$T:$T,"add_title",[3]ItemConfig!$U:$U,A53),[2]achievement!$H:$H,0))</f>
        <v>#VALUE!</v>
      </c>
      <c r="AN53" s="16" t="s">
        <v>98</v>
      </c>
      <c r="AO53" s="12" t="str">
        <f t="shared" si="41"/>
        <v>[ffffffFF]VIP永恒王者[-]</v>
      </c>
      <c r="AP53" s="17"/>
      <c r="AQ53" s="14" t="str">
        <f t="shared" si="24"/>
        <v xml:space="preserve"> [-]</v>
      </c>
      <c r="AR53" s="12" t="s">
        <v>158</v>
      </c>
      <c r="AU53" s="12" t="s">
        <v>158</v>
      </c>
      <c r="AV53" s="12">
        <f t="shared" si="42"/>
        <v>35862</v>
      </c>
      <c r="AW53" s="12">
        <f t="shared" si="43"/>
        <v>10</v>
      </c>
      <c r="AX53" s="14" t="str">
        <f t="shared" si="25"/>
        <v/>
      </c>
    </row>
    <row r="54" spans="1:50" ht="14.25">
      <c r="A54" s="24">
        <v>57</v>
      </c>
      <c r="B54" s="48" t="s">
        <v>282</v>
      </c>
      <c r="C54" s="24" t="s">
        <v>311</v>
      </c>
      <c r="D54" s="24" t="s">
        <v>330</v>
      </c>
      <c r="E54" s="26" t="str">
        <f t="shared" ca="1" si="27"/>
        <v>101:300|102:300</v>
      </c>
      <c r="F54" s="26" t="str">
        <f t="shared" ca="1" si="28"/>
        <v>101:60|102:60</v>
      </c>
      <c r="G54" s="24">
        <f t="shared" si="19"/>
        <v>11000</v>
      </c>
      <c r="H54" s="26">
        <f t="shared" si="20"/>
        <v>2200</v>
      </c>
      <c r="I54" s="43">
        <v>5</v>
      </c>
      <c r="J54" s="28">
        <v>3</v>
      </c>
      <c r="K54" s="24">
        <v>1</v>
      </c>
      <c r="L54" s="24">
        <v>3</v>
      </c>
      <c r="M54" s="24" t="s">
        <v>102</v>
      </c>
      <c r="N54" s="23" t="s">
        <v>215</v>
      </c>
      <c r="O54" s="58">
        <v>0</v>
      </c>
      <c r="P54" s="62">
        <v>170062</v>
      </c>
      <c r="Q54" s="58">
        <v>10</v>
      </c>
      <c r="R54" s="12" t="str">
        <f t="shared" si="29"/>
        <v>102:60|104:1400</v>
      </c>
      <c r="S54" s="12" t="str">
        <f t="shared" si="30"/>
        <v>101:60|104:1400</v>
      </c>
      <c r="T54" s="12" t="str">
        <f t="shared" si="31"/>
        <v>101:60|102:60</v>
      </c>
      <c r="U54" s="12" t="str">
        <f t="shared" si="32"/>
        <v>102:300|104:7000</v>
      </c>
      <c r="V54" s="12" t="str">
        <f t="shared" si="33"/>
        <v>101:300|104:7000</v>
      </c>
      <c r="W54" s="12" t="str">
        <f t="shared" si="34"/>
        <v>101:300|102:300</v>
      </c>
      <c r="X54" s="12">
        <v>101</v>
      </c>
      <c r="Y54" s="14">
        <f t="shared" si="35"/>
        <v>60</v>
      </c>
      <c r="Z54" s="12">
        <v>102</v>
      </c>
      <c r="AA54" s="14">
        <f t="shared" si="36"/>
        <v>60</v>
      </c>
      <c r="AB54" s="12">
        <v>104</v>
      </c>
      <c r="AC54" s="14">
        <f t="shared" si="37"/>
        <v>1400</v>
      </c>
      <c r="AD54" s="14" t="str">
        <f t="shared" si="21"/>
        <v>[C776F3FF]家财万贯[-]\n被动属性:\n防御力+60\n生命值+1400\n使用属性:\n防御力+300\n生命值+7000\n</v>
      </c>
      <c r="AE54" s="14" t="str">
        <f t="shared" si="22"/>
        <v>[C776F3FF]家财万贯[-]\n被动属性:\n攻击力+60\n生命值+1400\n使用属性:\n攻击力+300\n生命值+7000\n</v>
      </c>
      <c r="AF54" s="14" t="str">
        <f t="shared" si="23"/>
        <v>[C776F3FF]家财万贯[-]\n被动属性:\n攻击力+60\n防御力+60\n使用属性:\n攻击力+300\n防御力+300\n</v>
      </c>
      <c r="AG54" s="12" t="str">
        <f>VLOOKUP(X54,[1]CharPropertyConfig!$A:$B,2,FALSE)</f>
        <v>攻击力</v>
      </c>
      <c r="AH54" s="12" t="str">
        <f>VLOOKUP(Z54,[1]CharPropertyConfig!$A:$B,2,FALSE)</f>
        <v>防御力</v>
      </c>
      <c r="AI54" s="12" t="str">
        <f>VLOOKUP(AB54,[1]CharPropertyConfig!$A:$B,2,FALSE)</f>
        <v>生命值</v>
      </c>
      <c r="AJ54" s="14">
        <f t="shared" si="38"/>
        <v>3130</v>
      </c>
      <c r="AK54" s="12">
        <f t="shared" si="39"/>
        <v>0.70287539936102239</v>
      </c>
      <c r="AL54" s="12">
        <f t="shared" si="40"/>
        <v>3.5143769968051117</v>
      </c>
      <c r="AM54" s="12" t="e">
        <f>INDEX([2]achievement!$B:$B,MATCH(SUMIFS([3]ItemConfig!$A:$A,[3]ItemConfig!$T:$T,"add_title",[3]ItemConfig!$U:$U,A54),[2]achievement!$H:$H,0))</f>
        <v>#VALUE!</v>
      </c>
      <c r="AO54" s="12" t="str">
        <f t="shared" si="41"/>
        <v>[C776F3FF][C776F3FF]家财万贯[-][-]</v>
      </c>
      <c r="AQ54" s="14" t="str">
        <f t="shared" si="24"/>
        <v>家财万贯[-][-]</v>
      </c>
      <c r="AR54" s="14" t="s">
        <v>103</v>
      </c>
      <c r="AT54" s="18" t="s">
        <v>109</v>
      </c>
      <c r="AU54" s="14" t="s">
        <v>103</v>
      </c>
      <c r="AV54" s="12">
        <f t="shared" si="42"/>
        <v>13200</v>
      </c>
      <c r="AW54" s="12">
        <f t="shared" si="43"/>
        <v>5</v>
      </c>
      <c r="AX54" s="14" t="str">
        <f t="shared" si="25"/>
        <v/>
      </c>
    </row>
    <row r="55" spans="1:50" ht="14.25">
      <c r="A55" s="24">
        <v>58</v>
      </c>
      <c r="B55" s="48" t="s">
        <v>236</v>
      </c>
      <c r="C55" s="24" t="s">
        <v>312</v>
      </c>
      <c r="D55" s="24" t="s">
        <v>331</v>
      </c>
      <c r="E55" s="26" t="str">
        <f t="shared" ca="1" si="27"/>
        <v>101:200|102:200</v>
      </c>
      <c r="F55" s="26" t="str">
        <f t="shared" ca="1" si="28"/>
        <v>101:40|102:40</v>
      </c>
      <c r="G55" s="24">
        <f t="shared" si="19"/>
        <v>7500</v>
      </c>
      <c r="H55" s="26">
        <f t="shared" si="20"/>
        <v>1500</v>
      </c>
      <c r="I55" s="43">
        <v>4</v>
      </c>
      <c r="J55" s="28">
        <v>3</v>
      </c>
      <c r="K55" s="24">
        <v>1</v>
      </c>
      <c r="L55" s="24">
        <v>3</v>
      </c>
      <c r="M55" s="24" t="s">
        <v>102</v>
      </c>
      <c r="N55" s="23" t="s">
        <v>215</v>
      </c>
      <c r="O55" s="58">
        <v>0</v>
      </c>
      <c r="P55" s="62">
        <v>170063</v>
      </c>
      <c r="Q55" s="58">
        <v>10</v>
      </c>
      <c r="R55" s="12" t="str">
        <f t="shared" si="29"/>
        <v>102:40|104:1000</v>
      </c>
      <c r="S55" s="12" t="str">
        <f t="shared" si="30"/>
        <v>101:40|104:1000</v>
      </c>
      <c r="T55" s="12" t="str">
        <f t="shared" si="31"/>
        <v>101:40|102:40</v>
      </c>
      <c r="U55" s="12" t="str">
        <f t="shared" si="32"/>
        <v>102:200|104:5000</v>
      </c>
      <c r="V55" s="12" t="str">
        <f t="shared" si="33"/>
        <v>101:200|104:5000</v>
      </c>
      <c r="W55" s="12" t="str">
        <f t="shared" si="34"/>
        <v>101:200|102:200</v>
      </c>
      <c r="X55" s="12">
        <v>101</v>
      </c>
      <c r="Y55" s="14">
        <f t="shared" si="35"/>
        <v>40</v>
      </c>
      <c r="Z55" s="12">
        <v>102</v>
      </c>
      <c r="AA55" s="14">
        <f t="shared" si="36"/>
        <v>40</v>
      </c>
      <c r="AB55" s="12">
        <v>104</v>
      </c>
      <c r="AC55" s="14">
        <f t="shared" si="37"/>
        <v>1000</v>
      </c>
      <c r="AD55" s="14" t="str">
        <f t="shared" si="21"/>
        <v>[76CBF3FF]一掷千金[-]\n被动属性:\n防御力+40\n生命值+1000\n使用属性:\n防御力+200\n生命值+5000\n</v>
      </c>
      <c r="AE55" s="14" t="str">
        <f t="shared" si="22"/>
        <v>[76CBF3FF]一掷千金[-]\n被动属性:\n攻击力+40\n生命值+1000\n使用属性:\n攻击力+200\n生命值+5000\n</v>
      </c>
      <c r="AF55" s="14" t="str">
        <f t="shared" si="23"/>
        <v>[76CBF3FF]一掷千金[-]\n被动属性:\n攻击力+40\n防御力+40\n使用属性:\n攻击力+200\n防御力+200\n</v>
      </c>
      <c r="AG55" s="12" t="str">
        <f>VLOOKUP(X55,[1]CharPropertyConfig!$A:$B,2,FALSE)</f>
        <v>攻击力</v>
      </c>
      <c r="AH55" s="12" t="str">
        <f>VLOOKUP(Z55,[1]CharPropertyConfig!$A:$B,2,FALSE)</f>
        <v>防御力</v>
      </c>
      <c r="AI55" s="12" t="str">
        <f>VLOOKUP(AB55,[1]CharPropertyConfig!$A:$B,2,FALSE)</f>
        <v>生命值</v>
      </c>
      <c r="AJ55" s="14">
        <f t="shared" si="38"/>
        <v>1280</v>
      </c>
      <c r="AK55" s="12">
        <f t="shared" si="39"/>
        <v>1.171875</v>
      </c>
      <c r="AL55" s="12">
        <f t="shared" si="40"/>
        <v>5.859375</v>
      </c>
      <c r="AM55" s="12" t="e">
        <f>INDEX([2]achievement!$B:$B,MATCH(SUMIFS([3]ItemConfig!$A:$A,[3]ItemConfig!$T:$T,"add_title",[3]ItemConfig!$U:$U,A55),[2]achievement!$H:$H,0))</f>
        <v>#VALUE!</v>
      </c>
      <c r="AO55" s="12" t="str">
        <f t="shared" si="41"/>
        <v>[76CBF3FF][76CBF3FF]一掷千金[-][-]</v>
      </c>
      <c r="AQ55" s="14" t="str">
        <f t="shared" si="24"/>
        <v>一掷千金[-][-]</v>
      </c>
      <c r="AR55" s="14" t="s">
        <v>104</v>
      </c>
      <c r="AT55" s="18" t="s">
        <v>110</v>
      </c>
      <c r="AU55" s="14" t="s">
        <v>104</v>
      </c>
      <c r="AV55" s="12">
        <f t="shared" si="42"/>
        <v>9000</v>
      </c>
      <c r="AW55" s="12">
        <f t="shared" si="43"/>
        <v>4</v>
      </c>
      <c r="AX55" s="14" t="str">
        <f t="shared" si="25"/>
        <v/>
      </c>
    </row>
    <row r="56" spans="1:50" ht="14.25">
      <c r="A56" s="24">
        <v>59</v>
      </c>
      <c r="B56" s="48" t="s">
        <v>324</v>
      </c>
      <c r="C56" s="24" t="s">
        <v>323</v>
      </c>
      <c r="D56" s="24" t="s">
        <v>332</v>
      </c>
      <c r="E56" s="26" t="str">
        <f t="shared" ca="1" si="27"/>
        <v>101:375|102:375</v>
      </c>
      <c r="F56" s="26" t="str">
        <f t="shared" ca="1" si="28"/>
        <v>101:75|102:75</v>
      </c>
      <c r="G56" s="24">
        <f t="shared" si="19"/>
        <v>13975</v>
      </c>
      <c r="H56" s="26">
        <f t="shared" si="20"/>
        <v>2795</v>
      </c>
      <c r="I56" s="43" t="s">
        <v>313</v>
      </c>
      <c r="J56" s="28">
        <v>3</v>
      </c>
      <c r="K56" s="26">
        <v>1</v>
      </c>
      <c r="L56" s="24">
        <v>3</v>
      </c>
      <c r="M56" s="24" t="s">
        <v>102</v>
      </c>
      <c r="N56" s="23" t="s">
        <v>215</v>
      </c>
      <c r="O56" s="58">
        <v>0</v>
      </c>
      <c r="P56" s="62">
        <v>170064</v>
      </c>
      <c r="Q56" s="58">
        <v>10</v>
      </c>
      <c r="R56" s="12" t="str">
        <f t="shared" si="29"/>
        <v>102:75|104:1840</v>
      </c>
      <c r="S56" s="12" t="str">
        <f t="shared" si="30"/>
        <v>101:75|104:1840</v>
      </c>
      <c r="T56" s="12" t="str">
        <f t="shared" si="31"/>
        <v>101:75|102:75</v>
      </c>
      <c r="U56" s="12" t="str">
        <f t="shared" si="32"/>
        <v>102:375|104:9200</v>
      </c>
      <c r="V56" s="12" t="str">
        <f t="shared" si="33"/>
        <v>101:375|104:9200</v>
      </c>
      <c r="W56" s="12" t="str">
        <f t="shared" si="34"/>
        <v>101:375|102:375</v>
      </c>
      <c r="X56" s="12">
        <v>101</v>
      </c>
      <c r="Y56" s="14">
        <f t="shared" si="35"/>
        <v>75</v>
      </c>
      <c r="Z56" s="12">
        <v>102</v>
      </c>
      <c r="AA56" s="14">
        <f t="shared" si="36"/>
        <v>75</v>
      </c>
      <c r="AB56" s="12">
        <v>104</v>
      </c>
      <c r="AC56" s="14">
        <f t="shared" si="37"/>
        <v>1840</v>
      </c>
      <c r="AD56" s="14" t="str">
        <f t="shared" si="21"/>
        <v>[C776F3FF]珠光宝气[-]\n被动属性:\n防御力+75\n生命值+1840\n使用属性:\n防御力+375\n生命值+9200\n</v>
      </c>
      <c r="AE56" s="14" t="str">
        <f t="shared" si="22"/>
        <v>[C776F3FF]珠光宝气[-]\n被动属性:\n攻击力+75\n生命值+1840\n使用属性:\n攻击力+375\n生命值+9200\n</v>
      </c>
      <c r="AF56" s="14" t="str">
        <f t="shared" si="23"/>
        <v>[C776F3FF]珠光宝气[-]\n被动属性:\n攻击力+75\n防御力+75\n使用属性:\n攻击力+375\n防御力+375\n</v>
      </c>
      <c r="AG56" s="12" t="str">
        <f>VLOOKUP(X56,[1]CharPropertyConfig!$A:$B,2,FALSE)</f>
        <v>攻击力</v>
      </c>
      <c r="AH56" s="12" t="str">
        <f>VLOOKUP(Z56,[1]CharPropertyConfig!$A:$B,2,FALSE)</f>
        <v>防御力</v>
      </c>
      <c r="AI56" s="12" t="str">
        <f>VLOOKUP(AB56,[1]CharPropertyConfig!$A:$B,2,FALSE)</f>
        <v>生命值</v>
      </c>
      <c r="AJ56" s="14">
        <f t="shared" si="38"/>
        <v>6480</v>
      </c>
      <c r="AK56" s="12">
        <f t="shared" si="39"/>
        <v>0.43132716049382713</v>
      </c>
      <c r="AL56" s="12">
        <f t="shared" si="40"/>
        <v>2.1566358024691357</v>
      </c>
      <c r="AM56" s="12" t="e">
        <f>INDEX([2]achievement!$B:$B,MATCH(SUMIFS([3]ItemConfig!$A:$A,[3]ItemConfig!$T:$T,"add_title",[3]ItemConfig!$U:$U,A56),[2]achievement!$H:$H,0))</f>
        <v>#VALUE!</v>
      </c>
      <c r="AO56" s="12" t="e">
        <f t="shared" si="41"/>
        <v>#N/A</v>
      </c>
      <c r="AQ56" s="14" t="e">
        <f t="shared" si="24"/>
        <v>#N/A</v>
      </c>
      <c r="AR56" s="14" t="s">
        <v>316</v>
      </c>
      <c r="AT56" s="18" t="s">
        <v>317</v>
      </c>
      <c r="AU56" s="14" t="s">
        <v>105</v>
      </c>
      <c r="AV56" s="12">
        <f t="shared" si="42"/>
        <v>16770</v>
      </c>
      <c r="AW56" s="12" t="str">
        <f t="shared" si="43"/>
        <v>6</v>
      </c>
      <c r="AX56" s="14" t="str">
        <f t="shared" si="25"/>
        <v/>
      </c>
    </row>
    <row r="57" spans="1:50" ht="14.25">
      <c r="A57" s="24">
        <v>60</v>
      </c>
      <c r="B57" s="48" t="s">
        <v>325</v>
      </c>
      <c r="C57" s="24" t="s">
        <v>321</v>
      </c>
      <c r="D57" s="24" t="s">
        <v>333</v>
      </c>
      <c r="E57" s="26" t="str">
        <f t="shared" ca="1" si="27"/>
        <v>101:300|102:300</v>
      </c>
      <c r="F57" s="26" t="str">
        <f t="shared" ca="1" si="28"/>
        <v>101:60|102:60</v>
      </c>
      <c r="G57" s="24">
        <f t="shared" si="19"/>
        <v>11000</v>
      </c>
      <c r="H57" s="26">
        <f t="shared" si="20"/>
        <v>2200</v>
      </c>
      <c r="I57" s="43" t="s">
        <v>314</v>
      </c>
      <c r="J57" s="28">
        <v>3</v>
      </c>
      <c r="K57" s="24">
        <v>1</v>
      </c>
      <c r="L57" s="24">
        <v>3</v>
      </c>
      <c r="M57" s="24" t="s">
        <v>102</v>
      </c>
      <c r="N57" s="23" t="s">
        <v>215</v>
      </c>
      <c r="O57" s="58">
        <v>0</v>
      </c>
      <c r="P57" s="62">
        <v>170065</v>
      </c>
      <c r="Q57" s="58">
        <v>10</v>
      </c>
      <c r="R57" s="12" t="str">
        <f t="shared" si="29"/>
        <v>102:60|104:1400</v>
      </c>
      <c r="S57" s="12" t="str">
        <f t="shared" si="30"/>
        <v>101:60|104:1400</v>
      </c>
      <c r="T57" s="12" t="str">
        <f t="shared" si="31"/>
        <v>101:60|102:60</v>
      </c>
      <c r="U57" s="12" t="str">
        <f t="shared" si="32"/>
        <v>102:300|104:7000</v>
      </c>
      <c r="V57" s="12" t="str">
        <f t="shared" si="33"/>
        <v>101:300|104:7000</v>
      </c>
      <c r="W57" s="12" t="str">
        <f t="shared" si="34"/>
        <v>101:300|102:300</v>
      </c>
      <c r="X57" s="12">
        <v>101</v>
      </c>
      <c r="Y57" s="14">
        <f t="shared" si="35"/>
        <v>60</v>
      </c>
      <c r="Z57" s="12">
        <v>102</v>
      </c>
      <c r="AA57" s="14">
        <f t="shared" si="36"/>
        <v>60</v>
      </c>
      <c r="AB57" s="12">
        <v>104</v>
      </c>
      <c r="AC57" s="14">
        <f t="shared" si="37"/>
        <v>1400</v>
      </c>
      <c r="AD57" s="14" t="str">
        <f t="shared" si="21"/>
        <v>[C776F3FF]宝石达人[-]\n被动属性:\n防御力+60\n生命值+1400\n使用属性:\n防御力+300\n生命值+7000\n</v>
      </c>
      <c r="AE57" s="14" t="str">
        <f t="shared" si="22"/>
        <v>[C776F3FF]宝石达人[-]\n被动属性:\n攻击力+60\n生命值+1400\n使用属性:\n攻击力+300\n生命值+7000\n</v>
      </c>
      <c r="AF57" s="14" t="str">
        <f t="shared" si="23"/>
        <v>[C776F3FF]宝石达人[-]\n被动属性:\n攻击力+60\n防御力+60\n使用属性:\n攻击力+300\n防御力+300\n</v>
      </c>
      <c r="AG57" s="12" t="str">
        <f>VLOOKUP(X57,[1]CharPropertyConfig!$A:$B,2,FALSE)</f>
        <v>攻击力</v>
      </c>
      <c r="AH57" s="12" t="str">
        <f>VLOOKUP(Z57,[1]CharPropertyConfig!$A:$B,2,FALSE)</f>
        <v>防御力</v>
      </c>
      <c r="AI57" s="12" t="str">
        <f>VLOOKUP(AB57,[1]CharPropertyConfig!$A:$B,2,FALSE)</f>
        <v>生命值</v>
      </c>
      <c r="AJ57" s="14">
        <f t="shared" si="38"/>
        <v>3130</v>
      </c>
      <c r="AK57" s="12">
        <f t="shared" si="39"/>
        <v>0.70287539936102239</v>
      </c>
      <c r="AL57" s="12">
        <f t="shared" si="40"/>
        <v>3.5143769968051117</v>
      </c>
      <c r="AM57" s="12" t="e">
        <f>INDEX([2]achievement!$B:$B,MATCH(SUMIFS([3]ItemConfig!$A:$A,[3]ItemConfig!$T:$T,"add_title",[3]ItemConfig!$U:$U,A57),[2]achievement!$H:$H,0))</f>
        <v>#VALUE!</v>
      </c>
      <c r="AO57" s="12" t="e">
        <f t="shared" si="41"/>
        <v>#N/A</v>
      </c>
      <c r="AQ57" s="14" t="e">
        <f t="shared" si="24"/>
        <v>#N/A</v>
      </c>
      <c r="AR57" s="14" t="s">
        <v>106</v>
      </c>
      <c r="AT57" s="18" t="s">
        <v>111</v>
      </c>
      <c r="AU57" s="14" t="s">
        <v>106</v>
      </c>
      <c r="AV57" s="12">
        <f t="shared" si="42"/>
        <v>13200</v>
      </c>
      <c r="AW57" s="12" t="str">
        <f t="shared" si="43"/>
        <v>5</v>
      </c>
      <c r="AX57" s="14" t="str">
        <f t="shared" si="25"/>
        <v/>
      </c>
    </row>
    <row r="58" spans="1:50" ht="14.25">
      <c r="A58" s="24">
        <v>61</v>
      </c>
      <c r="B58" s="48" t="s">
        <v>326</v>
      </c>
      <c r="C58" s="24" t="s">
        <v>322</v>
      </c>
      <c r="D58" s="24" t="s">
        <v>334</v>
      </c>
      <c r="E58" s="26" t="str">
        <f t="shared" ca="1" si="27"/>
        <v>101:200|102:200</v>
      </c>
      <c r="F58" s="26" t="str">
        <f t="shared" ca="1" si="28"/>
        <v>101:40|102:40</v>
      </c>
      <c r="G58" s="24">
        <f t="shared" si="19"/>
        <v>7500</v>
      </c>
      <c r="H58" s="26">
        <f t="shared" si="20"/>
        <v>1500</v>
      </c>
      <c r="I58" s="43" t="s">
        <v>315</v>
      </c>
      <c r="J58" s="28">
        <v>3</v>
      </c>
      <c r="K58" s="24">
        <v>1</v>
      </c>
      <c r="L58" s="24">
        <v>3</v>
      </c>
      <c r="M58" s="24" t="s">
        <v>102</v>
      </c>
      <c r="N58" s="23" t="s">
        <v>215</v>
      </c>
      <c r="O58" s="58">
        <v>0</v>
      </c>
      <c r="P58" s="62">
        <v>170066</v>
      </c>
      <c r="Q58" s="58">
        <v>10</v>
      </c>
      <c r="R58" s="12" t="str">
        <f t="shared" si="29"/>
        <v>102:40|104:1000</v>
      </c>
      <c r="S58" s="12" t="str">
        <f t="shared" si="30"/>
        <v>101:40|104:1000</v>
      </c>
      <c r="T58" s="12" t="str">
        <f t="shared" si="31"/>
        <v>101:40|102:40</v>
      </c>
      <c r="U58" s="12" t="str">
        <f t="shared" si="32"/>
        <v>102:200|104:5000</v>
      </c>
      <c r="V58" s="12" t="str">
        <f t="shared" si="33"/>
        <v>101:200|104:5000</v>
      </c>
      <c r="W58" s="12" t="str">
        <f t="shared" si="34"/>
        <v>101:200|102:200</v>
      </c>
      <c r="X58" s="12">
        <v>101</v>
      </c>
      <c r="Y58" s="14">
        <f t="shared" si="35"/>
        <v>40</v>
      </c>
      <c r="Z58" s="12">
        <v>102</v>
      </c>
      <c r="AA58" s="14">
        <f t="shared" si="36"/>
        <v>40</v>
      </c>
      <c r="AB58" s="12">
        <v>104</v>
      </c>
      <c r="AC58" s="14">
        <f t="shared" si="37"/>
        <v>1000</v>
      </c>
      <c r="AD58" s="14" t="str">
        <f t="shared" si="21"/>
        <v>[76CBF3FF]宝石爱好者[-]\n被动属性:\n防御力+40\n生命值+1000\n使用属性:\n防御力+200\n生命值+5000\n</v>
      </c>
      <c r="AE58" s="14" t="str">
        <f t="shared" si="22"/>
        <v>[76CBF3FF]宝石爱好者[-]\n被动属性:\n攻击力+40\n生命值+1000\n使用属性:\n攻击力+200\n生命值+5000\n</v>
      </c>
      <c r="AF58" s="14" t="str">
        <f t="shared" si="23"/>
        <v>[76CBF3FF]宝石爱好者[-]\n被动属性:\n攻击力+40\n防御力+40\n使用属性:\n攻击力+200\n防御力+200\n</v>
      </c>
      <c r="AG58" s="12" t="str">
        <f>VLOOKUP(X58,[1]CharPropertyConfig!$A:$B,2,FALSE)</f>
        <v>攻击力</v>
      </c>
      <c r="AH58" s="12" t="str">
        <f>VLOOKUP(Z58,[1]CharPropertyConfig!$A:$B,2,FALSE)</f>
        <v>防御力</v>
      </c>
      <c r="AI58" s="12" t="str">
        <f>VLOOKUP(AB58,[1]CharPropertyConfig!$A:$B,2,FALSE)</f>
        <v>生命值</v>
      </c>
      <c r="AJ58" s="14">
        <f t="shared" si="38"/>
        <v>1280</v>
      </c>
      <c r="AK58" s="12">
        <f t="shared" si="39"/>
        <v>1.171875</v>
      </c>
      <c r="AL58" s="12">
        <f t="shared" si="40"/>
        <v>5.859375</v>
      </c>
      <c r="AM58" s="12" t="e">
        <f>INDEX([2]achievement!$B:$B,MATCH(SUMIFS([3]ItemConfig!$A:$A,[3]ItemConfig!$T:$T,"add_title",[3]ItemConfig!$U:$U,A58),[2]achievement!$H:$H,0))</f>
        <v>#VALUE!</v>
      </c>
      <c r="AO58" s="12" t="e">
        <f t="shared" si="41"/>
        <v>#N/A</v>
      </c>
      <c r="AQ58" s="14" t="e">
        <f t="shared" si="24"/>
        <v>#N/A</v>
      </c>
      <c r="AR58" s="14" t="s">
        <v>107</v>
      </c>
      <c r="AT58" s="18" t="s">
        <v>112</v>
      </c>
      <c r="AU58" s="14" t="s">
        <v>107</v>
      </c>
      <c r="AV58" s="12">
        <f t="shared" si="42"/>
        <v>9000</v>
      </c>
      <c r="AW58" s="12" t="str">
        <f t="shared" si="43"/>
        <v>4</v>
      </c>
      <c r="AX58" s="14" t="str">
        <f t="shared" si="25"/>
        <v/>
      </c>
    </row>
    <row r="59" spans="1:50">
      <c r="A59" s="24">
        <v>62</v>
      </c>
      <c r="B59" s="49" t="s">
        <v>343</v>
      </c>
      <c r="C59" s="24" t="s">
        <v>327</v>
      </c>
      <c r="D59" s="24" t="s">
        <v>335</v>
      </c>
      <c r="E59" s="26" t="str">
        <f t="shared" ca="1" si="27"/>
        <v>101:575|104:14150</v>
      </c>
      <c r="F59" s="26" t="str">
        <f t="shared" ca="1" si="28"/>
        <v>101:115|104:2830</v>
      </c>
      <c r="G59" s="24">
        <f t="shared" si="19"/>
        <v>21450</v>
      </c>
      <c r="H59" s="26">
        <f t="shared" si="20"/>
        <v>4290</v>
      </c>
      <c r="I59" s="42">
        <v>8</v>
      </c>
      <c r="J59" s="28">
        <v>2</v>
      </c>
      <c r="K59" s="24">
        <v>1</v>
      </c>
      <c r="L59" s="24">
        <v>3</v>
      </c>
      <c r="M59" s="24" t="s">
        <v>102</v>
      </c>
      <c r="N59" s="23" t="s">
        <v>219</v>
      </c>
      <c r="O59" s="58">
        <v>0</v>
      </c>
      <c r="P59" s="62">
        <v>170067</v>
      </c>
      <c r="Q59" s="58">
        <v>10</v>
      </c>
      <c r="R59" s="12" t="str">
        <f t="shared" si="29"/>
        <v>102:115|104:2830</v>
      </c>
      <c r="S59" s="12" t="str">
        <f t="shared" si="30"/>
        <v>101:115|104:2830</v>
      </c>
      <c r="T59" s="12" t="str">
        <f t="shared" si="31"/>
        <v>101:115|102:115</v>
      </c>
      <c r="U59" s="12" t="str">
        <f t="shared" si="32"/>
        <v>102:575|104:14150</v>
      </c>
      <c r="V59" s="12" t="str">
        <f t="shared" si="33"/>
        <v>101:575|104:14150</v>
      </c>
      <c r="W59" s="12" t="str">
        <f t="shared" si="34"/>
        <v>101:575|102:575</v>
      </c>
      <c r="X59" s="12">
        <v>101</v>
      </c>
      <c r="Y59" s="14">
        <f t="shared" si="35"/>
        <v>115</v>
      </c>
      <c r="Z59" s="12">
        <v>102</v>
      </c>
      <c r="AA59" s="14">
        <f t="shared" si="36"/>
        <v>115</v>
      </c>
      <c r="AB59" s="12">
        <v>104</v>
      </c>
      <c r="AC59" s="14">
        <f t="shared" si="37"/>
        <v>2830</v>
      </c>
      <c r="AD59" s="14" t="str">
        <f t="shared" si="21"/>
        <v>最强王者\n被动属性:\n防御力+115\n生命值+2830\n使用属性:\n防御力+575\n生命值+14150\n</v>
      </c>
      <c r="AE59" s="14" t="str">
        <f t="shared" si="22"/>
        <v>最强王者\n被动属性:\n攻击力+115\n生命值+2830\n使用属性:\n攻击力+575\n生命值+14150\n</v>
      </c>
      <c r="AF59" s="14" t="str">
        <f t="shared" si="23"/>
        <v>最强王者\n被动属性:\n攻击力+115\n防御力+115\n使用属性:\n攻击力+575\n防御力+575\n</v>
      </c>
      <c r="AG59" s="12" t="str">
        <f>VLOOKUP(X59,[1]CharPropertyConfig!$A:$B,2,FALSE)</f>
        <v>攻击力</v>
      </c>
      <c r="AH59" s="12" t="str">
        <f>VLOOKUP(Z59,[1]CharPropertyConfig!$A:$B,2,FALSE)</f>
        <v>防御力</v>
      </c>
      <c r="AI59" s="12" t="str">
        <f>VLOOKUP(AB59,[1]CharPropertyConfig!$A:$B,2,FALSE)</f>
        <v>生命值</v>
      </c>
      <c r="AJ59" s="14">
        <f t="shared" si="38"/>
        <v>20480</v>
      </c>
      <c r="AK59" s="12">
        <f t="shared" si="39"/>
        <v>0.20947265625</v>
      </c>
      <c r="AL59" s="12">
        <f t="shared" si="40"/>
        <v>1.04736328125</v>
      </c>
      <c r="AM59" s="12" t="e">
        <f>INDEX([2]achievement!$B:$B,MATCH(SUMIFS([3]ItemConfig!$A:$A,[3]ItemConfig!$T:$T,"add_title",[3]ItemConfig!$U:$U,A59),[2]achievement!$H:$H,0))</f>
        <v>#VALUE!</v>
      </c>
      <c r="AO59" s="12" t="str">
        <f t="shared" si="41"/>
        <v>[ff7800FF]/titlea8[-]</v>
      </c>
      <c r="AP59" s="13" t="s">
        <v>284</v>
      </c>
      <c r="AQ59" s="14" t="str">
        <f t="shared" si="24"/>
        <v>]</v>
      </c>
      <c r="AR59" s="13" t="s">
        <v>113</v>
      </c>
      <c r="AT59" s="19" t="s">
        <v>108</v>
      </c>
      <c r="AU59" s="19" t="s">
        <v>108</v>
      </c>
      <c r="AV59" s="12">
        <f t="shared" si="42"/>
        <v>25740</v>
      </c>
      <c r="AW59" s="12">
        <f t="shared" si="43"/>
        <v>8</v>
      </c>
      <c r="AX59" s="14" t="str">
        <f t="shared" si="25"/>
        <v/>
      </c>
    </row>
    <row r="60" spans="1:50">
      <c r="A60" s="24">
        <v>86</v>
      </c>
      <c r="B60" s="50" t="s">
        <v>19</v>
      </c>
      <c r="C60" s="24" t="str">
        <f t="shared" si="26"/>
        <v>特殊活动产出</v>
      </c>
      <c r="D60" s="24" t="s">
        <v>336</v>
      </c>
      <c r="E60" s="26" t="str">
        <f t="shared" ca="1" si="27"/>
        <v>101:800|104:19775</v>
      </c>
      <c r="F60" s="26" t="str">
        <f t="shared" ca="1" si="28"/>
        <v>101:160|104:3955</v>
      </c>
      <c r="G60" s="24">
        <f t="shared" si="19"/>
        <v>29885</v>
      </c>
      <c r="H60" s="26">
        <f t="shared" si="20"/>
        <v>5977</v>
      </c>
      <c r="I60" s="43">
        <v>10</v>
      </c>
      <c r="J60" s="28">
        <v>2</v>
      </c>
      <c r="K60" s="24">
        <v>1</v>
      </c>
      <c r="L60" s="24">
        <v>3</v>
      </c>
      <c r="M60" s="24" t="s">
        <v>102</v>
      </c>
      <c r="N60" s="23" t="s">
        <v>219</v>
      </c>
      <c r="O60" s="58">
        <v>0</v>
      </c>
      <c r="P60" s="62">
        <v>170068</v>
      </c>
      <c r="Q60" s="58">
        <v>10</v>
      </c>
      <c r="R60" s="12" t="str">
        <f t="shared" si="29"/>
        <v>102:160|104:3955</v>
      </c>
      <c r="S60" s="12" t="str">
        <f t="shared" si="30"/>
        <v>101:160|104:3955</v>
      </c>
      <c r="T60" s="12" t="str">
        <f t="shared" si="31"/>
        <v>101:160|102:160</v>
      </c>
      <c r="U60" s="12" t="str">
        <f t="shared" si="32"/>
        <v>102:800|104:19775</v>
      </c>
      <c r="V60" s="12" t="str">
        <f t="shared" si="33"/>
        <v>101:800|104:19775</v>
      </c>
      <c r="W60" s="12" t="str">
        <f t="shared" si="34"/>
        <v>101:800|102:800</v>
      </c>
      <c r="X60" s="12">
        <v>101</v>
      </c>
      <c r="Y60" s="14">
        <f t="shared" si="35"/>
        <v>160</v>
      </c>
      <c r="Z60" s="12">
        <v>102</v>
      </c>
      <c r="AA60" s="14">
        <f t="shared" si="36"/>
        <v>160</v>
      </c>
      <c r="AB60" s="12">
        <v>104</v>
      </c>
      <c r="AC60" s="14">
        <f t="shared" si="37"/>
        <v>3955</v>
      </c>
      <c r="AD60" s="14" t="str">
        <f t="shared" si="21"/>
        <v>黑暗君王\n被动属性:\n防御力+160\n生命值+3955\n使用属性:\n防御力+800\n生命值+19775\n</v>
      </c>
      <c r="AE60" s="14" t="str">
        <f t="shared" si="22"/>
        <v>黑暗君王\n被动属性:\n攻击力+160\n生命值+3955\n使用属性:\n攻击力+800\n生命值+19775\n</v>
      </c>
      <c r="AF60" s="14" t="str">
        <f t="shared" si="23"/>
        <v>黑暗君王\n被动属性:\n攻击力+160\n防御力+160\n使用属性:\n攻击力+800\n防御力+800\n</v>
      </c>
      <c r="AG60" s="12" t="str">
        <f>VLOOKUP(X60,[1]CharPropertyConfig!$A:$B,2,FALSE)</f>
        <v>攻击力</v>
      </c>
      <c r="AH60" s="12" t="str">
        <f>VLOOKUP(Z60,[1]CharPropertyConfig!$A:$B,2,FALSE)</f>
        <v>防御力</v>
      </c>
      <c r="AI60" s="12" t="str">
        <f>VLOOKUP(AB60,[1]CharPropertyConfig!$A:$B,2,FALSE)</f>
        <v>生命值</v>
      </c>
      <c r="AJ60" s="14">
        <f t="shared" si="38"/>
        <v>50000</v>
      </c>
      <c r="AK60" s="12">
        <f t="shared" si="39"/>
        <v>0.11953999999999999</v>
      </c>
      <c r="AL60" s="12">
        <f t="shared" si="40"/>
        <v>0.59770000000000001</v>
      </c>
      <c r="AM60" s="12" t="e">
        <f>INDEX([2]achievement!$B:$B,MATCH(SUMIFS([3]ItemConfig!$A:$A,[3]ItemConfig!$T:$T,"add_title",[3]ItemConfig!$U:$U,A60),[2]achievement!$H:$H,0))</f>
        <v>#VALUE!</v>
      </c>
      <c r="AO60" s="12" t="str">
        <f t="shared" si="41"/>
        <v>[ffffffFF]/title2[-]</v>
      </c>
      <c r="AP60" s="20" t="s">
        <v>285</v>
      </c>
      <c r="AQ60" s="14" t="str">
        <f t="shared" si="24"/>
        <v/>
      </c>
      <c r="AR60" s="20" t="s">
        <v>19</v>
      </c>
      <c r="AT60" s="20" t="s">
        <v>35</v>
      </c>
      <c r="AU60" s="20" t="s">
        <v>35</v>
      </c>
      <c r="AV60" s="12">
        <f t="shared" si="42"/>
        <v>35862</v>
      </c>
      <c r="AW60" s="12">
        <f t="shared" si="43"/>
        <v>10</v>
      </c>
      <c r="AX60" s="14" t="str">
        <f t="shared" si="25"/>
        <v/>
      </c>
    </row>
    <row r="61" spans="1:50">
      <c r="A61" s="24">
        <v>87</v>
      </c>
      <c r="B61" s="50" t="s">
        <v>344</v>
      </c>
      <c r="C61" s="24" t="str">
        <f t="shared" si="26"/>
        <v>特殊活动产出</v>
      </c>
      <c r="D61" s="24" t="s">
        <v>337</v>
      </c>
      <c r="E61" s="26" t="str">
        <f t="shared" ca="1" si="27"/>
        <v>101:800|104:19775</v>
      </c>
      <c r="F61" s="26" t="str">
        <f t="shared" ca="1" si="28"/>
        <v>101:160|104:3955</v>
      </c>
      <c r="G61" s="24">
        <f t="shared" si="19"/>
        <v>29885</v>
      </c>
      <c r="H61" s="26">
        <f t="shared" si="20"/>
        <v>5977</v>
      </c>
      <c r="I61" s="43">
        <v>10</v>
      </c>
      <c r="J61" s="28">
        <v>2</v>
      </c>
      <c r="K61" s="24">
        <v>1</v>
      </c>
      <c r="L61" s="24">
        <v>3</v>
      </c>
      <c r="M61" s="24" t="s">
        <v>102</v>
      </c>
      <c r="N61" s="23" t="s">
        <v>219</v>
      </c>
      <c r="O61" s="58">
        <v>0</v>
      </c>
      <c r="P61" s="62">
        <v>170069</v>
      </c>
      <c r="Q61" s="58">
        <v>10</v>
      </c>
      <c r="R61" s="12" t="str">
        <f t="shared" si="29"/>
        <v>102:160|104:3955</v>
      </c>
      <c r="S61" s="12" t="str">
        <f t="shared" si="30"/>
        <v>101:160|104:3955</v>
      </c>
      <c r="T61" s="12" t="str">
        <f t="shared" si="31"/>
        <v>101:160|102:160</v>
      </c>
      <c r="U61" s="12" t="str">
        <f t="shared" si="32"/>
        <v>102:800|104:19775</v>
      </c>
      <c r="V61" s="12" t="str">
        <f t="shared" si="33"/>
        <v>101:800|104:19775</v>
      </c>
      <c r="W61" s="12" t="str">
        <f t="shared" si="34"/>
        <v>101:800|102:800</v>
      </c>
      <c r="X61" s="12">
        <v>101</v>
      </c>
      <c r="Y61" s="14">
        <f t="shared" si="35"/>
        <v>160</v>
      </c>
      <c r="Z61" s="12">
        <v>102</v>
      </c>
      <c r="AA61" s="14">
        <f t="shared" si="36"/>
        <v>160</v>
      </c>
      <c r="AB61" s="12">
        <v>104</v>
      </c>
      <c r="AC61" s="14">
        <f t="shared" si="37"/>
        <v>3955</v>
      </c>
      <c r="AD61" s="14" t="str">
        <f t="shared" si="21"/>
        <v>远古战神\n被动属性:\n防御力+160\n生命值+3955\n使用属性:\n防御力+800\n生命值+19775\n</v>
      </c>
      <c r="AE61" s="14" t="str">
        <f t="shared" si="22"/>
        <v>远古战神\n被动属性:\n攻击力+160\n生命值+3955\n使用属性:\n攻击力+800\n生命值+19775\n</v>
      </c>
      <c r="AF61" s="14" t="str">
        <f t="shared" si="23"/>
        <v>远古战神\n被动属性:\n攻击力+160\n防御力+160\n使用属性:\n攻击力+800\n防御力+800\n</v>
      </c>
      <c r="AG61" s="12" t="str">
        <f>VLOOKUP(X61,[1]CharPropertyConfig!$A:$B,2,FALSE)</f>
        <v>攻击力</v>
      </c>
      <c r="AH61" s="12" t="str">
        <f>VLOOKUP(Z61,[1]CharPropertyConfig!$A:$B,2,FALSE)</f>
        <v>防御力</v>
      </c>
      <c r="AI61" s="12" t="str">
        <f>VLOOKUP(AB61,[1]CharPropertyConfig!$A:$B,2,FALSE)</f>
        <v>生命值</v>
      </c>
      <c r="AJ61" s="14">
        <f t="shared" si="38"/>
        <v>50000</v>
      </c>
      <c r="AK61" s="12">
        <f t="shared" si="39"/>
        <v>0.11953999999999999</v>
      </c>
      <c r="AL61" s="12">
        <f t="shared" si="40"/>
        <v>0.59770000000000001</v>
      </c>
      <c r="AM61" s="12" t="e">
        <f>INDEX([2]achievement!$B:$B,MATCH(SUMIFS([3]ItemConfig!$A:$A,[3]ItemConfig!$T:$T,"add_title",[3]ItemConfig!$U:$U,A61),[2]achievement!$H:$H,0))</f>
        <v>#VALUE!</v>
      </c>
      <c r="AO61" s="12" t="str">
        <f t="shared" si="41"/>
        <v>[ffffffFF]/title4[-]</v>
      </c>
      <c r="AP61" s="13" t="s">
        <v>286</v>
      </c>
      <c r="AQ61" s="14" t="str">
        <f t="shared" si="24"/>
        <v/>
      </c>
      <c r="AR61" s="13" t="s">
        <v>22</v>
      </c>
      <c r="AT61" s="20" t="s">
        <v>36</v>
      </c>
      <c r="AU61" s="20" t="s">
        <v>36</v>
      </c>
      <c r="AV61" s="12">
        <f t="shared" si="42"/>
        <v>35862</v>
      </c>
      <c r="AW61" s="12">
        <f t="shared" si="43"/>
        <v>10</v>
      </c>
      <c r="AX61" s="14" t="str">
        <f t="shared" si="25"/>
        <v/>
      </c>
    </row>
    <row r="62" spans="1:50">
      <c r="A62" s="24">
        <v>92</v>
      </c>
      <c r="B62" s="50" t="s">
        <v>345</v>
      </c>
      <c r="C62" s="24" t="s">
        <v>310</v>
      </c>
      <c r="D62" s="24" t="s">
        <v>338</v>
      </c>
      <c r="E62" s="26" t="str">
        <f t="shared" ca="1" si="27"/>
        <v>101:575|104:14150</v>
      </c>
      <c r="F62" s="26" t="str">
        <f t="shared" ca="1" si="28"/>
        <v>101:115|104:2830</v>
      </c>
      <c r="G62" s="24">
        <f t="shared" si="19"/>
        <v>21450</v>
      </c>
      <c r="H62" s="26">
        <f t="shared" si="20"/>
        <v>4290</v>
      </c>
      <c r="I62" s="42">
        <v>8</v>
      </c>
      <c r="J62" s="28">
        <v>2</v>
      </c>
      <c r="K62" s="24">
        <v>1</v>
      </c>
      <c r="L62" s="24">
        <v>3</v>
      </c>
      <c r="M62" s="24" t="s">
        <v>102</v>
      </c>
      <c r="N62" s="23" t="s">
        <v>218</v>
      </c>
      <c r="O62" s="58">
        <v>0</v>
      </c>
      <c r="P62" s="62">
        <v>170070</v>
      </c>
      <c r="Q62" s="58">
        <v>10</v>
      </c>
      <c r="R62" s="12" t="str">
        <f t="shared" si="29"/>
        <v>102:115|104:2830</v>
      </c>
      <c r="S62" s="12" t="str">
        <f t="shared" si="30"/>
        <v>101:115|104:2830</v>
      </c>
      <c r="T62" s="12" t="str">
        <f t="shared" si="31"/>
        <v>101:115|102:115</v>
      </c>
      <c r="U62" s="12" t="str">
        <f t="shared" si="32"/>
        <v>102:575|104:14150</v>
      </c>
      <c r="V62" s="12" t="str">
        <f t="shared" si="33"/>
        <v>101:575|104:14150</v>
      </c>
      <c r="W62" s="12" t="str">
        <f t="shared" si="34"/>
        <v>101:575|102:575</v>
      </c>
      <c r="X62" s="12">
        <v>101</v>
      </c>
      <c r="Y62" s="14">
        <f t="shared" si="35"/>
        <v>115</v>
      </c>
      <c r="Z62" s="12">
        <v>102</v>
      </c>
      <c r="AA62" s="14">
        <f t="shared" si="36"/>
        <v>115</v>
      </c>
      <c r="AB62" s="12">
        <v>104</v>
      </c>
      <c r="AC62" s="14">
        <f t="shared" si="37"/>
        <v>2830</v>
      </c>
      <c r="AD62" s="14" t="str">
        <f t="shared" si="21"/>
        <v>财富大亨\n被动属性:\n防御力+115\n生命值+2830\n使用属性:\n防御力+575\n生命值+14150\n</v>
      </c>
      <c r="AE62" s="14" t="str">
        <f t="shared" si="22"/>
        <v>财富大亨\n被动属性:\n攻击力+115\n生命值+2830\n使用属性:\n攻击力+575\n生命值+14150\n</v>
      </c>
      <c r="AF62" s="14" t="str">
        <f t="shared" si="23"/>
        <v>财富大亨\n被动属性:\n攻击力+115\n防御力+115\n使用属性:\n攻击力+575\n防御力+575\n</v>
      </c>
      <c r="AG62" s="12" t="str">
        <f>VLOOKUP(X62,[1]CharPropertyConfig!$A:$B,2,FALSE)</f>
        <v>攻击力</v>
      </c>
      <c r="AH62" s="12" t="str">
        <f>VLOOKUP(Z62,[1]CharPropertyConfig!$A:$B,2,FALSE)</f>
        <v>防御力</v>
      </c>
      <c r="AI62" s="12" t="str">
        <f>VLOOKUP(AB62,[1]CharPropertyConfig!$A:$B,2,FALSE)</f>
        <v>生命值</v>
      </c>
      <c r="AJ62" s="14">
        <f t="shared" si="38"/>
        <v>20480</v>
      </c>
      <c r="AK62" s="12">
        <f t="shared" si="39"/>
        <v>0.20947265625</v>
      </c>
      <c r="AL62" s="12">
        <f t="shared" si="40"/>
        <v>1.04736328125</v>
      </c>
      <c r="AM62" s="12" t="e">
        <f>INDEX([2]achievement!$B:$B,MATCH(SUMIFS([3]ItemConfig!$A:$A,[3]ItemConfig!$T:$T,"add_title",[3]ItemConfig!$U:$U,A62),[2]achievement!$H:$H,0))</f>
        <v>#VALUE!</v>
      </c>
      <c r="AO62" s="12" t="str">
        <f t="shared" si="41"/>
        <v>[ff7800FF]/title1[-]</v>
      </c>
      <c r="AP62" s="13" t="s">
        <v>287</v>
      </c>
      <c r="AQ62" s="14" t="str">
        <f t="shared" si="24"/>
        <v/>
      </c>
      <c r="AR62" s="13" t="s">
        <v>20</v>
      </c>
      <c r="AT62" s="20" t="s">
        <v>37</v>
      </c>
      <c r="AU62" s="20" t="s">
        <v>37</v>
      </c>
      <c r="AV62" s="12">
        <f t="shared" si="42"/>
        <v>25740</v>
      </c>
      <c r="AW62" s="12">
        <f t="shared" si="43"/>
        <v>8</v>
      </c>
      <c r="AX62" s="14" t="str">
        <f t="shared" si="25"/>
        <v/>
      </c>
    </row>
    <row r="63" spans="1:50">
      <c r="A63" s="24">
        <v>94</v>
      </c>
      <c r="B63" s="51" t="s">
        <v>346</v>
      </c>
      <c r="C63" s="24" t="str">
        <f t="shared" si="26"/>
        <v>特殊活动产出</v>
      </c>
      <c r="D63" s="24" t="s">
        <v>339</v>
      </c>
      <c r="E63" s="26" t="str">
        <f t="shared" ca="1" si="27"/>
        <v>101:800|104:19775</v>
      </c>
      <c r="F63" s="26" t="str">
        <f t="shared" ca="1" si="28"/>
        <v>101:160|104:3955</v>
      </c>
      <c r="G63" s="24">
        <f t="shared" si="19"/>
        <v>29885</v>
      </c>
      <c r="H63" s="26">
        <f t="shared" si="20"/>
        <v>5977</v>
      </c>
      <c r="I63" s="43">
        <v>10</v>
      </c>
      <c r="J63" s="28">
        <v>2</v>
      </c>
      <c r="K63" s="24">
        <v>1</v>
      </c>
      <c r="L63" s="24">
        <v>3</v>
      </c>
      <c r="M63" s="24" t="s">
        <v>102</v>
      </c>
      <c r="N63" s="23" t="s">
        <v>218</v>
      </c>
      <c r="O63" s="58">
        <v>0</v>
      </c>
      <c r="P63" s="62">
        <v>170071</v>
      </c>
      <c r="Q63" s="58">
        <v>10</v>
      </c>
      <c r="R63" s="12" t="str">
        <f t="shared" si="29"/>
        <v>102:160|104:3955</v>
      </c>
      <c r="S63" s="12" t="str">
        <f t="shared" si="30"/>
        <v>101:160|104:3955</v>
      </c>
      <c r="T63" s="12" t="str">
        <f t="shared" si="31"/>
        <v>101:160|102:160</v>
      </c>
      <c r="U63" s="12" t="str">
        <f t="shared" si="32"/>
        <v>102:800|104:19775</v>
      </c>
      <c r="V63" s="12" t="str">
        <f t="shared" si="33"/>
        <v>101:800|104:19775</v>
      </c>
      <c r="W63" s="12" t="str">
        <f t="shared" si="34"/>
        <v>101:800|102:800</v>
      </c>
      <c r="X63" s="12">
        <v>101</v>
      </c>
      <c r="Y63" s="14">
        <f t="shared" si="35"/>
        <v>160</v>
      </c>
      <c r="Z63" s="12">
        <v>102</v>
      </c>
      <c r="AA63" s="14">
        <f t="shared" si="36"/>
        <v>160</v>
      </c>
      <c r="AB63" s="12">
        <v>104</v>
      </c>
      <c r="AC63" s="14">
        <f t="shared" si="37"/>
        <v>3955</v>
      </c>
      <c r="AD63" s="14" t="str">
        <f t="shared" si="21"/>
        <v>无敌\n被动属性:\n防御力+160\n生命值+3955\n使用属性:\n防御力+800\n生命值+19775\n</v>
      </c>
      <c r="AE63" s="14" t="str">
        <f t="shared" si="22"/>
        <v>无敌\n被动属性:\n攻击力+160\n生命值+3955\n使用属性:\n攻击力+800\n生命值+19775\n</v>
      </c>
      <c r="AF63" s="14" t="str">
        <f t="shared" si="23"/>
        <v>无敌\n被动属性:\n攻击力+160\n防御力+160\n使用属性:\n攻击力+800\n防御力+800\n</v>
      </c>
      <c r="AG63" s="12" t="str">
        <f>VLOOKUP(X63,[1]CharPropertyConfig!$A:$B,2,FALSE)</f>
        <v>攻击力</v>
      </c>
      <c r="AH63" s="12" t="str">
        <f>VLOOKUP(Z63,[1]CharPropertyConfig!$A:$B,2,FALSE)</f>
        <v>防御力</v>
      </c>
      <c r="AI63" s="12" t="str">
        <f>VLOOKUP(AB63,[1]CharPropertyConfig!$A:$B,2,FALSE)</f>
        <v>生命值</v>
      </c>
      <c r="AJ63" s="14">
        <f t="shared" si="38"/>
        <v>50000</v>
      </c>
      <c r="AK63" s="12">
        <f t="shared" si="39"/>
        <v>0.11953999999999999</v>
      </c>
      <c r="AL63" s="12">
        <f t="shared" si="40"/>
        <v>0.59770000000000001</v>
      </c>
      <c r="AM63" s="12" t="e">
        <f>INDEX([2]achievement!$B:$B,MATCH(SUMIFS([3]ItemConfig!$A:$A,[3]ItemConfig!$T:$T,"add_title",[3]ItemConfig!$U:$U,A63),[2]achievement!$H:$H,0))</f>
        <v>#VALUE!</v>
      </c>
      <c r="AO63" s="12" t="str">
        <f t="shared" si="41"/>
        <v>[ffffffFF]/title3[-]</v>
      </c>
      <c r="AP63" s="13" t="s">
        <v>288</v>
      </c>
      <c r="AQ63" s="14" t="str">
        <f t="shared" si="24"/>
        <v/>
      </c>
      <c r="AR63" s="13" t="s">
        <v>21</v>
      </c>
      <c r="AT63" s="21" t="s">
        <v>38</v>
      </c>
      <c r="AU63" s="21" t="s">
        <v>38</v>
      </c>
      <c r="AV63" s="12">
        <f t="shared" si="42"/>
        <v>35862</v>
      </c>
      <c r="AW63" s="12">
        <f t="shared" si="43"/>
        <v>10</v>
      </c>
      <c r="AX63" s="14" t="str">
        <f t="shared" si="25"/>
        <v/>
      </c>
    </row>
    <row r="64" spans="1:50">
      <c r="A64" s="24">
        <v>102</v>
      </c>
      <c r="B64" s="50" t="s">
        <v>347</v>
      </c>
      <c r="C64" s="24" t="str">
        <f t="shared" si="26"/>
        <v>特殊活动产出</v>
      </c>
      <c r="D64" s="24" t="s">
        <v>340</v>
      </c>
      <c r="E64" s="26" t="str">
        <f t="shared" ca="1" si="27"/>
        <v>101:800|104:19775</v>
      </c>
      <c r="F64" s="26" t="str">
        <f t="shared" ca="1" si="28"/>
        <v>101:160|104:3955</v>
      </c>
      <c r="G64" s="24">
        <f t="shared" si="19"/>
        <v>29885</v>
      </c>
      <c r="H64" s="26">
        <f t="shared" si="20"/>
        <v>5977</v>
      </c>
      <c r="I64" s="43">
        <v>10</v>
      </c>
      <c r="J64" s="28">
        <v>2</v>
      </c>
      <c r="K64" s="26">
        <v>0</v>
      </c>
      <c r="L64" s="24">
        <v>3</v>
      </c>
      <c r="M64" s="24" t="s">
        <v>102</v>
      </c>
      <c r="N64" s="23" t="s">
        <v>218</v>
      </c>
      <c r="O64" s="58">
        <v>0</v>
      </c>
      <c r="P64" s="62">
        <v>170072</v>
      </c>
      <c r="Q64" s="58">
        <v>10</v>
      </c>
      <c r="R64" s="12" t="str">
        <f t="shared" si="29"/>
        <v>102:160|104:3955</v>
      </c>
      <c r="S64" s="12" t="str">
        <f t="shared" si="30"/>
        <v>101:160|104:3955</v>
      </c>
      <c r="T64" s="12" t="str">
        <f t="shared" si="31"/>
        <v>101:160|102:160</v>
      </c>
      <c r="U64" s="12" t="str">
        <f t="shared" si="32"/>
        <v>102:800|104:19775</v>
      </c>
      <c r="V64" s="12" t="str">
        <f t="shared" si="33"/>
        <v>101:800|104:19775</v>
      </c>
      <c r="W64" s="12" t="str">
        <f t="shared" si="34"/>
        <v>101:800|102:800</v>
      </c>
      <c r="X64" s="12">
        <v>101</v>
      </c>
      <c r="Y64" s="14">
        <f t="shared" si="35"/>
        <v>160</v>
      </c>
      <c r="Z64" s="12">
        <v>102</v>
      </c>
      <c r="AA64" s="14">
        <f t="shared" si="36"/>
        <v>160</v>
      </c>
      <c r="AB64" s="12">
        <v>104</v>
      </c>
      <c r="AC64" s="14">
        <f t="shared" si="37"/>
        <v>3955</v>
      </c>
      <c r="AD64" s="14" t="str">
        <f t="shared" si="21"/>
        <v>占位1\n被动属性:\n防御力+160\n生命值+3955\n使用属性:\n防御力+800\n生命值+19775\n</v>
      </c>
      <c r="AE64" s="14" t="str">
        <f t="shared" si="22"/>
        <v>占位1\n被动属性:\n攻击力+160\n生命值+3955\n使用属性:\n攻击力+800\n生命值+19775\n</v>
      </c>
      <c r="AF64" s="14" t="str">
        <f t="shared" si="23"/>
        <v>占位1\n被动属性:\n攻击力+160\n防御力+160\n使用属性:\n攻击力+800\n防御力+800\n</v>
      </c>
      <c r="AG64" s="12" t="str">
        <f>VLOOKUP(X64,[1]CharPropertyConfig!$A:$B,2,FALSE)</f>
        <v>攻击力</v>
      </c>
      <c r="AH64" s="12" t="str">
        <f>VLOOKUP(Z64,[1]CharPropertyConfig!$A:$B,2,FALSE)</f>
        <v>防御力</v>
      </c>
      <c r="AI64" s="12" t="str">
        <f>VLOOKUP(AB64,[1]CharPropertyConfig!$A:$B,2,FALSE)</f>
        <v>生命值</v>
      </c>
      <c r="AJ64" s="14">
        <f t="shared" si="38"/>
        <v>50000</v>
      </c>
      <c r="AK64" s="12">
        <f t="shared" si="39"/>
        <v>0.11953999999999999</v>
      </c>
      <c r="AL64" s="12">
        <f t="shared" si="40"/>
        <v>0.59770000000000001</v>
      </c>
      <c r="AM64" s="12" t="e">
        <f>INDEX([2]achievement!$B:$B,MATCH(SUMIFS([3]ItemConfig!$A:$A,[3]ItemConfig!$T:$T,"add_title",[3]ItemConfig!$U:$U,A64),[2]achievement!$H:$H,0))</f>
        <v>#VALUE!</v>
      </c>
      <c r="AO64" s="12" t="str">
        <f t="shared" si="41"/>
        <v>[ffffffFF]占位1[-]</v>
      </c>
      <c r="AQ64" s="14" t="e">
        <f t="shared" si="24"/>
        <v>#VALUE!</v>
      </c>
      <c r="AR64" s="22" t="s">
        <v>204</v>
      </c>
      <c r="AT64" s="20" t="s">
        <v>39</v>
      </c>
      <c r="AU64" s="20" t="s">
        <v>39</v>
      </c>
      <c r="AV64" s="12">
        <f t="shared" si="42"/>
        <v>35862</v>
      </c>
      <c r="AW64" s="12">
        <f t="shared" si="43"/>
        <v>10</v>
      </c>
      <c r="AX64" s="14" t="str">
        <f t="shared" si="25"/>
        <v/>
      </c>
    </row>
    <row r="65" spans="1:50">
      <c r="A65" s="24">
        <v>103</v>
      </c>
      <c r="B65" s="50" t="s">
        <v>348</v>
      </c>
      <c r="C65" s="24" t="str">
        <f t="shared" si="26"/>
        <v>特殊活动产出</v>
      </c>
      <c r="D65" s="24" t="s">
        <v>341</v>
      </c>
      <c r="E65" s="26" t="str">
        <f t="shared" ca="1" si="27"/>
        <v>101:800|104:19775</v>
      </c>
      <c r="F65" s="26" t="str">
        <f t="shared" ca="1" si="28"/>
        <v>101:160|104:3955</v>
      </c>
      <c r="G65" s="24">
        <f t="shared" si="19"/>
        <v>29885</v>
      </c>
      <c r="H65" s="26">
        <f t="shared" si="20"/>
        <v>5977</v>
      </c>
      <c r="I65" s="43">
        <v>10</v>
      </c>
      <c r="J65" s="28">
        <v>2</v>
      </c>
      <c r="K65" s="26">
        <v>0</v>
      </c>
      <c r="L65" s="24">
        <v>3</v>
      </c>
      <c r="M65" s="24" t="s">
        <v>102</v>
      </c>
      <c r="N65" s="23" t="s">
        <v>218</v>
      </c>
      <c r="O65" s="58">
        <v>0</v>
      </c>
      <c r="P65" s="62">
        <v>170073</v>
      </c>
      <c r="Q65" s="58">
        <v>10</v>
      </c>
      <c r="R65" s="12" t="str">
        <f t="shared" si="29"/>
        <v>102:160|104:3955</v>
      </c>
      <c r="S65" s="12" t="str">
        <f t="shared" si="30"/>
        <v>101:160|104:3955</v>
      </c>
      <c r="T65" s="12" t="str">
        <f t="shared" si="31"/>
        <v>101:160|102:160</v>
      </c>
      <c r="U65" s="12" t="str">
        <f t="shared" si="32"/>
        <v>102:800|104:19775</v>
      </c>
      <c r="V65" s="12" t="str">
        <f t="shared" si="33"/>
        <v>101:800|104:19775</v>
      </c>
      <c r="W65" s="12" t="str">
        <f t="shared" si="34"/>
        <v>101:800|102:800</v>
      </c>
      <c r="X65" s="12">
        <v>101</v>
      </c>
      <c r="Y65" s="14">
        <f t="shared" si="35"/>
        <v>160</v>
      </c>
      <c r="Z65" s="12">
        <v>102</v>
      </c>
      <c r="AA65" s="14">
        <f t="shared" si="36"/>
        <v>160</v>
      </c>
      <c r="AB65" s="12">
        <v>104</v>
      </c>
      <c r="AC65" s="14">
        <f t="shared" si="37"/>
        <v>3955</v>
      </c>
      <c r="AD65" s="14" t="str">
        <f t="shared" si="21"/>
        <v>占位2\n被动属性:\n防御力+160\n生命值+3955\n使用属性:\n防御力+800\n生命值+19775\n</v>
      </c>
      <c r="AE65" s="14" t="str">
        <f t="shared" si="22"/>
        <v>占位2\n被动属性:\n攻击力+160\n生命值+3955\n使用属性:\n攻击力+800\n生命值+19775\n</v>
      </c>
      <c r="AF65" s="14" t="str">
        <f t="shared" si="23"/>
        <v>占位2\n被动属性:\n攻击力+160\n防御力+160\n使用属性:\n攻击力+800\n防御力+800\n</v>
      </c>
      <c r="AG65" s="12" t="str">
        <f>VLOOKUP(X65,[1]CharPropertyConfig!$A:$B,2,FALSE)</f>
        <v>攻击力</v>
      </c>
      <c r="AH65" s="12" t="str">
        <f>VLOOKUP(Z65,[1]CharPropertyConfig!$A:$B,2,FALSE)</f>
        <v>防御力</v>
      </c>
      <c r="AI65" s="12" t="str">
        <f>VLOOKUP(AB65,[1]CharPropertyConfig!$A:$B,2,FALSE)</f>
        <v>生命值</v>
      </c>
      <c r="AJ65" s="14">
        <f t="shared" si="38"/>
        <v>50000</v>
      </c>
      <c r="AK65" s="12">
        <f t="shared" si="39"/>
        <v>0.11953999999999999</v>
      </c>
      <c r="AL65" s="12">
        <f t="shared" si="40"/>
        <v>0.59770000000000001</v>
      </c>
      <c r="AM65" s="12" t="e">
        <f>INDEX([2]achievement!$B:$B,MATCH(SUMIFS([3]ItemConfig!$A:$A,[3]ItemConfig!$T:$T,"add_title",[3]ItemConfig!$U:$U,A65),[2]achievement!$H:$H,0))</f>
        <v>#VALUE!</v>
      </c>
      <c r="AO65" s="12" t="str">
        <f t="shared" si="41"/>
        <v>[ffffffFF]占位2[-]</v>
      </c>
      <c r="AQ65" s="14" t="e">
        <f t="shared" si="24"/>
        <v>#VALUE!</v>
      </c>
      <c r="AR65" s="22" t="s">
        <v>205</v>
      </c>
      <c r="AT65" s="20" t="s">
        <v>43</v>
      </c>
      <c r="AU65" s="20" t="s">
        <v>43</v>
      </c>
      <c r="AV65" s="12">
        <f t="shared" si="42"/>
        <v>35862</v>
      </c>
      <c r="AW65" s="12">
        <f t="shared" si="43"/>
        <v>10</v>
      </c>
      <c r="AX65" s="14" t="str">
        <f t="shared" si="25"/>
        <v/>
      </c>
    </row>
    <row r="66" spans="1:50">
      <c r="A66" s="24">
        <v>104</v>
      </c>
      <c r="B66" s="50" t="s">
        <v>206</v>
      </c>
      <c r="C66" s="24" t="str">
        <f t="shared" si="26"/>
        <v>特殊活动产出</v>
      </c>
      <c r="D66" s="24" t="s">
        <v>342</v>
      </c>
      <c r="E66" s="26" t="str">
        <f t="shared" ref="E66:E91" ca="1" si="44">OFFSET(U66,0,J66-1,1,1)</f>
        <v>101:800|104:19775</v>
      </c>
      <c r="F66" s="26" t="str">
        <f t="shared" ca="1" si="28"/>
        <v>101:160|104:3955</v>
      </c>
      <c r="G66" s="24">
        <f t="shared" si="19"/>
        <v>29885</v>
      </c>
      <c r="H66" s="26">
        <f t="shared" si="20"/>
        <v>5977</v>
      </c>
      <c r="I66" s="43">
        <v>10</v>
      </c>
      <c r="J66" s="28">
        <v>2</v>
      </c>
      <c r="K66" s="24">
        <v>1</v>
      </c>
      <c r="L66" s="24">
        <v>3</v>
      </c>
      <c r="M66" s="24" t="s">
        <v>102</v>
      </c>
      <c r="N66" s="23" t="s">
        <v>218</v>
      </c>
      <c r="O66" s="58">
        <v>0</v>
      </c>
      <c r="P66" s="62">
        <v>170074</v>
      </c>
      <c r="Q66" s="58">
        <v>10</v>
      </c>
      <c r="R66" s="12" t="str">
        <f t="shared" si="29"/>
        <v>102:160|104:3955</v>
      </c>
      <c r="S66" s="12" t="str">
        <f t="shared" si="30"/>
        <v>101:160|104:3955</v>
      </c>
      <c r="T66" s="12" t="str">
        <f t="shared" si="31"/>
        <v>101:160|102:160</v>
      </c>
      <c r="U66" s="12" t="str">
        <f t="shared" si="32"/>
        <v>102:800|104:19775</v>
      </c>
      <c r="V66" s="12" t="str">
        <f t="shared" si="33"/>
        <v>101:800|104:19775</v>
      </c>
      <c r="W66" s="12" t="str">
        <f t="shared" ref="W66:W69" si="45">CONCATENATE(X66,AS$2,Y66*5,AT$2,Z66,AS$2,AA66*5)</f>
        <v>101:800|102:800</v>
      </c>
      <c r="X66" s="12">
        <v>101</v>
      </c>
      <c r="Y66" s="14">
        <f t="shared" ref="Y66:Y91" si="46">CEILING(POWER(I66,1.5)*5,5)</f>
        <v>160</v>
      </c>
      <c r="Z66" s="12">
        <v>102</v>
      </c>
      <c r="AA66" s="14">
        <f t="shared" ref="AA66:AA91" si="47">CEILING(POWER(I66,1.5)*5,5)</f>
        <v>160</v>
      </c>
      <c r="AB66" s="12">
        <v>104</v>
      </c>
      <c r="AC66" s="14">
        <f t="shared" ref="AC66:AC91" si="48">CEILING(POWER(I66,1.5)*125,5)</f>
        <v>3955</v>
      </c>
      <c r="AD66" s="14" t="str">
        <f t="shared" si="21"/>
        <v>占位3\n被动属性:\n防御力+160\n生命值+3955\n使用属性:\n防御力+800\n生命值+19775\n</v>
      </c>
      <c r="AE66" s="14" t="str">
        <f t="shared" si="22"/>
        <v>占位3\n被动属性:\n攻击力+160\n生命值+3955\n使用属性:\n攻击力+800\n生命值+19775\n</v>
      </c>
      <c r="AF66" s="14" t="str">
        <f t="shared" si="23"/>
        <v>占位3\n被动属性:\n攻击力+160\n防御力+160\n使用属性:\n攻击力+800\n防御力+800\n</v>
      </c>
      <c r="AG66" s="12" t="str">
        <f>VLOOKUP(X66,[1]CharPropertyConfig!$A:$B,2,FALSE)</f>
        <v>攻击力</v>
      </c>
      <c r="AH66" s="12" t="str">
        <f>VLOOKUP(Z66,[1]CharPropertyConfig!$A:$B,2,FALSE)</f>
        <v>防御力</v>
      </c>
      <c r="AI66" s="12" t="str">
        <f>VLOOKUP(AB66,[1]CharPropertyConfig!$A:$B,2,FALSE)</f>
        <v>生命值</v>
      </c>
      <c r="AJ66" s="14">
        <f t="shared" ref="AJ66:AJ91" si="49">CEILING(POWER(I66,4)*5,10)</f>
        <v>50000</v>
      </c>
      <c r="AK66" s="12">
        <f t="shared" ref="AK66:AK91" si="50">H66/AJ66</f>
        <v>0.11953999999999999</v>
      </c>
      <c r="AL66" s="12">
        <f t="shared" ref="AL66:AL91" si="51">G66/AJ66</f>
        <v>0.59770000000000001</v>
      </c>
      <c r="AM66" s="12" t="e">
        <f>INDEX([2]achievement!$B:$B,MATCH(SUMIFS([3]ItemConfig!$A:$A,[3]ItemConfig!$T:$T,"add_title",[3]ItemConfig!$U:$U,A66),[2]achievement!$H:$H,0))</f>
        <v>#VALUE!</v>
      </c>
      <c r="AO66" s="12" t="str">
        <f t="shared" ref="AO66:AO91" si="52">CONCATENATE("[",VLOOKUP(I66,AS$12:AT$21,2,FALSE),"]",IF(AP66="",B66,AP66),"[-]")</f>
        <v>[ffffffFF]占位3[-]</v>
      </c>
      <c r="AQ66" s="14" t="e">
        <f t="shared" si="24"/>
        <v>#VALUE!</v>
      </c>
      <c r="AR66" s="22" t="s">
        <v>206</v>
      </c>
      <c r="AT66" s="20" t="s">
        <v>40</v>
      </c>
      <c r="AU66" s="20" t="s">
        <v>40</v>
      </c>
      <c r="AV66" s="12">
        <f t="shared" ref="AV66:AV76" si="53">(H66+G66)</f>
        <v>35862</v>
      </c>
      <c r="AW66" s="12">
        <f t="shared" ref="AW66:AW76" si="54">I66</f>
        <v>10</v>
      </c>
      <c r="AX66" s="14" t="str">
        <f t="shared" si="25"/>
        <v/>
      </c>
    </row>
    <row r="67" spans="1:50">
      <c r="A67" s="24">
        <v>105</v>
      </c>
      <c r="B67" s="50" t="s">
        <v>207</v>
      </c>
      <c r="C67" s="24" t="str">
        <f t="shared" si="26"/>
        <v>特殊活动产出</v>
      </c>
      <c r="D67" s="24" t="s">
        <v>330</v>
      </c>
      <c r="E67" s="26" t="str">
        <f t="shared" ca="1" si="44"/>
        <v>101:800|104:19775</v>
      </c>
      <c r="F67" s="26" t="str">
        <f t="shared" ca="1" si="28"/>
        <v>101:160|104:3955</v>
      </c>
      <c r="G67" s="24">
        <f t="shared" ref="G67:G71" si="55">H67*5</f>
        <v>29885</v>
      </c>
      <c r="H67" s="26">
        <f t="shared" ref="H67:H90" si="56">INT((Y67*25+AA67*25+AC67*1)/2)</f>
        <v>5977</v>
      </c>
      <c r="I67" s="43">
        <v>10</v>
      </c>
      <c r="J67" s="28">
        <v>2</v>
      </c>
      <c r="K67" s="24">
        <v>1</v>
      </c>
      <c r="L67" s="24">
        <v>3</v>
      </c>
      <c r="M67" s="24" t="s">
        <v>102</v>
      </c>
      <c r="N67" s="23" t="s">
        <v>218</v>
      </c>
      <c r="O67" s="58">
        <v>0</v>
      </c>
      <c r="P67" s="62">
        <v>170075</v>
      </c>
      <c r="Q67" s="58">
        <v>10</v>
      </c>
      <c r="R67" s="12" t="str">
        <f t="shared" si="29"/>
        <v>102:160|104:3955</v>
      </c>
      <c r="S67" s="12" t="str">
        <f t="shared" si="30"/>
        <v>101:160|104:3955</v>
      </c>
      <c r="T67" s="12" t="str">
        <f t="shared" si="31"/>
        <v>101:160|102:160</v>
      </c>
      <c r="U67" s="12" t="str">
        <f t="shared" si="32"/>
        <v>102:800|104:19775</v>
      </c>
      <c r="V67" s="12" t="str">
        <f t="shared" si="33"/>
        <v>101:800|104:19775</v>
      </c>
      <c r="W67" s="12" t="str">
        <f t="shared" si="45"/>
        <v>101:800|102:800</v>
      </c>
      <c r="X67" s="12">
        <v>101</v>
      </c>
      <c r="Y67" s="14">
        <f t="shared" si="46"/>
        <v>160</v>
      </c>
      <c r="Z67" s="12">
        <v>102</v>
      </c>
      <c r="AA67" s="14">
        <f t="shared" si="47"/>
        <v>160</v>
      </c>
      <c r="AB67" s="12">
        <v>104</v>
      </c>
      <c r="AC67" s="14">
        <f t="shared" si="48"/>
        <v>3955</v>
      </c>
      <c r="AD67" s="14" t="str">
        <f t="shared" ref="AD67:AD97" si="57">CONCATENATE(IF(LEFTB(B67,1)="/",B67&amp;"\n\n",B67),"\n","被动属性:","\n",AH67,"+",AA67,"\n",AI67,"+",AC67,"\n","使用属性:","\n",AH67,"+",AA67*5,"\n",AI67,"+",AC67*5,"\n",AX67)</f>
        <v>占位4\n被动属性:\n防御力+160\n生命值+3955\n使用属性:\n防御力+800\n生命值+19775\n</v>
      </c>
      <c r="AE67" s="14" t="str">
        <f t="shared" ref="AE67:AE97" si="58">CONCATENATE(IF(LEFTB(B67,1)="/",B67&amp;"\n\n",B67),"\n","被动属性:","\n",AG67,"+",Y67,"\n",AI67,"+",AC67,"\n","使用属性:","\n",AG67,"+",Y67*5,"\n",,AI67,"+",AC67*5,"\n",AX67)</f>
        <v>占位4\n被动属性:\n攻击力+160\n生命值+3955\n使用属性:\n攻击力+800\n生命值+19775\n</v>
      </c>
      <c r="AF67" s="14" t="str">
        <f t="shared" ref="AF67:AF97" si="59">CONCATENATE(IF(LEFTB(B67,1)="/",B67&amp;"\n\n",B67),"\n","被动属性:","\n",AG67,"+",Y67,"\n",AH67,"+",AA67,"\n","使用属性:","\n",AG67,"+",Y67*5,"\n",AH67,"+",AA67*5,,"\n",AX67)</f>
        <v>占位4\n被动属性:\n攻击力+160\n防御力+160\n使用属性:\n攻击力+800\n防御力+800\n</v>
      </c>
      <c r="AG67" s="12" t="str">
        <f>VLOOKUP(X67,[1]CharPropertyConfig!$A:$B,2,FALSE)</f>
        <v>攻击力</v>
      </c>
      <c r="AH67" s="12" t="str">
        <f>VLOOKUP(Z67,[1]CharPropertyConfig!$A:$B,2,FALSE)</f>
        <v>防御力</v>
      </c>
      <c r="AI67" s="12" t="str">
        <f>VLOOKUP(AB67,[1]CharPropertyConfig!$A:$B,2,FALSE)</f>
        <v>生命值</v>
      </c>
      <c r="AJ67" s="14">
        <f t="shared" si="49"/>
        <v>50000</v>
      </c>
      <c r="AK67" s="12">
        <f t="shared" si="50"/>
        <v>0.11953999999999999</v>
      </c>
      <c r="AL67" s="12">
        <f t="shared" si="51"/>
        <v>0.59770000000000001</v>
      </c>
      <c r="AM67" s="12" t="e">
        <f>INDEX([2]achievement!$B:$B,MATCH(SUMIFS([3]ItemConfig!$A:$A,[3]ItemConfig!$T:$T,"add_title",[3]ItemConfig!$U:$U,A67),[2]achievement!$H:$H,0))</f>
        <v>#VALUE!</v>
      </c>
      <c r="AO67" s="12" t="str">
        <f t="shared" si="52"/>
        <v>[ffffffFF]占位4[-]</v>
      </c>
      <c r="AQ67" s="14" t="e">
        <f t="shared" ref="AQ67:AQ69" si="60">RIGHTB(AO67,LENB(AO67)-20)</f>
        <v>#VALUE!</v>
      </c>
      <c r="AR67" s="22" t="s">
        <v>207</v>
      </c>
      <c r="AT67" s="20" t="s">
        <v>41</v>
      </c>
      <c r="AU67" s="20" t="s">
        <v>41</v>
      </c>
      <c r="AV67" s="12">
        <f t="shared" si="53"/>
        <v>35862</v>
      </c>
      <c r="AW67" s="12">
        <f t="shared" si="54"/>
        <v>10</v>
      </c>
      <c r="AX67" s="14" t="str">
        <f t="shared" ref="AX67:AX97" si="61">IF(O67=0,"",CONCATENATE("有效时间:",O67/60/60/24,"天"))</f>
        <v/>
      </c>
    </row>
    <row r="68" spans="1:50">
      <c r="A68" s="24">
        <v>106</v>
      </c>
      <c r="B68" s="50" t="s">
        <v>208</v>
      </c>
      <c r="C68" s="24" t="str">
        <f t="shared" si="26"/>
        <v>特殊活动产出</v>
      </c>
      <c r="D68" s="24" t="s">
        <v>331</v>
      </c>
      <c r="E68" s="26" t="str">
        <f t="shared" ca="1" si="44"/>
        <v>101:800|104:19775</v>
      </c>
      <c r="F68" s="26" t="str">
        <f t="shared" ca="1" si="28"/>
        <v>101:160|104:3955</v>
      </c>
      <c r="G68" s="24">
        <f t="shared" si="55"/>
        <v>29885</v>
      </c>
      <c r="H68" s="26">
        <f t="shared" si="56"/>
        <v>5977</v>
      </c>
      <c r="I68" s="43">
        <v>10</v>
      </c>
      <c r="J68" s="28">
        <v>2</v>
      </c>
      <c r="K68" s="24">
        <v>1</v>
      </c>
      <c r="L68" s="24">
        <v>3</v>
      </c>
      <c r="M68" s="24" t="s">
        <v>102</v>
      </c>
      <c r="N68" s="23" t="s">
        <v>218</v>
      </c>
      <c r="O68" s="58">
        <v>0</v>
      </c>
      <c r="P68" s="62">
        <v>170076</v>
      </c>
      <c r="Q68" s="58">
        <v>10</v>
      </c>
      <c r="R68" s="12" t="str">
        <f t="shared" si="29"/>
        <v>102:160|104:3955</v>
      </c>
      <c r="S68" s="12" t="str">
        <f t="shared" si="30"/>
        <v>101:160|104:3955</v>
      </c>
      <c r="T68" s="12" t="str">
        <f t="shared" si="31"/>
        <v>101:160|102:160</v>
      </c>
      <c r="U68" s="12" t="str">
        <f t="shared" si="32"/>
        <v>102:800|104:19775</v>
      </c>
      <c r="V68" s="12" t="str">
        <f t="shared" si="33"/>
        <v>101:800|104:19775</v>
      </c>
      <c r="W68" s="12" t="str">
        <f t="shared" si="45"/>
        <v>101:800|102:800</v>
      </c>
      <c r="X68" s="12">
        <v>101</v>
      </c>
      <c r="Y68" s="14">
        <f t="shared" si="46"/>
        <v>160</v>
      </c>
      <c r="Z68" s="12">
        <v>102</v>
      </c>
      <c r="AA68" s="14">
        <f t="shared" si="47"/>
        <v>160</v>
      </c>
      <c r="AB68" s="12">
        <v>104</v>
      </c>
      <c r="AC68" s="14">
        <f t="shared" si="48"/>
        <v>3955</v>
      </c>
      <c r="AD68" s="14" t="str">
        <f t="shared" si="57"/>
        <v>占位5\n被动属性:\n防御力+160\n生命值+3955\n使用属性:\n防御力+800\n生命值+19775\n</v>
      </c>
      <c r="AE68" s="14" t="str">
        <f t="shared" si="58"/>
        <v>占位5\n被动属性:\n攻击力+160\n生命值+3955\n使用属性:\n攻击力+800\n生命值+19775\n</v>
      </c>
      <c r="AF68" s="14" t="str">
        <f t="shared" si="59"/>
        <v>占位5\n被动属性:\n攻击力+160\n防御力+160\n使用属性:\n攻击力+800\n防御力+800\n</v>
      </c>
      <c r="AG68" s="12" t="str">
        <f>VLOOKUP(X68,[1]CharPropertyConfig!$A:$B,2,FALSE)</f>
        <v>攻击力</v>
      </c>
      <c r="AH68" s="12" t="str">
        <f>VLOOKUP(Z68,[1]CharPropertyConfig!$A:$B,2,FALSE)</f>
        <v>防御力</v>
      </c>
      <c r="AI68" s="12" t="str">
        <f>VLOOKUP(AB68,[1]CharPropertyConfig!$A:$B,2,FALSE)</f>
        <v>生命值</v>
      </c>
      <c r="AJ68" s="14">
        <f t="shared" si="49"/>
        <v>50000</v>
      </c>
      <c r="AK68" s="12">
        <f t="shared" si="50"/>
        <v>0.11953999999999999</v>
      </c>
      <c r="AL68" s="12">
        <f t="shared" si="51"/>
        <v>0.59770000000000001</v>
      </c>
      <c r="AM68" s="12" t="e">
        <f>INDEX([2]achievement!$B:$B,MATCH(SUMIFS([3]ItemConfig!$A:$A,[3]ItemConfig!$T:$T,"add_title",[3]ItemConfig!$U:$U,A68),[2]achievement!$H:$H,0))</f>
        <v>#VALUE!</v>
      </c>
      <c r="AO68" s="12" t="str">
        <f t="shared" si="52"/>
        <v>[ffffffFF]占位5[-]</v>
      </c>
      <c r="AQ68" s="14" t="e">
        <f t="shared" si="60"/>
        <v>#VALUE!</v>
      </c>
      <c r="AR68" s="22" t="s">
        <v>208</v>
      </c>
      <c r="AT68" s="20" t="s">
        <v>42</v>
      </c>
      <c r="AU68" s="20" t="s">
        <v>42</v>
      </c>
      <c r="AV68" s="12">
        <f t="shared" si="53"/>
        <v>35862</v>
      </c>
      <c r="AW68" s="12">
        <f t="shared" si="54"/>
        <v>10</v>
      </c>
      <c r="AX68" s="14" t="str">
        <f t="shared" si="61"/>
        <v/>
      </c>
    </row>
    <row r="69" spans="1:50">
      <c r="A69" s="24">
        <v>107</v>
      </c>
      <c r="B69" s="50" t="s">
        <v>349</v>
      </c>
      <c r="C69" s="24" t="str">
        <f t="shared" si="26"/>
        <v>特殊活动产出</v>
      </c>
      <c r="D69" s="24" t="s">
        <v>332</v>
      </c>
      <c r="E69" s="26" t="str">
        <f t="shared" ca="1" si="44"/>
        <v>101:800|104:19775</v>
      </c>
      <c r="F69" s="26" t="str">
        <f t="shared" ca="1" si="28"/>
        <v>101:160|104:3955</v>
      </c>
      <c r="G69" s="24">
        <f t="shared" si="55"/>
        <v>29885</v>
      </c>
      <c r="H69" s="26">
        <f t="shared" si="56"/>
        <v>5977</v>
      </c>
      <c r="I69" s="43">
        <v>10</v>
      </c>
      <c r="J69" s="28">
        <v>2</v>
      </c>
      <c r="K69" s="24">
        <v>1</v>
      </c>
      <c r="L69" s="24">
        <v>3</v>
      </c>
      <c r="M69" s="24" t="s">
        <v>102</v>
      </c>
      <c r="N69" s="23" t="s">
        <v>218</v>
      </c>
      <c r="O69" s="58">
        <v>0</v>
      </c>
      <c r="P69" s="62">
        <v>170077</v>
      </c>
      <c r="Q69" s="58">
        <v>10</v>
      </c>
      <c r="R69" s="12" t="str">
        <f t="shared" si="29"/>
        <v>102:160|104:3955</v>
      </c>
      <c r="S69" s="12" t="str">
        <f t="shared" si="30"/>
        <v>101:160|104:3955</v>
      </c>
      <c r="T69" s="12" t="str">
        <f t="shared" si="31"/>
        <v>101:160|102:160</v>
      </c>
      <c r="U69" s="12" t="str">
        <f t="shared" si="32"/>
        <v>102:800|104:19775</v>
      </c>
      <c r="V69" s="12" t="str">
        <f t="shared" si="33"/>
        <v>101:800|104:19775</v>
      </c>
      <c r="W69" s="12" t="str">
        <f t="shared" si="45"/>
        <v>101:800|102:800</v>
      </c>
      <c r="X69" s="12">
        <v>101</v>
      </c>
      <c r="Y69" s="14">
        <f t="shared" si="46"/>
        <v>160</v>
      </c>
      <c r="Z69" s="12">
        <v>102</v>
      </c>
      <c r="AA69" s="14">
        <f t="shared" si="47"/>
        <v>160</v>
      </c>
      <c r="AB69" s="12">
        <v>104</v>
      </c>
      <c r="AC69" s="14">
        <f t="shared" si="48"/>
        <v>3955</v>
      </c>
      <c r="AD69" s="14" t="str">
        <f t="shared" si="57"/>
        <v>无法无天\n被动属性:\n防御力+160\n生命值+3955\n使用属性:\n防御力+800\n生命值+19775\n</v>
      </c>
      <c r="AE69" s="14" t="str">
        <f t="shared" si="58"/>
        <v>无法无天\n被动属性:\n攻击力+160\n生命值+3955\n使用属性:\n攻击力+800\n生命值+19775\n</v>
      </c>
      <c r="AF69" s="14" t="str">
        <f t="shared" si="59"/>
        <v>无法无天\n被动属性:\n攻击力+160\n防御力+160\n使用属性:\n攻击力+800\n防御力+800\n</v>
      </c>
      <c r="AG69" s="12" t="str">
        <f>VLOOKUP(X69,[1]CharPropertyConfig!$A:$B,2,FALSE)</f>
        <v>攻击力</v>
      </c>
      <c r="AH69" s="12" t="str">
        <f>VLOOKUP(Z69,[1]CharPropertyConfig!$A:$B,2,FALSE)</f>
        <v>防御力</v>
      </c>
      <c r="AI69" s="12" t="str">
        <f>VLOOKUP(AB69,[1]CharPropertyConfig!$A:$B,2,FALSE)</f>
        <v>生命值</v>
      </c>
      <c r="AJ69" s="14">
        <f t="shared" si="49"/>
        <v>50000</v>
      </c>
      <c r="AK69" s="12">
        <f t="shared" si="50"/>
        <v>0.11953999999999999</v>
      </c>
      <c r="AL69" s="12">
        <f t="shared" si="51"/>
        <v>0.59770000000000001</v>
      </c>
      <c r="AM69" s="12" t="e">
        <f>INDEX([2]achievement!$B:$B,MATCH(SUMIFS([3]ItemConfig!$A:$A,[3]ItemConfig!$T:$T,"add_title",[3]ItemConfig!$U:$U,A69),[2]achievement!$H:$H,0))</f>
        <v>#VALUE!</v>
      </c>
      <c r="AO69" s="12" t="str">
        <f t="shared" si="52"/>
        <v>[ffffffFF]/titlea1[-]</v>
      </c>
      <c r="AP69" s="22" t="s">
        <v>289</v>
      </c>
      <c r="AQ69" s="14" t="str">
        <f t="shared" si="60"/>
        <v>]</v>
      </c>
      <c r="AR69" s="22" t="s">
        <v>209</v>
      </c>
      <c r="AT69" s="20" t="s">
        <v>44</v>
      </c>
      <c r="AU69" s="20" t="s">
        <v>44</v>
      </c>
      <c r="AV69" s="12">
        <f t="shared" si="53"/>
        <v>35862</v>
      </c>
      <c r="AW69" s="12">
        <f t="shared" si="54"/>
        <v>10</v>
      </c>
      <c r="AX69" s="14" t="str">
        <f t="shared" si="61"/>
        <v/>
      </c>
    </row>
    <row r="70" spans="1:50" s="34" customFormat="1">
      <c r="A70" s="31">
        <v>10000</v>
      </c>
      <c r="B70" s="52" t="s">
        <v>349</v>
      </c>
      <c r="C70" s="31" t="s">
        <v>212</v>
      </c>
      <c r="D70" s="24" t="s">
        <v>333</v>
      </c>
      <c r="E70" s="32" t="str">
        <f t="shared" ca="1" si="44"/>
        <v>102:800|104:19775</v>
      </c>
      <c r="F70" s="26" t="s">
        <v>241</v>
      </c>
      <c r="G70" s="31">
        <f t="shared" si="55"/>
        <v>29885</v>
      </c>
      <c r="H70" s="26">
        <f t="shared" si="56"/>
        <v>5977</v>
      </c>
      <c r="I70" s="44">
        <v>10</v>
      </c>
      <c r="J70" s="31">
        <v>1</v>
      </c>
      <c r="K70" s="31">
        <v>0</v>
      </c>
      <c r="L70" s="31">
        <v>3</v>
      </c>
      <c r="M70" s="31" t="s">
        <v>102</v>
      </c>
      <c r="N70" s="33" t="s">
        <v>215</v>
      </c>
      <c r="O70" s="58">
        <v>0</v>
      </c>
      <c r="P70" s="62">
        <v>170072</v>
      </c>
      <c r="Q70" s="58">
        <v>10</v>
      </c>
      <c r="R70" s="34" t="str">
        <f t="shared" ref="R70" si="62">CONCATENATE(Z70,AS$2,AA70,AT$2,AB70,AS$2,AC70)</f>
        <v>102:160|104:3955</v>
      </c>
      <c r="S70" s="34" t="str">
        <f t="shared" ref="S70" si="63">CONCATENATE(X70,AS$2,Y70,AT$2,AB70,AS$2,AC70)</f>
        <v>101:160|104:3955</v>
      </c>
      <c r="T70" s="34" t="str">
        <f t="shared" ref="T70" si="64">CONCATENATE(X70,AS$2,Y70,AT$2,Z70,AS$2,AA70)</f>
        <v>101:160|102:160</v>
      </c>
      <c r="U70" s="34" t="str">
        <f t="shared" ref="U70" si="65">CONCATENATE(Z70,AS$2,AA70*5,AT$2,AB70,AS$2,AC70*5)</f>
        <v>102:800|104:19775</v>
      </c>
      <c r="V70" s="34" t="str">
        <f t="shared" ref="V70" si="66">CONCATENATE(X70,AS$2,Y70*5,AT$2,AB70,AS$2,AC70*5)</f>
        <v>101:800|104:19775</v>
      </c>
      <c r="W70" s="34" t="str">
        <f t="shared" ref="W70" si="67">CONCATENATE(X70,AS$2,Y70*5,AT$2,Z70,AS$2,AA70*5)</f>
        <v>101:800|102:800</v>
      </c>
      <c r="X70" s="34">
        <v>101</v>
      </c>
      <c r="Y70" s="35">
        <f t="shared" si="46"/>
        <v>160</v>
      </c>
      <c r="Z70" s="34">
        <v>102</v>
      </c>
      <c r="AA70" s="35">
        <f t="shared" si="47"/>
        <v>160</v>
      </c>
      <c r="AB70" s="34">
        <v>104</v>
      </c>
      <c r="AC70" s="35">
        <f t="shared" si="48"/>
        <v>3955</v>
      </c>
      <c r="AD70" s="14" t="str">
        <f t="shared" si="57"/>
        <v>无法无天\n被动属性:\n防御力+160\n生命值+3955\n使用属性:\n防御力+800\n生命值+19775\n</v>
      </c>
      <c r="AE70" s="14" t="str">
        <f t="shared" si="58"/>
        <v>无法无天\n被动属性:\n攻击力+160\n生命值+3955\n使用属性:\n攻击力+800\n生命值+19775\n</v>
      </c>
      <c r="AF70" s="14" t="str">
        <f t="shared" si="59"/>
        <v>无法无天\n被动属性:\n攻击力+160\n防御力+160\n使用属性:\n攻击力+800\n防御力+800\n</v>
      </c>
      <c r="AG70" s="34" t="str">
        <f>VLOOKUP(X70,[1]CharPropertyConfig!$A:$B,2,FALSE)</f>
        <v>攻击力</v>
      </c>
      <c r="AH70" s="34" t="str">
        <f>VLOOKUP(Z70,[1]CharPropertyConfig!$A:$B,2,FALSE)</f>
        <v>防御力</v>
      </c>
      <c r="AI70" s="34" t="str">
        <f>VLOOKUP(AB70,[1]CharPropertyConfig!$A:$B,2,FALSE)</f>
        <v>生命值</v>
      </c>
      <c r="AJ70" s="14">
        <f t="shared" si="49"/>
        <v>50000</v>
      </c>
      <c r="AK70" s="34">
        <f t="shared" si="50"/>
        <v>0.11953999999999999</v>
      </c>
      <c r="AL70" s="34">
        <f t="shared" si="51"/>
        <v>0.59770000000000001</v>
      </c>
      <c r="AM70" s="34" t="e">
        <f>INDEX([2]achievement!$B:$B,MATCH(SUMIFS([3]ItemConfig!$A:$A,[3]ItemConfig!$T:$T,"add_title",[3]ItemConfig!$U:$U,A70),[2]achievement!$H:$H,0))</f>
        <v>#VALUE!</v>
      </c>
      <c r="AO70" s="34" t="str">
        <f t="shared" si="52"/>
        <v>[ffffffFF]无法无天[-]</v>
      </c>
      <c r="AP70" s="36" t="s">
        <v>209</v>
      </c>
      <c r="AQ70" s="35" t="str">
        <f t="shared" ref="AQ70" si="68">RIGHTB(AO70,LENB(AO70)-20)</f>
        <v>]</v>
      </c>
      <c r="AR70" s="36" t="s">
        <v>209</v>
      </c>
      <c r="AS70" s="37"/>
      <c r="AT70" s="38" t="s">
        <v>44</v>
      </c>
      <c r="AU70" s="38" t="s">
        <v>44</v>
      </c>
      <c r="AV70" s="12">
        <f t="shared" si="53"/>
        <v>35862</v>
      </c>
      <c r="AW70" s="12">
        <f t="shared" si="54"/>
        <v>10</v>
      </c>
      <c r="AX70" s="14" t="str">
        <f t="shared" si="61"/>
        <v/>
      </c>
    </row>
    <row r="71" spans="1:50" s="34" customFormat="1">
      <c r="A71" s="31">
        <v>10300</v>
      </c>
      <c r="B71" s="52" t="s">
        <v>349</v>
      </c>
      <c r="C71" s="31" t="s">
        <v>213</v>
      </c>
      <c r="D71" s="24" t="s">
        <v>334</v>
      </c>
      <c r="E71" s="32" t="str">
        <f t="shared" ca="1" si="44"/>
        <v>102:800|104:19775</v>
      </c>
      <c r="F71" s="26" t="s">
        <v>242</v>
      </c>
      <c r="G71" s="31">
        <f t="shared" si="55"/>
        <v>29885</v>
      </c>
      <c r="H71" s="26">
        <f t="shared" si="56"/>
        <v>5977</v>
      </c>
      <c r="I71" s="44">
        <v>10</v>
      </c>
      <c r="J71" s="31">
        <v>1</v>
      </c>
      <c r="K71" s="31">
        <v>0</v>
      </c>
      <c r="L71" s="31">
        <v>3</v>
      </c>
      <c r="M71" s="31" t="s">
        <v>102</v>
      </c>
      <c r="N71" s="33" t="s">
        <v>215</v>
      </c>
      <c r="O71" s="58">
        <v>0</v>
      </c>
      <c r="P71" s="62">
        <v>170073</v>
      </c>
      <c r="Q71" s="58">
        <v>10</v>
      </c>
      <c r="R71" s="34" t="str">
        <f t="shared" ref="R71:R72" si="69">CONCATENATE(Z71,AS$2,AA71,AT$2,AB71,AS$2,AC71)</f>
        <v>102:160|104:3955</v>
      </c>
      <c r="S71" s="34" t="str">
        <f t="shared" ref="S71:S72" si="70">CONCATENATE(X71,AS$2,Y71,AT$2,AB71,AS$2,AC71)</f>
        <v>101:160|104:3955</v>
      </c>
      <c r="T71" s="34" t="str">
        <f t="shared" ref="T71:T72" si="71">CONCATENATE(X71,AS$2,Y71,AT$2,Z71,AS$2,AA71)</f>
        <v>101:160|102:160</v>
      </c>
      <c r="U71" s="34" t="str">
        <f t="shared" ref="U71:U72" si="72">CONCATENATE(Z71,AS$2,AA71*5,AT$2,AB71,AS$2,AC71*5)</f>
        <v>102:800|104:19775</v>
      </c>
      <c r="V71" s="34" t="str">
        <f t="shared" ref="V71:V72" si="73">CONCATENATE(X71,AS$2,Y71*5,AT$2,AB71,AS$2,AC71*5)</f>
        <v>101:800|104:19775</v>
      </c>
      <c r="W71" s="34" t="str">
        <f t="shared" ref="W71:W72" si="74">CONCATENATE(X71,AS$2,Y71*5,AT$2,Z71,AS$2,AA71*5)</f>
        <v>101:800|102:800</v>
      </c>
      <c r="X71" s="34">
        <v>101</v>
      </c>
      <c r="Y71" s="35">
        <f t="shared" si="46"/>
        <v>160</v>
      </c>
      <c r="Z71" s="34">
        <v>102</v>
      </c>
      <c r="AA71" s="35">
        <f t="shared" si="47"/>
        <v>160</v>
      </c>
      <c r="AB71" s="34">
        <v>104</v>
      </c>
      <c r="AC71" s="35">
        <f t="shared" si="48"/>
        <v>3955</v>
      </c>
      <c r="AD71" s="14" t="str">
        <f t="shared" si="57"/>
        <v>无法无天\n被动属性:\n防御力+160\n生命值+3955\n使用属性:\n防御力+800\n生命值+19775\n</v>
      </c>
      <c r="AE71" s="14" t="str">
        <f t="shared" si="58"/>
        <v>无法无天\n被动属性:\n攻击力+160\n生命值+3955\n使用属性:\n攻击力+800\n生命值+19775\n</v>
      </c>
      <c r="AF71" s="14" t="str">
        <f t="shared" si="59"/>
        <v>无法无天\n被动属性:\n攻击力+160\n防御力+160\n使用属性:\n攻击力+800\n防御力+800\n</v>
      </c>
      <c r="AG71" s="34" t="str">
        <f>VLOOKUP(X71,[1]CharPropertyConfig!$A:$B,2,FALSE)</f>
        <v>攻击力</v>
      </c>
      <c r="AH71" s="34" t="str">
        <f>VLOOKUP(Z71,[1]CharPropertyConfig!$A:$B,2,FALSE)</f>
        <v>防御力</v>
      </c>
      <c r="AI71" s="34" t="str">
        <f>VLOOKUP(AB71,[1]CharPropertyConfig!$A:$B,2,FALSE)</f>
        <v>生命值</v>
      </c>
      <c r="AJ71" s="14">
        <f t="shared" si="49"/>
        <v>50000</v>
      </c>
      <c r="AK71" s="34">
        <f t="shared" si="50"/>
        <v>0.11953999999999999</v>
      </c>
      <c r="AL71" s="34">
        <f t="shared" si="51"/>
        <v>0.59770000000000001</v>
      </c>
      <c r="AM71" s="34" t="e">
        <f>INDEX([2]achievement!$B:$B,MATCH(SUMIFS([3]ItemConfig!$A:$A,[3]ItemConfig!$T:$T,"add_title",[3]ItemConfig!$U:$U,A71),[2]achievement!$H:$H,0))</f>
        <v>#VALUE!</v>
      </c>
      <c r="AO71" s="34" t="str">
        <f t="shared" si="52"/>
        <v>[ffffffFF]无法无天[-]</v>
      </c>
      <c r="AP71" s="36" t="s">
        <v>209</v>
      </c>
      <c r="AQ71" s="35" t="str">
        <f t="shared" ref="AQ71" si="75">RIGHTB(AO71,LENB(AO71)-20)</f>
        <v>]</v>
      </c>
      <c r="AR71" s="36" t="s">
        <v>209</v>
      </c>
      <c r="AS71" s="37"/>
      <c r="AT71" s="38" t="s">
        <v>44</v>
      </c>
      <c r="AU71" s="38" t="s">
        <v>44</v>
      </c>
      <c r="AV71" s="12">
        <f t="shared" si="53"/>
        <v>35862</v>
      </c>
      <c r="AW71" s="12">
        <f t="shared" si="54"/>
        <v>10</v>
      </c>
      <c r="AX71" s="14" t="str">
        <f t="shared" si="61"/>
        <v/>
      </c>
    </row>
    <row r="72" spans="1:50" ht="12">
      <c r="A72" s="14">
        <v>108</v>
      </c>
      <c r="B72" s="53" t="s">
        <v>70</v>
      </c>
      <c r="C72" s="24" t="str">
        <f t="shared" ref="C72:C90" si="76">IFERROR(IF(AN72="",CONCATENATE("完成“",AM72,"”成就可获得此称号"),AN72),"特殊活动产出")</f>
        <v>特殊活动产出</v>
      </c>
      <c r="D72" s="24" t="s">
        <v>335</v>
      </c>
      <c r="E72" s="26" t="str">
        <f t="shared" ca="1" si="44"/>
        <v>101:375|102:375</v>
      </c>
      <c r="F72" s="26" t="str">
        <f t="shared" ref="F72:F91" ca="1" si="77">OFFSET(R72,0,J72-1,1,1)</f>
        <v>101:75|102:75</v>
      </c>
      <c r="G72" s="24">
        <f t="shared" ref="G72:G76" si="78">H72*5</f>
        <v>13975</v>
      </c>
      <c r="H72" s="26">
        <f t="shared" si="56"/>
        <v>2795</v>
      </c>
      <c r="I72" s="42">
        <v>6</v>
      </c>
      <c r="J72" s="28">
        <v>3</v>
      </c>
      <c r="K72" s="26">
        <v>1</v>
      </c>
      <c r="L72" s="24">
        <v>3</v>
      </c>
      <c r="M72" s="24" t="s">
        <v>102</v>
      </c>
      <c r="N72" s="23" t="s">
        <v>215</v>
      </c>
      <c r="O72" s="58">
        <v>0</v>
      </c>
      <c r="P72" s="62">
        <v>170078</v>
      </c>
      <c r="Q72" s="58">
        <v>10</v>
      </c>
      <c r="R72" s="12" t="str">
        <f t="shared" si="69"/>
        <v>102:75|104:1840</v>
      </c>
      <c r="S72" s="12" t="str">
        <f t="shared" si="70"/>
        <v>101:75|104:1840</v>
      </c>
      <c r="T72" s="12" t="str">
        <f t="shared" si="71"/>
        <v>101:75|102:75</v>
      </c>
      <c r="U72" s="12" t="str">
        <f t="shared" si="72"/>
        <v>102:375|104:9200</v>
      </c>
      <c r="V72" s="12" t="str">
        <f t="shared" si="73"/>
        <v>101:375|104:9200</v>
      </c>
      <c r="W72" s="12" t="str">
        <f t="shared" si="74"/>
        <v>101:375|102:375</v>
      </c>
      <c r="X72" s="12">
        <v>101</v>
      </c>
      <c r="Y72" s="14">
        <f t="shared" si="46"/>
        <v>75</v>
      </c>
      <c r="Z72" s="12">
        <v>102</v>
      </c>
      <c r="AA72" s="14">
        <f t="shared" si="47"/>
        <v>75</v>
      </c>
      <c r="AB72" s="12">
        <v>104</v>
      </c>
      <c r="AC72" s="14">
        <f t="shared" si="48"/>
        <v>1840</v>
      </c>
      <c r="AD72" s="14" t="str">
        <f t="shared" si="57"/>
        <v>[C776F3FF]战争之王[-]\n被动属性:\n防御力+75\n生命值+1840\n使用属性:\n防御力+375\n生命值+9200\n</v>
      </c>
      <c r="AE72" s="14" t="str">
        <f t="shared" si="58"/>
        <v>[C776F3FF]战争之王[-]\n被动属性:\n攻击力+75\n生命值+1840\n使用属性:\n攻击力+375\n生命值+9200\n</v>
      </c>
      <c r="AF72" s="14" t="str">
        <f t="shared" si="59"/>
        <v>[C776F3FF]战争之王[-]\n被动属性:\n攻击力+75\n防御力+75\n使用属性:\n攻击力+375\n防御力+375\n</v>
      </c>
      <c r="AG72" s="12" t="str">
        <f>VLOOKUP(X72,[1]CharPropertyConfig!$A:$B,2,FALSE)</f>
        <v>攻击力</v>
      </c>
      <c r="AH72" s="12" t="str">
        <f>VLOOKUP(Z72,[1]CharPropertyConfig!$A:$B,2,FALSE)</f>
        <v>防御力</v>
      </c>
      <c r="AI72" s="12" t="str">
        <f>VLOOKUP(AB72,[1]CharPropertyConfig!$A:$B,2,FALSE)</f>
        <v>生命值</v>
      </c>
      <c r="AJ72" s="14">
        <f t="shared" si="49"/>
        <v>6480</v>
      </c>
      <c r="AK72" s="12">
        <f t="shared" si="50"/>
        <v>0.43132716049382713</v>
      </c>
      <c r="AL72" s="12">
        <f t="shared" si="51"/>
        <v>2.1566358024691357</v>
      </c>
      <c r="AM72" s="12" t="e">
        <f>INDEX([2]achievement!$B:$B,MATCH(SUMIFS([3]ItemConfig!$A:$A,[3]ItemConfig!$T:$T,"add_title",[3]ItemConfig!$U:$U,A72),[2]achievement!$H:$H,0))</f>
        <v>#VALUE!</v>
      </c>
      <c r="AO72" s="12" t="str">
        <f t="shared" si="52"/>
        <v>[C776F3FF][C776F3FF]战争之王[-][-]</v>
      </c>
      <c r="AP72" s="22"/>
      <c r="AQ72" s="14"/>
      <c r="AR72" s="22"/>
      <c r="AT72" s="20"/>
      <c r="AU72" s="20"/>
      <c r="AV72" s="12">
        <f t="shared" si="53"/>
        <v>16770</v>
      </c>
      <c r="AW72" s="12">
        <f t="shared" si="54"/>
        <v>6</v>
      </c>
      <c r="AX72" s="14" t="str">
        <f t="shared" si="61"/>
        <v/>
      </c>
    </row>
    <row r="73" spans="1:50" ht="12">
      <c r="A73" s="14">
        <v>109</v>
      </c>
      <c r="B73" s="54" t="s">
        <v>71</v>
      </c>
      <c r="C73" s="24" t="str">
        <f t="shared" si="76"/>
        <v>特殊活动产出</v>
      </c>
      <c r="D73" s="24" t="s">
        <v>336</v>
      </c>
      <c r="E73" s="26" t="str">
        <f t="shared" ca="1" si="44"/>
        <v>101:375|102:375</v>
      </c>
      <c r="F73" s="26" t="str">
        <f t="shared" ca="1" si="77"/>
        <v>101:75|102:75</v>
      </c>
      <c r="G73" s="24">
        <f t="shared" si="78"/>
        <v>13975</v>
      </c>
      <c r="H73" s="26">
        <f t="shared" si="56"/>
        <v>2795</v>
      </c>
      <c r="I73" s="42">
        <v>6</v>
      </c>
      <c r="J73" s="28">
        <v>3</v>
      </c>
      <c r="K73" s="26">
        <v>1</v>
      </c>
      <c r="L73" s="24">
        <v>3</v>
      </c>
      <c r="M73" s="24" t="s">
        <v>102</v>
      </c>
      <c r="N73" s="23" t="s">
        <v>215</v>
      </c>
      <c r="O73" s="58">
        <v>0</v>
      </c>
      <c r="P73" s="62">
        <v>170079</v>
      </c>
      <c r="Q73" s="58">
        <v>10</v>
      </c>
      <c r="R73" s="12" t="str">
        <f t="shared" ref="R73:R76" si="79">CONCATENATE(Z73,AS$2,AA73,AT$2,AB73,AS$2,AC73)</f>
        <v>102:75|104:1840</v>
      </c>
      <c r="S73" s="12" t="str">
        <f t="shared" ref="S73:S76" si="80">CONCATENATE(X73,AS$2,Y73,AT$2,AB73,AS$2,AC73)</f>
        <v>101:75|104:1840</v>
      </c>
      <c r="T73" s="12" t="str">
        <f t="shared" ref="T73:T76" si="81">CONCATENATE(X73,AS$2,Y73,AT$2,Z73,AS$2,AA73)</f>
        <v>101:75|102:75</v>
      </c>
      <c r="U73" s="12" t="str">
        <f t="shared" ref="U73:U76" si="82">CONCATENATE(Z73,AS$2,AA73*5,AT$2,AB73,AS$2,AC73*5)</f>
        <v>102:375|104:9200</v>
      </c>
      <c r="V73" s="12" t="str">
        <f t="shared" ref="V73:V76" si="83">CONCATENATE(X73,AS$2,Y73*5,AT$2,AB73,AS$2,AC73*5)</f>
        <v>101:375|104:9200</v>
      </c>
      <c r="W73" s="12" t="str">
        <f t="shared" ref="W73:W76" si="84">CONCATENATE(X73,AS$2,Y73*5,AT$2,Z73,AS$2,AA73*5)</f>
        <v>101:375|102:375</v>
      </c>
      <c r="X73" s="12">
        <v>101</v>
      </c>
      <c r="Y73" s="14">
        <f t="shared" si="46"/>
        <v>75</v>
      </c>
      <c r="Z73" s="12">
        <v>102</v>
      </c>
      <c r="AA73" s="14">
        <f t="shared" si="47"/>
        <v>75</v>
      </c>
      <c r="AB73" s="12">
        <v>104</v>
      </c>
      <c r="AC73" s="14">
        <f t="shared" si="48"/>
        <v>1840</v>
      </c>
      <c r="AD73" s="14" t="str">
        <f t="shared" si="57"/>
        <v>[C776F3FF]裁决者[-]\n被动属性:\n防御力+75\n生命值+1840\n使用属性:\n防御力+375\n生命值+9200\n</v>
      </c>
      <c r="AE73" s="14" t="str">
        <f t="shared" si="58"/>
        <v>[C776F3FF]裁决者[-]\n被动属性:\n攻击力+75\n生命值+1840\n使用属性:\n攻击力+375\n生命值+9200\n</v>
      </c>
      <c r="AF73" s="14" t="str">
        <f t="shared" si="59"/>
        <v>[C776F3FF]裁决者[-]\n被动属性:\n攻击力+75\n防御力+75\n使用属性:\n攻击力+375\n防御力+375\n</v>
      </c>
      <c r="AG73" s="12" t="str">
        <f>VLOOKUP(X73,[1]CharPropertyConfig!$A:$B,2,FALSE)</f>
        <v>攻击力</v>
      </c>
      <c r="AH73" s="12" t="str">
        <f>VLOOKUP(Z73,[1]CharPropertyConfig!$A:$B,2,FALSE)</f>
        <v>防御力</v>
      </c>
      <c r="AI73" s="12" t="str">
        <f>VLOOKUP(AB73,[1]CharPropertyConfig!$A:$B,2,FALSE)</f>
        <v>生命值</v>
      </c>
      <c r="AJ73" s="14">
        <f t="shared" si="49"/>
        <v>6480</v>
      </c>
      <c r="AK73" s="12">
        <f t="shared" si="50"/>
        <v>0.43132716049382713</v>
      </c>
      <c r="AL73" s="12">
        <f t="shared" si="51"/>
        <v>2.1566358024691357</v>
      </c>
      <c r="AM73" s="12" t="e">
        <f>INDEX([2]achievement!$B:$B,MATCH(SUMIFS([3]ItemConfig!$A:$A,[3]ItemConfig!$T:$T,"add_title",[3]ItemConfig!$U:$U,A73),[2]achievement!$H:$H,0))</f>
        <v>#VALUE!</v>
      </c>
      <c r="AO73" s="12" t="str">
        <f t="shared" si="52"/>
        <v>[C776F3FF][C776F3FF]裁决者[-][-]</v>
      </c>
      <c r="AP73" s="22"/>
      <c r="AQ73" s="14"/>
      <c r="AR73" s="22"/>
      <c r="AT73" s="20"/>
      <c r="AU73" s="20"/>
      <c r="AV73" s="12">
        <f t="shared" si="53"/>
        <v>16770</v>
      </c>
      <c r="AW73" s="12">
        <f t="shared" si="54"/>
        <v>6</v>
      </c>
      <c r="AX73" s="14" t="str">
        <f t="shared" si="61"/>
        <v/>
      </c>
    </row>
    <row r="74" spans="1:50" ht="12">
      <c r="A74" s="14">
        <v>110</v>
      </c>
      <c r="B74" s="55" t="s">
        <v>318</v>
      </c>
      <c r="C74" s="24" t="s">
        <v>308</v>
      </c>
      <c r="D74" s="24" t="s">
        <v>337</v>
      </c>
      <c r="E74" s="26" t="str">
        <f t="shared" ca="1" si="44"/>
        <v>101:375|104:9200</v>
      </c>
      <c r="F74" s="26" t="str">
        <f t="shared" ca="1" si="77"/>
        <v>101:75|104:1840</v>
      </c>
      <c r="G74" s="24">
        <f t="shared" si="78"/>
        <v>13975</v>
      </c>
      <c r="H74" s="26">
        <f t="shared" si="56"/>
        <v>2795</v>
      </c>
      <c r="I74" s="42">
        <v>6</v>
      </c>
      <c r="J74" s="28">
        <v>2</v>
      </c>
      <c r="K74" s="26">
        <v>1</v>
      </c>
      <c r="L74" s="24">
        <v>3</v>
      </c>
      <c r="M74" s="24" t="s">
        <v>102</v>
      </c>
      <c r="N74" s="23" t="s">
        <v>215</v>
      </c>
      <c r="O74" s="58">
        <v>0</v>
      </c>
      <c r="P74" s="62">
        <v>170080</v>
      </c>
      <c r="Q74" s="58">
        <v>10</v>
      </c>
      <c r="R74" s="12" t="str">
        <f t="shared" si="79"/>
        <v>102:75|104:1840</v>
      </c>
      <c r="S74" s="12" t="str">
        <f t="shared" si="80"/>
        <v>101:75|104:1840</v>
      </c>
      <c r="T74" s="12" t="str">
        <f t="shared" si="81"/>
        <v>101:75|102:75</v>
      </c>
      <c r="U74" s="12" t="str">
        <f t="shared" si="82"/>
        <v>102:375|104:9200</v>
      </c>
      <c r="V74" s="12" t="str">
        <f t="shared" si="83"/>
        <v>101:375|104:9200</v>
      </c>
      <c r="W74" s="12" t="str">
        <f t="shared" si="84"/>
        <v>101:375|102:375</v>
      </c>
      <c r="X74" s="12">
        <v>101</v>
      </c>
      <c r="Y74" s="14">
        <f t="shared" si="46"/>
        <v>75</v>
      </c>
      <c r="Z74" s="12">
        <v>102</v>
      </c>
      <c r="AA74" s="14">
        <f t="shared" si="47"/>
        <v>75</v>
      </c>
      <c r="AB74" s="12">
        <v>104</v>
      </c>
      <c r="AC74" s="14">
        <f t="shared" si="48"/>
        <v>1840</v>
      </c>
      <c r="AD74" s="14" t="str">
        <f t="shared" si="57"/>
        <v>[C776F3FF]威震八方[-]\n被动属性:\n防御力+75\n生命值+1840\n使用属性:\n防御力+375\n生命值+9200\n</v>
      </c>
      <c r="AE74" s="14" t="str">
        <f t="shared" si="58"/>
        <v>[C776F3FF]威震八方[-]\n被动属性:\n攻击力+75\n生命值+1840\n使用属性:\n攻击力+375\n生命值+9200\n</v>
      </c>
      <c r="AF74" s="14" t="str">
        <f t="shared" si="59"/>
        <v>[C776F3FF]威震八方[-]\n被动属性:\n攻击力+75\n防御力+75\n使用属性:\n攻击力+375\n防御力+375\n</v>
      </c>
      <c r="AG74" s="12" t="str">
        <f>VLOOKUP(X74,[1]CharPropertyConfig!$A:$B,2,FALSE)</f>
        <v>攻击力</v>
      </c>
      <c r="AH74" s="12" t="str">
        <f>VLOOKUP(Z74,[1]CharPropertyConfig!$A:$B,2,FALSE)</f>
        <v>防御力</v>
      </c>
      <c r="AI74" s="12" t="str">
        <f>VLOOKUP(AB74,[1]CharPropertyConfig!$A:$B,2,FALSE)</f>
        <v>生命值</v>
      </c>
      <c r="AJ74" s="14">
        <f t="shared" si="49"/>
        <v>6480</v>
      </c>
      <c r="AK74" s="12">
        <f t="shared" si="50"/>
        <v>0.43132716049382713</v>
      </c>
      <c r="AL74" s="12">
        <f t="shared" si="51"/>
        <v>2.1566358024691357</v>
      </c>
      <c r="AM74" s="12" t="e">
        <f>INDEX([2]achievement!$B:$B,MATCH(SUMIFS([3]ItemConfig!$A:$A,[3]ItemConfig!$T:$T,"add_title",[3]ItemConfig!$U:$U,A74),[2]achievement!$H:$H,0))</f>
        <v>#VALUE!</v>
      </c>
      <c r="AO74" s="12" t="str">
        <f t="shared" si="52"/>
        <v>[C776F3FF][C776F3FF]威震八方[-][-]</v>
      </c>
      <c r="AP74" s="22"/>
      <c r="AQ74" s="14"/>
      <c r="AR74" s="22"/>
      <c r="AT74" s="20"/>
      <c r="AU74" s="20"/>
      <c r="AV74" s="12">
        <f t="shared" si="53"/>
        <v>16770</v>
      </c>
      <c r="AW74" s="12">
        <f t="shared" si="54"/>
        <v>6</v>
      </c>
      <c r="AX74" s="14" t="str">
        <f t="shared" si="61"/>
        <v/>
      </c>
    </row>
    <row r="75" spans="1:50" ht="12">
      <c r="A75" s="14">
        <v>111</v>
      </c>
      <c r="B75" s="55" t="s">
        <v>283</v>
      </c>
      <c r="C75" s="24" t="str">
        <f t="shared" si="76"/>
        <v>特殊活动产出</v>
      </c>
      <c r="D75" s="24" t="s">
        <v>338</v>
      </c>
      <c r="E75" s="26" t="str">
        <f t="shared" ca="1" si="44"/>
        <v>101:150|104:3250</v>
      </c>
      <c r="F75" s="26" t="str">
        <f t="shared" ca="1" si="77"/>
        <v>101:30|104:650</v>
      </c>
      <c r="G75" s="24">
        <f t="shared" si="78"/>
        <v>5375</v>
      </c>
      <c r="H75" s="26">
        <f t="shared" si="56"/>
        <v>1075</v>
      </c>
      <c r="I75" s="42">
        <v>3</v>
      </c>
      <c r="J75" s="28">
        <v>2</v>
      </c>
      <c r="K75" s="26">
        <v>1</v>
      </c>
      <c r="L75" s="24">
        <v>3</v>
      </c>
      <c r="M75" s="24" t="s">
        <v>102</v>
      </c>
      <c r="N75" s="23" t="s">
        <v>215</v>
      </c>
      <c r="O75" s="58">
        <v>0</v>
      </c>
      <c r="P75" s="62">
        <v>170081</v>
      </c>
      <c r="Q75" s="58">
        <v>10</v>
      </c>
      <c r="R75" s="12" t="str">
        <f t="shared" si="79"/>
        <v>102:30|104:650</v>
      </c>
      <c r="S75" s="12" t="str">
        <f t="shared" si="80"/>
        <v>101:30|104:650</v>
      </c>
      <c r="T75" s="12" t="str">
        <f t="shared" si="81"/>
        <v>101:30|102:30</v>
      </c>
      <c r="U75" s="12" t="str">
        <f t="shared" si="82"/>
        <v>102:150|104:3250</v>
      </c>
      <c r="V75" s="12" t="str">
        <f t="shared" si="83"/>
        <v>101:150|104:3250</v>
      </c>
      <c r="W75" s="12" t="str">
        <f t="shared" si="84"/>
        <v>101:150|102:150</v>
      </c>
      <c r="X75" s="12">
        <v>101</v>
      </c>
      <c r="Y75" s="14">
        <f t="shared" si="46"/>
        <v>30</v>
      </c>
      <c r="Z75" s="12">
        <v>102</v>
      </c>
      <c r="AA75" s="14">
        <f t="shared" si="47"/>
        <v>30</v>
      </c>
      <c r="AB75" s="12">
        <v>104</v>
      </c>
      <c r="AC75" s="14">
        <f t="shared" si="48"/>
        <v>650</v>
      </c>
      <c r="AD75" s="14" t="str">
        <f t="shared" si="57"/>
        <v>[76CBF3FF]身经百战[-]\n被动属性:\n防御力+30\n生命值+650\n使用属性:\n防御力+150\n生命值+3250\n</v>
      </c>
      <c r="AE75" s="14" t="str">
        <f t="shared" si="58"/>
        <v>[76CBF3FF]身经百战[-]\n被动属性:\n攻击力+30\n生命值+650\n使用属性:\n攻击力+150\n生命值+3250\n</v>
      </c>
      <c r="AF75" s="14" t="str">
        <f t="shared" si="59"/>
        <v>[76CBF3FF]身经百战[-]\n被动属性:\n攻击力+30\n防御力+30\n使用属性:\n攻击力+150\n防御力+150\n</v>
      </c>
      <c r="AG75" s="12" t="str">
        <f>VLOOKUP(X75,[1]CharPropertyConfig!$A:$B,2,FALSE)</f>
        <v>攻击力</v>
      </c>
      <c r="AH75" s="12" t="str">
        <f>VLOOKUP(Z75,[1]CharPropertyConfig!$A:$B,2,FALSE)</f>
        <v>防御力</v>
      </c>
      <c r="AI75" s="12" t="str">
        <f>VLOOKUP(AB75,[1]CharPropertyConfig!$A:$B,2,FALSE)</f>
        <v>生命值</v>
      </c>
      <c r="AJ75" s="14">
        <f t="shared" si="49"/>
        <v>410</v>
      </c>
      <c r="AK75" s="12">
        <f t="shared" si="50"/>
        <v>2.6219512195121952</v>
      </c>
      <c r="AL75" s="12">
        <f t="shared" si="51"/>
        <v>13.109756097560975</v>
      </c>
      <c r="AM75" s="12" t="e">
        <f>INDEX([2]achievement!$B:$B,MATCH(SUMIFS([3]ItemConfig!$A:$A,[3]ItemConfig!$T:$T,"add_title",[3]ItemConfig!$U:$U,A75),[2]achievement!$H:$H,0))</f>
        <v>#VALUE!</v>
      </c>
      <c r="AO75" s="12" t="str">
        <f t="shared" si="52"/>
        <v>[76CBF3FF][76CBF3FF]身经百战[-][-]</v>
      </c>
      <c r="AP75" s="22"/>
      <c r="AQ75" s="14"/>
      <c r="AR75" s="22"/>
      <c r="AT75" s="20"/>
      <c r="AU75" s="20"/>
      <c r="AV75" s="12">
        <f t="shared" si="53"/>
        <v>6450</v>
      </c>
      <c r="AW75" s="12">
        <f t="shared" si="54"/>
        <v>3</v>
      </c>
      <c r="AX75" s="14" t="str">
        <f t="shared" si="61"/>
        <v/>
      </c>
    </row>
    <row r="76" spans="1:50" ht="12">
      <c r="A76" s="14">
        <v>112</v>
      </c>
      <c r="B76" s="55" t="s">
        <v>237</v>
      </c>
      <c r="C76" s="24" t="str">
        <f t="shared" si="76"/>
        <v>特殊活动产出</v>
      </c>
      <c r="D76" s="24" t="s">
        <v>339</v>
      </c>
      <c r="E76" s="26" t="str">
        <f t="shared" ca="1" si="44"/>
        <v>102:200|104:5000</v>
      </c>
      <c r="F76" s="26" t="str">
        <f t="shared" ca="1" si="77"/>
        <v>102:40|104:1000</v>
      </c>
      <c r="G76" s="24">
        <f t="shared" si="78"/>
        <v>7500</v>
      </c>
      <c r="H76" s="26">
        <f t="shared" si="56"/>
        <v>1500</v>
      </c>
      <c r="I76" s="42">
        <v>4</v>
      </c>
      <c r="J76" s="24">
        <v>1</v>
      </c>
      <c r="K76" s="26">
        <v>1</v>
      </c>
      <c r="L76" s="24">
        <v>3</v>
      </c>
      <c r="M76" s="24" t="s">
        <v>102</v>
      </c>
      <c r="N76" s="23" t="s">
        <v>215</v>
      </c>
      <c r="O76" s="58">
        <v>0</v>
      </c>
      <c r="P76" s="62">
        <v>170082</v>
      </c>
      <c r="Q76" s="58">
        <v>10</v>
      </c>
      <c r="R76" s="12" t="str">
        <f t="shared" si="79"/>
        <v>102:40|104:1000</v>
      </c>
      <c r="S76" s="12" t="str">
        <f t="shared" si="80"/>
        <v>101:40|104:1000</v>
      </c>
      <c r="T76" s="12" t="str">
        <f t="shared" si="81"/>
        <v>101:40|102:40</v>
      </c>
      <c r="U76" s="12" t="str">
        <f t="shared" si="82"/>
        <v>102:200|104:5000</v>
      </c>
      <c r="V76" s="12" t="str">
        <f t="shared" si="83"/>
        <v>101:200|104:5000</v>
      </c>
      <c r="W76" s="12" t="str">
        <f t="shared" si="84"/>
        <v>101:200|102:200</v>
      </c>
      <c r="X76" s="12">
        <v>101</v>
      </c>
      <c r="Y76" s="14">
        <f t="shared" si="46"/>
        <v>40</v>
      </c>
      <c r="Z76" s="12">
        <v>102</v>
      </c>
      <c r="AA76" s="14">
        <f t="shared" si="47"/>
        <v>40</v>
      </c>
      <c r="AB76" s="12">
        <v>104</v>
      </c>
      <c r="AC76" s="14">
        <f t="shared" si="48"/>
        <v>1000</v>
      </c>
      <c r="AD76" s="14" t="str">
        <f t="shared" si="57"/>
        <v>[76CBF3FF]战争狂人[-]\n被动属性:\n防御力+40\n生命值+1000\n使用属性:\n防御力+200\n生命值+5000\n</v>
      </c>
      <c r="AE76" s="14" t="str">
        <f t="shared" si="58"/>
        <v>[76CBF3FF]战争狂人[-]\n被动属性:\n攻击力+40\n生命值+1000\n使用属性:\n攻击力+200\n生命值+5000\n</v>
      </c>
      <c r="AF76" s="14" t="str">
        <f t="shared" si="59"/>
        <v>[76CBF3FF]战争狂人[-]\n被动属性:\n攻击力+40\n防御力+40\n使用属性:\n攻击力+200\n防御力+200\n</v>
      </c>
      <c r="AG76" s="12" t="str">
        <f>VLOOKUP(X76,[1]CharPropertyConfig!$A:$B,2,FALSE)</f>
        <v>攻击力</v>
      </c>
      <c r="AH76" s="12" t="str">
        <f>VLOOKUP(Z76,[1]CharPropertyConfig!$A:$B,2,FALSE)</f>
        <v>防御力</v>
      </c>
      <c r="AI76" s="12" t="str">
        <f>VLOOKUP(AB76,[1]CharPropertyConfig!$A:$B,2,FALSE)</f>
        <v>生命值</v>
      </c>
      <c r="AJ76" s="14">
        <f t="shared" si="49"/>
        <v>1280</v>
      </c>
      <c r="AK76" s="12">
        <f t="shared" si="50"/>
        <v>1.171875</v>
      </c>
      <c r="AL76" s="12">
        <f t="shared" si="51"/>
        <v>5.859375</v>
      </c>
      <c r="AM76" s="12" t="e">
        <f>INDEX([2]achievement!$B:$B,MATCH(SUMIFS([3]ItemConfig!$A:$A,[3]ItemConfig!$T:$T,"add_title",[3]ItemConfig!$U:$U,A76),[2]achievement!$H:$H,0))</f>
        <v>#VALUE!</v>
      </c>
      <c r="AO76" s="12" t="str">
        <f t="shared" si="52"/>
        <v>[76CBF3FF][76CBF3FF]战争狂人[-][-]</v>
      </c>
      <c r="AP76" s="22"/>
      <c r="AQ76" s="14"/>
      <c r="AR76" s="22"/>
      <c r="AT76" s="20"/>
      <c r="AU76" s="20"/>
      <c r="AV76" s="12">
        <f t="shared" si="53"/>
        <v>9000</v>
      </c>
      <c r="AW76" s="12">
        <f t="shared" si="54"/>
        <v>4</v>
      </c>
      <c r="AX76" s="14" t="str">
        <f t="shared" si="61"/>
        <v/>
      </c>
    </row>
    <row r="77" spans="1:50" ht="12">
      <c r="A77" s="14">
        <v>113</v>
      </c>
      <c r="B77" s="10" t="s">
        <v>222</v>
      </c>
      <c r="C77" s="24" t="str">
        <f t="shared" si="76"/>
        <v>特殊活动产出</v>
      </c>
      <c r="D77" s="24" t="s">
        <v>340</v>
      </c>
      <c r="E77" s="26" t="str">
        <f t="shared" ca="1" si="44"/>
        <v>101:300|104:7000</v>
      </c>
      <c r="F77" s="26" t="str">
        <f t="shared" ca="1" si="77"/>
        <v>101:60|104:1400</v>
      </c>
      <c r="G77" s="24">
        <f t="shared" ref="G77:G90" si="85">H77*5</f>
        <v>11000</v>
      </c>
      <c r="H77" s="26">
        <f t="shared" si="56"/>
        <v>2200</v>
      </c>
      <c r="I77" s="42">
        <v>5</v>
      </c>
      <c r="J77" s="28">
        <v>2</v>
      </c>
      <c r="K77" s="26">
        <v>1</v>
      </c>
      <c r="L77" s="24">
        <v>3</v>
      </c>
      <c r="M77" s="24" t="s">
        <v>102</v>
      </c>
      <c r="N77" s="23" t="s">
        <v>215</v>
      </c>
      <c r="O77" s="58">
        <v>0</v>
      </c>
      <c r="P77" s="62">
        <v>170083</v>
      </c>
      <c r="Q77" s="58">
        <v>10</v>
      </c>
      <c r="R77" s="12" t="str">
        <f t="shared" ref="R77:R90" si="86">CONCATENATE(Z77,AS$2,AA77,AT$2,AB77,AS$2,AC77)</f>
        <v>102:60|104:1400</v>
      </c>
      <c r="S77" s="12" t="str">
        <f t="shared" ref="S77:S90" si="87">CONCATENATE(X77,AS$2,Y77,AT$2,AB77,AS$2,AC77)</f>
        <v>101:60|104:1400</v>
      </c>
      <c r="T77" s="12" t="str">
        <f t="shared" ref="T77:T90" si="88">CONCATENATE(X77,AS$2,Y77,AT$2,Z77,AS$2,AA77)</f>
        <v>101:60|102:60</v>
      </c>
      <c r="U77" s="12" t="str">
        <f t="shared" ref="U77:U90" si="89">CONCATENATE(Z77,AS$2,AA77*5,AT$2,AB77,AS$2,AC77*5)</f>
        <v>102:300|104:7000</v>
      </c>
      <c r="V77" s="12" t="str">
        <f t="shared" ref="V77:V90" si="90">CONCATENATE(X77,AS$2,Y77*5,AT$2,AB77,AS$2,AC77*5)</f>
        <v>101:300|104:7000</v>
      </c>
      <c r="W77" s="12" t="str">
        <f t="shared" ref="W77:W90" si="91">CONCATENATE(X77,AS$2,Y77*5,AT$2,Z77,AS$2,AA77*5)</f>
        <v>101:300|102:300</v>
      </c>
      <c r="X77" s="12">
        <v>101</v>
      </c>
      <c r="Y77" s="14">
        <f t="shared" si="46"/>
        <v>60</v>
      </c>
      <c r="Z77" s="12">
        <v>102</v>
      </c>
      <c r="AA77" s="14">
        <f t="shared" si="47"/>
        <v>60</v>
      </c>
      <c r="AB77" s="12">
        <v>104</v>
      </c>
      <c r="AC77" s="14">
        <f t="shared" si="48"/>
        <v>1400</v>
      </c>
      <c r="AD77" s="14" t="str">
        <f t="shared" si="57"/>
        <v>称号:神选者\n被动属性:\n防御力+60\n生命值+1400\n使用属性:\n防御力+300\n生命值+7000\n</v>
      </c>
      <c r="AE77" s="14" t="str">
        <f t="shared" si="58"/>
        <v>称号:神选者\n被动属性:\n攻击力+60\n生命值+1400\n使用属性:\n攻击力+300\n生命值+7000\n</v>
      </c>
      <c r="AF77" s="14" t="str">
        <f t="shared" si="59"/>
        <v>称号:神选者\n被动属性:\n攻击力+60\n防御力+60\n使用属性:\n攻击力+300\n防御力+300\n</v>
      </c>
      <c r="AG77" s="12" t="str">
        <f>VLOOKUP(X77,[1]CharPropertyConfig!$A:$B,2,FALSE)</f>
        <v>攻击力</v>
      </c>
      <c r="AH77" s="12" t="str">
        <f>VLOOKUP(Z77,[1]CharPropertyConfig!$A:$B,2,FALSE)</f>
        <v>防御力</v>
      </c>
      <c r="AI77" s="12" t="str">
        <f>VLOOKUP(AB77,[1]CharPropertyConfig!$A:$B,2,FALSE)</f>
        <v>生命值</v>
      </c>
      <c r="AJ77" s="14">
        <f t="shared" si="49"/>
        <v>3130</v>
      </c>
      <c r="AK77" s="12">
        <f t="shared" si="50"/>
        <v>0.70287539936102239</v>
      </c>
      <c r="AL77" s="12">
        <f t="shared" si="51"/>
        <v>3.5143769968051117</v>
      </c>
      <c r="AM77" s="12" t="e">
        <f>INDEX([2]achievement!$B:$B,MATCH(SUMIFS([3]ItemConfig!$A:$A,[3]ItemConfig!$T:$T,"add_title",[3]ItemConfig!$U:$U,A77),[2]achievement!$H:$H,0))</f>
        <v>#VALUE!</v>
      </c>
      <c r="AO77" s="12" t="str">
        <f t="shared" si="52"/>
        <v>[C776F3FF]称号:神选者[-]</v>
      </c>
      <c r="AR77" s="10" t="s">
        <v>222</v>
      </c>
      <c r="AX77" s="14" t="str">
        <f t="shared" si="61"/>
        <v/>
      </c>
    </row>
    <row r="78" spans="1:50" ht="12">
      <c r="A78" s="14">
        <v>114</v>
      </c>
      <c r="B78" s="10" t="s">
        <v>223</v>
      </c>
      <c r="C78" s="24" t="str">
        <f t="shared" si="76"/>
        <v>特殊活动产出</v>
      </c>
      <c r="D78" s="24" t="s">
        <v>341</v>
      </c>
      <c r="E78" s="26" t="str">
        <f t="shared" ca="1" si="44"/>
        <v>101:300|102:300</v>
      </c>
      <c r="F78" s="26" t="str">
        <f t="shared" ca="1" si="77"/>
        <v>101:60|102:60</v>
      </c>
      <c r="G78" s="24">
        <f t="shared" si="85"/>
        <v>11000</v>
      </c>
      <c r="H78" s="26">
        <f t="shared" si="56"/>
        <v>2200</v>
      </c>
      <c r="I78" s="42">
        <v>5</v>
      </c>
      <c r="J78" s="28">
        <v>3</v>
      </c>
      <c r="K78" s="26">
        <v>1</v>
      </c>
      <c r="L78" s="24">
        <v>3</v>
      </c>
      <c r="M78" s="24" t="s">
        <v>102</v>
      </c>
      <c r="N78" s="23" t="s">
        <v>215</v>
      </c>
      <c r="O78" s="58">
        <v>0</v>
      </c>
      <c r="P78" s="62">
        <v>170084</v>
      </c>
      <c r="Q78" s="58">
        <v>10</v>
      </c>
      <c r="R78" s="12" t="str">
        <f t="shared" si="86"/>
        <v>102:60|104:1400</v>
      </c>
      <c r="S78" s="12" t="str">
        <f t="shared" si="87"/>
        <v>101:60|104:1400</v>
      </c>
      <c r="T78" s="12" t="str">
        <f t="shared" si="88"/>
        <v>101:60|102:60</v>
      </c>
      <c r="U78" s="12" t="str">
        <f t="shared" si="89"/>
        <v>102:300|104:7000</v>
      </c>
      <c r="V78" s="12" t="str">
        <f t="shared" si="90"/>
        <v>101:300|104:7000</v>
      </c>
      <c r="W78" s="12" t="str">
        <f t="shared" si="91"/>
        <v>101:300|102:300</v>
      </c>
      <c r="X78" s="12">
        <v>101</v>
      </c>
      <c r="Y78" s="14">
        <f t="shared" si="46"/>
        <v>60</v>
      </c>
      <c r="Z78" s="12">
        <v>102</v>
      </c>
      <c r="AA78" s="14">
        <f t="shared" si="47"/>
        <v>60</v>
      </c>
      <c r="AB78" s="12">
        <v>104</v>
      </c>
      <c r="AC78" s="14">
        <f t="shared" si="48"/>
        <v>1400</v>
      </c>
      <c r="AD78" s="14" t="str">
        <f t="shared" si="57"/>
        <v>称号:天使降临\n被动属性:\n防御力+60\n生命值+1400\n使用属性:\n防御力+300\n生命值+7000\n</v>
      </c>
      <c r="AE78" s="14" t="str">
        <f t="shared" si="58"/>
        <v>称号:天使降临\n被动属性:\n攻击力+60\n生命值+1400\n使用属性:\n攻击力+300\n生命值+7000\n</v>
      </c>
      <c r="AF78" s="14" t="str">
        <f t="shared" si="59"/>
        <v>称号:天使降临\n被动属性:\n攻击力+60\n防御力+60\n使用属性:\n攻击力+300\n防御力+300\n</v>
      </c>
      <c r="AG78" s="12" t="str">
        <f>VLOOKUP(X78,[1]CharPropertyConfig!$A:$B,2,FALSE)</f>
        <v>攻击力</v>
      </c>
      <c r="AH78" s="12" t="str">
        <f>VLOOKUP(Z78,[1]CharPropertyConfig!$A:$B,2,FALSE)</f>
        <v>防御力</v>
      </c>
      <c r="AI78" s="12" t="str">
        <f>VLOOKUP(AB78,[1]CharPropertyConfig!$A:$B,2,FALSE)</f>
        <v>生命值</v>
      </c>
      <c r="AJ78" s="14">
        <f t="shared" si="49"/>
        <v>3130</v>
      </c>
      <c r="AK78" s="12">
        <f t="shared" si="50"/>
        <v>0.70287539936102239</v>
      </c>
      <c r="AL78" s="12">
        <f t="shared" si="51"/>
        <v>3.5143769968051117</v>
      </c>
      <c r="AM78" s="12" t="e">
        <f>INDEX([2]achievement!$B:$B,MATCH(SUMIFS([3]ItemConfig!$A:$A,[3]ItemConfig!$T:$T,"add_title",[3]ItemConfig!$U:$U,A78),[2]achievement!$H:$H,0))</f>
        <v>#VALUE!</v>
      </c>
      <c r="AO78" s="12" t="str">
        <f t="shared" si="52"/>
        <v>[C776F3FF]称号:天使降临[-]</v>
      </c>
      <c r="AR78" s="10" t="s">
        <v>223</v>
      </c>
      <c r="AX78" s="14" t="str">
        <f t="shared" si="61"/>
        <v/>
      </c>
    </row>
    <row r="79" spans="1:50" ht="12">
      <c r="A79" s="14">
        <v>115</v>
      </c>
      <c r="B79" s="10" t="s">
        <v>224</v>
      </c>
      <c r="C79" s="24" t="str">
        <f t="shared" si="76"/>
        <v>特殊活动产出</v>
      </c>
      <c r="D79" s="24" t="s">
        <v>342</v>
      </c>
      <c r="E79" s="26" t="str">
        <f t="shared" ca="1" si="44"/>
        <v>102:375|104:9200</v>
      </c>
      <c r="F79" s="26" t="str">
        <f t="shared" ca="1" si="77"/>
        <v>102:75|104:1840</v>
      </c>
      <c r="G79" s="24">
        <f t="shared" si="85"/>
        <v>13975</v>
      </c>
      <c r="H79" s="26">
        <f t="shared" si="56"/>
        <v>2795</v>
      </c>
      <c r="I79" s="42">
        <v>6</v>
      </c>
      <c r="J79" s="28">
        <v>1</v>
      </c>
      <c r="K79" s="26">
        <v>1</v>
      </c>
      <c r="L79" s="24">
        <v>3</v>
      </c>
      <c r="M79" s="24" t="s">
        <v>102</v>
      </c>
      <c r="N79" s="23" t="s">
        <v>215</v>
      </c>
      <c r="O79" s="58">
        <v>0</v>
      </c>
      <c r="P79" s="62">
        <v>170085</v>
      </c>
      <c r="Q79" s="58">
        <v>10</v>
      </c>
      <c r="R79" s="12" t="str">
        <f t="shared" si="86"/>
        <v>102:75|104:1840</v>
      </c>
      <c r="S79" s="12" t="str">
        <f t="shared" si="87"/>
        <v>101:75|104:1840</v>
      </c>
      <c r="T79" s="12" t="str">
        <f t="shared" si="88"/>
        <v>101:75|102:75</v>
      </c>
      <c r="U79" s="12" t="str">
        <f t="shared" si="89"/>
        <v>102:375|104:9200</v>
      </c>
      <c r="V79" s="12" t="str">
        <f t="shared" si="90"/>
        <v>101:375|104:9200</v>
      </c>
      <c r="W79" s="12" t="str">
        <f t="shared" si="91"/>
        <v>101:375|102:375</v>
      </c>
      <c r="X79" s="12">
        <v>101</v>
      </c>
      <c r="Y79" s="14">
        <f t="shared" si="46"/>
        <v>75</v>
      </c>
      <c r="Z79" s="12">
        <v>102</v>
      </c>
      <c r="AA79" s="14">
        <f t="shared" si="47"/>
        <v>75</v>
      </c>
      <c r="AB79" s="12">
        <v>104</v>
      </c>
      <c r="AC79" s="14">
        <f t="shared" si="48"/>
        <v>1840</v>
      </c>
      <c r="AD79" s="14" t="str">
        <f t="shared" si="57"/>
        <v>称号:防御天使\n被动属性:\n防御力+75\n生命值+1840\n使用属性:\n防御力+375\n生命值+9200\n</v>
      </c>
      <c r="AE79" s="14" t="str">
        <f t="shared" si="58"/>
        <v>称号:防御天使\n被动属性:\n攻击力+75\n生命值+1840\n使用属性:\n攻击力+375\n生命值+9200\n</v>
      </c>
      <c r="AF79" s="14" t="str">
        <f t="shared" si="59"/>
        <v>称号:防御天使\n被动属性:\n攻击力+75\n防御力+75\n使用属性:\n攻击力+375\n防御力+375\n</v>
      </c>
      <c r="AG79" s="12" t="str">
        <f>VLOOKUP(X79,[1]CharPropertyConfig!$A:$B,2,FALSE)</f>
        <v>攻击力</v>
      </c>
      <c r="AH79" s="12" t="str">
        <f>VLOOKUP(Z79,[1]CharPropertyConfig!$A:$B,2,FALSE)</f>
        <v>防御力</v>
      </c>
      <c r="AI79" s="12" t="str">
        <f>VLOOKUP(AB79,[1]CharPropertyConfig!$A:$B,2,FALSE)</f>
        <v>生命值</v>
      </c>
      <c r="AJ79" s="14">
        <f t="shared" si="49"/>
        <v>6480</v>
      </c>
      <c r="AK79" s="12">
        <f t="shared" si="50"/>
        <v>0.43132716049382713</v>
      </c>
      <c r="AL79" s="12">
        <f t="shared" si="51"/>
        <v>2.1566358024691357</v>
      </c>
      <c r="AM79" s="12" t="e">
        <f>INDEX([2]achievement!$B:$B,MATCH(SUMIFS([3]ItemConfig!$A:$A,[3]ItemConfig!$T:$T,"add_title",[3]ItemConfig!$U:$U,A79),[2]achievement!$H:$H,0))</f>
        <v>#VALUE!</v>
      </c>
      <c r="AO79" s="12" t="str">
        <f t="shared" si="52"/>
        <v>[C776F3FF]称号:防御天使[-]</v>
      </c>
      <c r="AR79" s="10" t="s">
        <v>224</v>
      </c>
      <c r="AX79" s="14" t="str">
        <f t="shared" si="61"/>
        <v/>
      </c>
    </row>
    <row r="80" spans="1:50" ht="12">
      <c r="A80" s="14">
        <v>116</v>
      </c>
      <c r="B80" s="10" t="s">
        <v>225</v>
      </c>
      <c r="C80" s="24" t="str">
        <f t="shared" si="76"/>
        <v>特殊活动产出</v>
      </c>
      <c r="D80" s="24" t="s">
        <v>330</v>
      </c>
      <c r="E80" s="26" t="str">
        <f t="shared" ca="1" si="44"/>
        <v>101:375|104:9200</v>
      </c>
      <c r="F80" s="26" t="str">
        <f t="shared" ca="1" si="77"/>
        <v>101:75|104:1840</v>
      </c>
      <c r="G80" s="24">
        <f t="shared" si="85"/>
        <v>13975</v>
      </c>
      <c r="H80" s="26">
        <f t="shared" si="56"/>
        <v>2795</v>
      </c>
      <c r="I80" s="42">
        <v>6</v>
      </c>
      <c r="J80" s="28">
        <v>2</v>
      </c>
      <c r="K80" s="26">
        <v>1</v>
      </c>
      <c r="L80" s="24">
        <v>3</v>
      </c>
      <c r="M80" s="24" t="s">
        <v>102</v>
      </c>
      <c r="N80" s="23" t="s">
        <v>215</v>
      </c>
      <c r="O80" s="58">
        <v>0</v>
      </c>
      <c r="P80" s="62">
        <v>170086</v>
      </c>
      <c r="Q80" s="58">
        <v>10</v>
      </c>
      <c r="R80" s="12" t="str">
        <f t="shared" si="86"/>
        <v>102:75|104:1840</v>
      </c>
      <c r="S80" s="12" t="str">
        <f t="shared" si="87"/>
        <v>101:75|104:1840</v>
      </c>
      <c r="T80" s="12" t="str">
        <f t="shared" si="88"/>
        <v>101:75|102:75</v>
      </c>
      <c r="U80" s="12" t="str">
        <f t="shared" si="89"/>
        <v>102:375|104:9200</v>
      </c>
      <c r="V80" s="12" t="str">
        <f t="shared" si="90"/>
        <v>101:375|104:9200</v>
      </c>
      <c r="W80" s="12" t="str">
        <f t="shared" si="91"/>
        <v>101:375|102:375</v>
      </c>
      <c r="X80" s="12">
        <v>101</v>
      </c>
      <c r="Y80" s="14">
        <f t="shared" si="46"/>
        <v>75</v>
      </c>
      <c r="Z80" s="12">
        <v>102</v>
      </c>
      <c r="AA80" s="14">
        <f t="shared" si="47"/>
        <v>75</v>
      </c>
      <c r="AB80" s="12">
        <v>104</v>
      </c>
      <c r="AC80" s="14">
        <f t="shared" si="48"/>
        <v>1840</v>
      </c>
      <c r="AD80" s="14" t="str">
        <f t="shared" si="57"/>
        <v>称号:定律天使\n被动属性:\n防御力+75\n生命值+1840\n使用属性:\n防御力+375\n生命值+9200\n</v>
      </c>
      <c r="AE80" s="14" t="str">
        <f t="shared" si="58"/>
        <v>称号:定律天使\n被动属性:\n攻击力+75\n生命值+1840\n使用属性:\n攻击力+375\n生命值+9200\n</v>
      </c>
      <c r="AF80" s="14" t="str">
        <f t="shared" si="59"/>
        <v>称号:定律天使\n被动属性:\n攻击力+75\n防御力+75\n使用属性:\n攻击力+375\n防御力+375\n</v>
      </c>
      <c r="AG80" s="12" t="str">
        <f>VLOOKUP(X80,[1]CharPropertyConfig!$A:$B,2,FALSE)</f>
        <v>攻击力</v>
      </c>
      <c r="AH80" s="12" t="str">
        <f>VLOOKUP(Z80,[1]CharPropertyConfig!$A:$B,2,FALSE)</f>
        <v>防御力</v>
      </c>
      <c r="AI80" s="12" t="str">
        <f>VLOOKUP(AB80,[1]CharPropertyConfig!$A:$B,2,FALSE)</f>
        <v>生命值</v>
      </c>
      <c r="AJ80" s="14">
        <f t="shared" si="49"/>
        <v>6480</v>
      </c>
      <c r="AK80" s="12">
        <f t="shared" si="50"/>
        <v>0.43132716049382713</v>
      </c>
      <c r="AL80" s="12">
        <f t="shared" si="51"/>
        <v>2.1566358024691357</v>
      </c>
      <c r="AM80" s="12" t="e">
        <f>INDEX([2]achievement!$B:$B,MATCH(SUMIFS([3]ItemConfig!$A:$A,[3]ItemConfig!$T:$T,"add_title",[3]ItemConfig!$U:$U,A80),[2]achievement!$H:$H,0))</f>
        <v>#VALUE!</v>
      </c>
      <c r="AO80" s="12" t="str">
        <f t="shared" si="52"/>
        <v>[C776F3FF]称号:定律天使[-]</v>
      </c>
      <c r="AR80" s="10" t="s">
        <v>225</v>
      </c>
      <c r="AX80" s="14" t="str">
        <f t="shared" si="61"/>
        <v/>
      </c>
    </row>
    <row r="81" spans="1:50" ht="12">
      <c r="A81" s="14">
        <v>117</v>
      </c>
      <c r="B81" s="10" t="s">
        <v>226</v>
      </c>
      <c r="C81" s="24" t="str">
        <f t="shared" si="76"/>
        <v>特殊活动产出</v>
      </c>
      <c r="D81" s="24" t="s">
        <v>331</v>
      </c>
      <c r="E81" s="26" t="str">
        <f t="shared" ca="1" si="44"/>
        <v>101:475|102:475</v>
      </c>
      <c r="F81" s="26" t="str">
        <f t="shared" ca="1" si="77"/>
        <v>101:95|102:95</v>
      </c>
      <c r="G81" s="24">
        <f t="shared" si="85"/>
        <v>17675</v>
      </c>
      <c r="H81" s="26">
        <f t="shared" si="56"/>
        <v>3535</v>
      </c>
      <c r="I81" s="42">
        <v>7</v>
      </c>
      <c r="J81" s="28">
        <v>3</v>
      </c>
      <c r="K81" s="26">
        <v>1</v>
      </c>
      <c r="L81" s="24">
        <v>3</v>
      </c>
      <c r="M81" s="24" t="s">
        <v>102</v>
      </c>
      <c r="N81" s="23" t="s">
        <v>215</v>
      </c>
      <c r="O81" s="58">
        <v>0</v>
      </c>
      <c r="P81" s="62">
        <v>170087</v>
      </c>
      <c r="Q81" s="58">
        <v>10</v>
      </c>
      <c r="R81" s="12" t="str">
        <f t="shared" si="86"/>
        <v>102:95|104:2320</v>
      </c>
      <c r="S81" s="12" t="str">
        <f t="shared" si="87"/>
        <v>101:95|104:2320</v>
      </c>
      <c r="T81" s="12" t="str">
        <f t="shared" si="88"/>
        <v>101:95|102:95</v>
      </c>
      <c r="U81" s="12" t="str">
        <f t="shared" si="89"/>
        <v>102:475|104:11600</v>
      </c>
      <c r="V81" s="12" t="str">
        <f t="shared" si="90"/>
        <v>101:475|104:11600</v>
      </c>
      <c r="W81" s="12" t="str">
        <f t="shared" si="91"/>
        <v>101:475|102:475</v>
      </c>
      <c r="X81" s="12">
        <v>101</v>
      </c>
      <c r="Y81" s="14">
        <f t="shared" si="46"/>
        <v>95</v>
      </c>
      <c r="Z81" s="12">
        <v>102</v>
      </c>
      <c r="AA81" s="14">
        <f t="shared" si="47"/>
        <v>95</v>
      </c>
      <c r="AB81" s="12">
        <v>104</v>
      </c>
      <c r="AC81" s="14">
        <f t="shared" si="48"/>
        <v>2320</v>
      </c>
      <c r="AD81" s="14" t="str">
        <f t="shared" si="57"/>
        <v>称号:堕落天使\n被动属性:\n防御力+95\n生命值+2320\n使用属性:\n防御力+475\n生命值+11600\n</v>
      </c>
      <c r="AE81" s="14" t="str">
        <f t="shared" si="58"/>
        <v>称号:堕落天使\n被动属性:\n攻击力+95\n生命值+2320\n使用属性:\n攻击力+475\n生命值+11600\n</v>
      </c>
      <c r="AF81" s="14" t="str">
        <f t="shared" si="59"/>
        <v>称号:堕落天使\n被动属性:\n攻击力+95\n防御力+95\n使用属性:\n攻击力+475\n防御力+475\n</v>
      </c>
      <c r="AG81" s="12" t="str">
        <f>VLOOKUP(X81,[1]CharPropertyConfig!$A:$B,2,FALSE)</f>
        <v>攻击力</v>
      </c>
      <c r="AH81" s="12" t="str">
        <f>VLOOKUP(Z81,[1]CharPropertyConfig!$A:$B,2,FALSE)</f>
        <v>防御力</v>
      </c>
      <c r="AI81" s="12" t="str">
        <f>VLOOKUP(AB81,[1]CharPropertyConfig!$A:$B,2,FALSE)</f>
        <v>生命值</v>
      </c>
      <c r="AJ81" s="14">
        <f t="shared" si="49"/>
        <v>12010</v>
      </c>
      <c r="AK81" s="12">
        <f t="shared" si="50"/>
        <v>0.29433805162364696</v>
      </c>
      <c r="AL81" s="12">
        <f t="shared" si="51"/>
        <v>1.4716902581182347</v>
      </c>
      <c r="AM81" s="12" t="e">
        <f>INDEX([2]achievement!$B:$B,MATCH(SUMIFS([3]ItemConfig!$A:$A,[3]ItemConfig!$T:$T,"add_title",[3]ItemConfig!$U:$U,A81),[2]achievement!$H:$H,0))</f>
        <v>#VALUE!</v>
      </c>
      <c r="AO81" s="12" t="str">
        <f t="shared" si="52"/>
        <v>[ff7800FF]称号:堕落天使[-]</v>
      </c>
      <c r="AR81" s="10" t="s">
        <v>226</v>
      </c>
      <c r="AX81" s="14" t="str">
        <f t="shared" si="61"/>
        <v/>
      </c>
    </row>
    <row r="82" spans="1:50" ht="12">
      <c r="A82" s="14">
        <v>118</v>
      </c>
      <c r="B82" s="10" t="s">
        <v>227</v>
      </c>
      <c r="C82" s="24" t="str">
        <f t="shared" si="76"/>
        <v>特殊活动产出</v>
      </c>
      <c r="D82" s="24" t="s">
        <v>332</v>
      </c>
      <c r="E82" s="26" t="str">
        <f t="shared" ca="1" si="44"/>
        <v>102:475|104:11600</v>
      </c>
      <c r="F82" s="26" t="str">
        <f t="shared" ca="1" si="77"/>
        <v>102:95|104:2320</v>
      </c>
      <c r="G82" s="24">
        <f t="shared" si="85"/>
        <v>17675</v>
      </c>
      <c r="H82" s="26">
        <f t="shared" si="56"/>
        <v>3535</v>
      </c>
      <c r="I82" s="42">
        <v>7</v>
      </c>
      <c r="J82" s="28">
        <v>1</v>
      </c>
      <c r="K82" s="26">
        <v>1</v>
      </c>
      <c r="L82" s="24">
        <v>3</v>
      </c>
      <c r="M82" s="24" t="s">
        <v>102</v>
      </c>
      <c r="N82" s="23" t="s">
        <v>215</v>
      </c>
      <c r="O82" s="58">
        <v>0</v>
      </c>
      <c r="P82" s="62">
        <v>170088</v>
      </c>
      <c r="Q82" s="58">
        <v>10</v>
      </c>
      <c r="R82" s="12" t="str">
        <f t="shared" si="86"/>
        <v>102:95|104:2320</v>
      </c>
      <c r="S82" s="12" t="str">
        <f t="shared" si="87"/>
        <v>101:95|104:2320</v>
      </c>
      <c r="T82" s="12" t="str">
        <f t="shared" si="88"/>
        <v>101:95|102:95</v>
      </c>
      <c r="U82" s="12" t="str">
        <f t="shared" si="89"/>
        <v>102:475|104:11600</v>
      </c>
      <c r="V82" s="12" t="str">
        <f t="shared" si="90"/>
        <v>101:475|104:11600</v>
      </c>
      <c r="W82" s="12" t="str">
        <f t="shared" si="91"/>
        <v>101:475|102:475</v>
      </c>
      <c r="X82" s="12">
        <v>101</v>
      </c>
      <c r="Y82" s="14">
        <f t="shared" si="46"/>
        <v>95</v>
      </c>
      <c r="Z82" s="12">
        <v>102</v>
      </c>
      <c r="AA82" s="14">
        <f t="shared" si="47"/>
        <v>95</v>
      </c>
      <c r="AB82" s="12">
        <v>104</v>
      </c>
      <c r="AC82" s="14">
        <f t="shared" si="48"/>
        <v>2320</v>
      </c>
      <c r="AD82" s="14" t="str">
        <f t="shared" si="57"/>
        <v>称号:战斗天使\n被动属性:\n防御力+95\n生命值+2320\n使用属性:\n防御力+475\n生命值+11600\n</v>
      </c>
      <c r="AE82" s="14" t="str">
        <f t="shared" si="58"/>
        <v>称号:战斗天使\n被动属性:\n攻击力+95\n生命值+2320\n使用属性:\n攻击力+475\n生命值+11600\n</v>
      </c>
      <c r="AF82" s="14" t="str">
        <f t="shared" si="59"/>
        <v>称号:战斗天使\n被动属性:\n攻击力+95\n防御力+95\n使用属性:\n攻击力+475\n防御力+475\n</v>
      </c>
      <c r="AG82" s="12" t="str">
        <f>VLOOKUP(X82,[1]CharPropertyConfig!$A:$B,2,FALSE)</f>
        <v>攻击力</v>
      </c>
      <c r="AH82" s="12" t="str">
        <f>VLOOKUP(Z82,[1]CharPropertyConfig!$A:$B,2,FALSE)</f>
        <v>防御力</v>
      </c>
      <c r="AI82" s="12" t="str">
        <f>VLOOKUP(AB82,[1]CharPropertyConfig!$A:$B,2,FALSE)</f>
        <v>生命值</v>
      </c>
      <c r="AJ82" s="14">
        <f t="shared" si="49"/>
        <v>12010</v>
      </c>
      <c r="AK82" s="12">
        <f t="shared" si="50"/>
        <v>0.29433805162364696</v>
      </c>
      <c r="AL82" s="12">
        <f t="shared" si="51"/>
        <v>1.4716902581182347</v>
      </c>
      <c r="AM82" s="12" t="e">
        <f>INDEX([2]achievement!$B:$B,MATCH(SUMIFS([3]ItemConfig!$A:$A,[3]ItemConfig!$T:$T,"add_title",[3]ItemConfig!$U:$U,A82),[2]achievement!$H:$H,0))</f>
        <v>#VALUE!</v>
      </c>
      <c r="AO82" s="12" t="str">
        <f t="shared" si="52"/>
        <v>[ff7800FF]称号:战斗天使[-]</v>
      </c>
      <c r="AR82" s="10" t="s">
        <v>227</v>
      </c>
      <c r="AX82" s="14" t="str">
        <f t="shared" si="61"/>
        <v/>
      </c>
    </row>
    <row r="83" spans="1:50" ht="12">
      <c r="A83" s="14">
        <v>119</v>
      </c>
      <c r="B83" s="10" t="s">
        <v>228</v>
      </c>
      <c r="C83" s="24" t="str">
        <f t="shared" si="76"/>
        <v>特殊活动产出</v>
      </c>
      <c r="D83" s="24" t="s">
        <v>333</v>
      </c>
      <c r="E83" s="26" t="str">
        <f t="shared" ca="1" si="44"/>
        <v>101:475|104:11600</v>
      </c>
      <c r="F83" s="26" t="str">
        <f t="shared" ca="1" si="77"/>
        <v>101:95|104:2320</v>
      </c>
      <c r="G83" s="24">
        <f t="shared" si="85"/>
        <v>17675</v>
      </c>
      <c r="H83" s="26">
        <f t="shared" si="56"/>
        <v>3535</v>
      </c>
      <c r="I83" s="42">
        <v>7</v>
      </c>
      <c r="J83" s="28">
        <v>2</v>
      </c>
      <c r="K83" s="26">
        <v>1</v>
      </c>
      <c r="L83" s="24">
        <v>3</v>
      </c>
      <c r="M83" s="24" t="s">
        <v>102</v>
      </c>
      <c r="N83" s="23" t="s">
        <v>215</v>
      </c>
      <c r="O83" s="58">
        <v>0</v>
      </c>
      <c r="P83" s="62">
        <v>170089</v>
      </c>
      <c r="Q83" s="58">
        <v>10</v>
      </c>
      <c r="R83" s="12" t="str">
        <f t="shared" si="86"/>
        <v>102:95|104:2320</v>
      </c>
      <c r="S83" s="12" t="str">
        <f t="shared" si="87"/>
        <v>101:95|104:2320</v>
      </c>
      <c r="T83" s="12" t="str">
        <f t="shared" si="88"/>
        <v>101:95|102:95</v>
      </c>
      <c r="U83" s="12" t="str">
        <f t="shared" si="89"/>
        <v>102:475|104:11600</v>
      </c>
      <c r="V83" s="12" t="str">
        <f t="shared" si="90"/>
        <v>101:475|104:11600</v>
      </c>
      <c r="W83" s="12" t="str">
        <f t="shared" si="91"/>
        <v>101:475|102:475</v>
      </c>
      <c r="X83" s="12">
        <v>101</v>
      </c>
      <c r="Y83" s="14">
        <f t="shared" si="46"/>
        <v>95</v>
      </c>
      <c r="Z83" s="12">
        <v>102</v>
      </c>
      <c r="AA83" s="14">
        <f t="shared" si="47"/>
        <v>95</v>
      </c>
      <c r="AB83" s="12">
        <v>104</v>
      </c>
      <c r="AC83" s="14">
        <f t="shared" si="48"/>
        <v>2320</v>
      </c>
      <c r="AD83" s="14" t="str">
        <f t="shared" si="57"/>
        <v>称号:奇迹天使\n被动属性:\n防御力+95\n生命值+2320\n使用属性:\n防御力+475\n生命值+11600\n</v>
      </c>
      <c r="AE83" s="14" t="str">
        <f t="shared" si="58"/>
        <v>称号:奇迹天使\n被动属性:\n攻击力+95\n生命值+2320\n使用属性:\n攻击力+475\n生命值+11600\n</v>
      </c>
      <c r="AF83" s="14" t="str">
        <f t="shared" si="59"/>
        <v>称号:奇迹天使\n被动属性:\n攻击力+95\n防御力+95\n使用属性:\n攻击力+475\n防御力+475\n</v>
      </c>
      <c r="AG83" s="12" t="str">
        <f>VLOOKUP(X83,[1]CharPropertyConfig!$A:$B,2,FALSE)</f>
        <v>攻击力</v>
      </c>
      <c r="AH83" s="12" t="str">
        <f>VLOOKUP(Z83,[1]CharPropertyConfig!$A:$B,2,FALSE)</f>
        <v>防御力</v>
      </c>
      <c r="AI83" s="12" t="str">
        <f>VLOOKUP(AB83,[1]CharPropertyConfig!$A:$B,2,FALSE)</f>
        <v>生命值</v>
      </c>
      <c r="AJ83" s="14">
        <f t="shared" si="49"/>
        <v>12010</v>
      </c>
      <c r="AK83" s="12">
        <f t="shared" si="50"/>
        <v>0.29433805162364696</v>
      </c>
      <c r="AL83" s="12">
        <f t="shared" si="51"/>
        <v>1.4716902581182347</v>
      </c>
      <c r="AM83" s="12" t="e">
        <f>INDEX([2]achievement!$B:$B,MATCH(SUMIFS([3]ItemConfig!$A:$A,[3]ItemConfig!$T:$T,"add_title",[3]ItemConfig!$U:$U,A83),[2]achievement!$H:$H,0))</f>
        <v>#VALUE!</v>
      </c>
      <c r="AO83" s="12" t="str">
        <f t="shared" si="52"/>
        <v>[ff7800FF]称号:奇迹天使[-]</v>
      </c>
      <c r="AR83" s="10" t="s">
        <v>228</v>
      </c>
      <c r="AX83" s="14" t="str">
        <f t="shared" si="61"/>
        <v/>
      </c>
    </row>
    <row r="84" spans="1:50" ht="12">
      <c r="A84" s="14">
        <v>120</v>
      </c>
      <c r="B84" s="10" t="s">
        <v>229</v>
      </c>
      <c r="C84" s="24" t="str">
        <f t="shared" si="76"/>
        <v>特殊活动产出</v>
      </c>
      <c r="D84" s="24" t="s">
        <v>334</v>
      </c>
      <c r="E84" s="26" t="str">
        <f t="shared" ca="1" si="44"/>
        <v>101:575|102:575</v>
      </c>
      <c r="F84" s="26" t="str">
        <f t="shared" ca="1" si="77"/>
        <v>101:115|102:115</v>
      </c>
      <c r="G84" s="24">
        <f t="shared" si="85"/>
        <v>21450</v>
      </c>
      <c r="H84" s="26">
        <f t="shared" si="56"/>
        <v>4290</v>
      </c>
      <c r="I84" s="42">
        <v>8</v>
      </c>
      <c r="J84" s="28">
        <v>3</v>
      </c>
      <c r="K84" s="26">
        <v>1</v>
      </c>
      <c r="L84" s="24">
        <v>3</v>
      </c>
      <c r="M84" s="24" t="s">
        <v>102</v>
      </c>
      <c r="N84" s="23" t="s">
        <v>215</v>
      </c>
      <c r="O84" s="58">
        <v>0</v>
      </c>
      <c r="P84" s="62">
        <v>170090</v>
      </c>
      <c r="Q84" s="58">
        <v>10</v>
      </c>
      <c r="R84" s="12" t="str">
        <f t="shared" si="86"/>
        <v>102:115|104:2830</v>
      </c>
      <c r="S84" s="12" t="str">
        <f t="shared" si="87"/>
        <v>101:115|104:2830</v>
      </c>
      <c r="T84" s="12" t="str">
        <f t="shared" si="88"/>
        <v>101:115|102:115</v>
      </c>
      <c r="U84" s="12" t="str">
        <f t="shared" si="89"/>
        <v>102:575|104:14150</v>
      </c>
      <c r="V84" s="12" t="str">
        <f t="shared" si="90"/>
        <v>101:575|104:14150</v>
      </c>
      <c r="W84" s="12" t="str">
        <f t="shared" si="91"/>
        <v>101:575|102:575</v>
      </c>
      <c r="X84" s="12">
        <v>101</v>
      </c>
      <c r="Y84" s="14">
        <f t="shared" si="46"/>
        <v>115</v>
      </c>
      <c r="Z84" s="12">
        <v>102</v>
      </c>
      <c r="AA84" s="14">
        <f t="shared" si="47"/>
        <v>115</v>
      </c>
      <c r="AB84" s="12">
        <v>104</v>
      </c>
      <c r="AC84" s="14">
        <f t="shared" si="48"/>
        <v>2830</v>
      </c>
      <c r="AD84" s="14" t="str">
        <f t="shared" si="57"/>
        <v>称号:美丽天使\n被动属性:\n防御力+115\n生命值+2830\n使用属性:\n防御力+575\n生命值+14150\n</v>
      </c>
      <c r="AE84" s="14" t="str">
        <f t="shared" si="58"/>
        <v>称号:美丽天使\n被动属性:\n攻击力+115\n生命值+2830\n使用属性:\n攻击力+575\n生命值+14150\n</v>
      </c>
      <c r="AF84" s="14" t="str">
        <f t="shared" si="59"/>
        <v>称号:美丽天使\n被动属性:\n攻击力+115\n防御力+115\n使用属性:\n攻击力+575\n防御力+575\n</v>
      </c>
      <c r="AG84" s="12" t="str">
        <f>VLOOKUP(X84,[1]CharPropertyConfig!$A:$B,2,FALSE)</f>
        <v>攻击力</v>
      </c>
      <c r="AH84" s="12" t="str">
        <f>VLOOKUP(Z84,[1]CharPropertyConfig!$A:$B,2,FALSE)</f>
        <v>防御力</v>
      </c>
      <c r="AI84" s="12" t="str">
        <f>VLOOKUP(AB84,[1]CharPropertyConfig!$A:$B,2,FALSE)</f>
        <v>生命值</v>
      </c>
      <c r="AJ84" s="14">
        <f t="shared" si="49"/>
        <v>20480</v>
      </c>
      <c r="AK84" s="12">
        <f t="shared" si="50"/>
        <v>0.20947265625</v>
      </c>
      <c r="AL84" s="12">
        <f t="shared" si="51"/>
        <v>1.04736328125</v>
      </c>
      <c r="AM84" s="12" t="e">
        <f>INDEX([2]achievement!$B:$B,MATCH(SUMIFS([3]ItemConfig!$A:$A,[3]ItemConfig!$T:$T,"add_title",[3]ItemConfig!$U:$U,A84),[2]achievement!$H:$H,0))</f>
        <v>#VALUE!</v>
      </c>
      <c r="AO84" s="12" t="str">
        <f t="shared" si="52"/>
        <v>[ff7800FF]称号:美丽天使[-]</v>
      </c>
      <c r="AR84" s="10" t="s">
        <v>229</v>
      </c>
      <c r="AX84" s="14" t="str">
        <f t="shared" si="61"/>
        <v/>
      </c>
    </row>
    <row r="85" spans="1:50" ht="12">
      <c r="A85" s="14">
        <v>121</v>
      </c>
      <c r="B85" s="10" t="s">
        <v>230</v>
      </c>
      <c r="C85" s="24" t="str">
        <f t="shared" si="76"/>
        <v>特殊活动产出</v>
      </c>
      <c r="D85" s="24" t="s">
        <v>335</v>
      </c>
      <c r="E85" s="26" t="str">
        <f t="shared" ca="1" si="44"/>
        <v>102:575|104:14150</v>
      </c>
      <c r="F85" s="26" t="str">
        <f t="shared" ca="1" si="77"/>
        <v>102:115|104:2830</v>
      </c>
      <c r="G85" s="24">
        <f t="shared" si="85"/>
        <v>21450</v>
      </c>
      <c r="H85" s="26">
        <f t="shared" si="56"/>
        <v>4290</v>
      </c>
      <c r="I85" s="42">
        <v>8</v>
      </c>
      <c r="J85" s="28">
        <v>1</v>
      </c>
      <c r="K85" s="26">
        <v>1</v>
      </c>
      <c r="L85" s="24">
        <v>3</v>
      </c>
      <c r="M85" s="24" t="s">
        <v>102</v>
      </c>
      <c r="N85" s="23" t="s">
        <v>215</v>
      </c>
      <c r="O85" s="58">
        <v>0</v>
      </c>
      <c r="P85" s="62">
        <v>170091</v>
      </c>
      <c r="Q85" s="58">
        <v>10</v>
      </c>
      <c r="R85" s="12" t="str">
        <f t="shared" si="86"/>
        <v>102:115|104:2830</v>
      </c>
      <c r="S85" s="12" t="str">
        <f t="shared" si="87"/>
        <v>101:115|104:2830</v>
      </c>
      <c r="T85" s="12" t="str">
        <f t="shared" si="88"/>
        <v>101:115|102:115</v>
      </c>
      <c r="U85" s="12" t="str">
        <f t="shared" si="89"/>
        <v>102:575|104:14150</v>
      </c>
      <c r="V85" s="12" t="str">
        <f t="shared" si="90"/>
        <v>101:575|104:14150</v>
      </c>
      <c r="W85" s="12" t="str">
        <f t="shared" si="91"/>
        <v>101:575|102:575</v>
      </c>
      <c r="X85" s="12">
        <v>101</v>
      </c>
      <c r="Y85" s="14">
        <f t="shared" si="46"/>
        <v>115</v>
      </c>
      <c r="Z85" s="12">
        <v>102</v>
      </c>
      <c r="AA85" s="14">
        <f t="shared" si="47"/>
        <v>115</v>
      </c>
      <c r="AB85" s="12">
        <v>104</v>
      </c>
      <c r="AC85" s="14">
        <f t="shared" si="48"/>
        <v>2830</v>
      </c>
      <c r="AD85" s="14" t="str">
        <f t="shared" si="57"/>
        <v>称号:叛逆天使\n被动属性:\n防御力+115\n生命值+2830\n使用属性:\n防御力+575\n生命值+14150\n</v>
      </c>
      <c r="AE85" s="14" t="str">
        <f t="shared" si="58"/>
        <v>称号:叛逆天使\n被动属性:\n攻击力+115\n生命值+2830\n使用属性:\n攻击力+575\n生命值+14150\n</v>
      </c>
      <c r="AF85" s="14" t="str">
        <f t="shared" si="59"/>
        <v>称号:叛逆天使\n被动属性:\n攻击力+115\n防御力+115\n使用属性:\n攻击力+575\n防御力+575\n</v>
      </c>
      <c r="AG85" s="12" t="str">
        <f>VLOOKUP(X85,[1]CharPropertyConfig!$A:$B,2,FALSE)</f>
        <v>攻击力</v>
      </c>
      <c r="AH85" s="12" t="str">
        <f>VLOOKUP(Z85,[1]CharPropertyConfig!$A:$B,2,FALSE)</f>
        <v>防御力</v>
      </c>
      <c r="AI85" s="12" t="str">
        <f>VLOOKUP(AB85,[1]CharPropertyConfig!$A:$B,2,FALSE)</f>
        <v>生命值</v>
      </c>
      <c r="AJ85" s="14">
        <f t="shared" si="49"/>
        <v>20480</v>
      </c>
      <c r="AK85" s="12">
        <f t="shared" si="50"/>
        <v>0.20947265625</v>
      </c>
      <c r="AL85" s="12">
        <f t="shared" si="51"/>
        <v>1.04736328125</v>
      </c>
      <c r="AM85" s="12" t="e">
        <f>INDEX([2]achievement!$B:$B,MATCH(SUMIFS([3]ItemConfig!$A:$A,[3]ItemConfig!$T:$T,"add_title",[3]ItemConfig!$U:$U,A85),[2]achievement!$H:$H,0))</f>
        <v>#VALUE!</v>
      </c>
      <c r="AO85" s="12" t="str">
        <f t="shared" si="52"/>
        <v>[ff7800FF]称号:叛逆天使[-]</v>
      </c>
      <c r="AR85" s="10" t="s">
        <v>230</v>
      </c>
      <c r="AX85" s="14" t="str">
        <f t="shared" si="61"/>
        <v/>
      </c>
    </row>
    <row r="86" spans="1:50" ht="12">
      <c r="A86" s="14">
        <v>122</v>
      </c>
      <c r="B86" s="10" t="s">
        <v>231</v>
      </c>
      <c r="C86" s="24" t="str">
        <f t="shared" si="76"/>
        <v>特殊活动产出</v>
      </c>
      <c r="D86" s="24" t="s">
        <v>336</v>
      </c>
      <c r="E86" s="26" t="str">
        <f t="shared" ca="1" si="44"/>
        <v>101:575|104:14150</v>
      </c>
      <c r="F86" s="26" t="str">
        <f t="shared" ca="1" si="77"/>
        <v>101:115|104:2830</v>
      </c>
      <c r="G86" s="24">
        <f t="shared" si="85"/>
        <v>21450</v>
      </c>
      <c r="H86" s="26">
        <f t="shared" si="56"/>
        <v>4290</v>
      </c>
      <c r="I86" s="42">
        <v>8</v>
      </c>
      <c r="J86" s="28">
        <v>2</v>
      </c>
      <c r="K86" s="26">
        <v>1</v>
      </c>
      <c r="L86" s="24">
        <v>3</v>
      </c>
      <c r="M86" s="24" t="s">
        <v>102</v>
      </c>
      <c r="N86" s="23" t="s">
        <v>215</v>
      </c>
      <c r="O86" s="58">
        <v>0</v>
      </c>
      <c r="P86" s="62">
        <v>170092</v>
      </c>
      <c r="Q86" s="58">
        <v>10</v>
      </c>
      <c r="R86" s="12" t="str">
        <f t="shared" si="86"/>
        <v>102:115|104:2830</v>
      </c>
      <c r="S86" s="12" t="str">
        <f t="shared" si="87"/>
        <v>101:115|104:2830</v>
      </c>
      <c r="T86" s="12" t="str">
        <f t="shared" si="88"/>
        <v>101:115|102:115</v>
      </c>
      <c r="U86" s="12" t="str">
        <f t="shared" si="89"/>
        <v>102:575|104:14150</v>
      </c>
      <c r="V86" s="12" t="str">
        <f t="shared" si="90"/>
        <v>101:575|104:14150</v>
      </c>
      <c r="W86" s="12" t="str">
        <f t="shared" si="91"/>
        <v>101:575|102:575</v>
      </c>
      <c r="X86" s="12">
        <v>101</v>
      </c>
      <c r="Y86" s="14">
        <f t="shared" si="46"/>
        <v>115</v>
      </c>
      <c r="Z86" s="12">
        <v>102</v>
      </c>
      <c r="AA86" s="14">
        <f t="shared" si="47"/>
        <v>115</v>
      </c>
      <c r="AB86" s="12">
        <v>104</v>
      </c>
      <c r="AC86" s="14">
        <f t="shared" si="48"/>
        <v>2830</v>
      </c>
      <c r="AD86" s="14" t="str">
        <f t="shared" si="57"/>
        <v>称号:审判天使\n被动属性:\n防御力+115\n生命值+2830\n使用属性:\n防御力+575\n生命值+14150\n</v>
      </c>
      <c r="AE86" s="14" t="str">
        <f t="shared" si="58"/>
        <v>称号:审判天使\n被动属性:\n攻击力+115\n生命值+2830\n使用属性:\n攻击力+575\n生命值+14150\n</v>
      </c>
      <c r="AF86" s="14" t="str">
        <f t="shared" si="59"/>
        <v>称号:审判天使\n被动属性:\n攻击力+115\n防御力+115\n使用属性:\n攻击力+575\n防御力+575\n</v>
      </c>
      <c r="AG86" s="12" t="str">
        <f>VLOOKUP(X86,[1]CharPropertyConfig!$A:$B,2,FALSE)</f>
        <v>攻击力</v>
      </c>
      <c r="AH86" s="12" t="str">
        <f>VLOOKUP(Z86,[1]CharPropertyConfig!$A:$B,2,FALSE)</f>
        <v>防御力</v>
      </c>
      <c r="AI86" s="12" t="str">
        <f>VLOOKUP(AB86,[1]CharPropertyConfig!$A:$B,2,FALSE)</f>
        <v>生命值</v>
      </c>
      <c r="AJ86" s="14">
        <f t="shared" si="49"/>
        <v>20480</v>
      </c>
      <c r="AK86" s="12">
        <f t="shared" si="50"/>
        <v>0.20947265625</v>
      </c>
      <c r="AL86" s="12">
        <f t="shared" si="51"/>
        <v>1.04736328125</v>
      </c>
      <c r="AM86" s="12" t="e">
        <f>INDEX([2]achievement!$B:$B,MATCH(SUMIFS([3]ItemConfig!$A:$A,[3]ItemConfig!$T:$T,"add_title",[3]ItemConfig!$U:$U,A86),[2]achievement!$H:$H,0))</f>
        <v>#VALUE!</v>
      </c>
      <c r="AO86" s="12" t="str">
        <f t="shared" si="52"/>
        <v>[ff7800FF]称号:审判天使[-]</v>
      </c>
      <c r="AR86" s="10" t="s">
        <v>231</v>
      </c>
      <c r="AX86" s="14" t="str">
        <f t="shared" si="61"/>
        <v/>
      </c>
    </row>
    <row r="87" spans="1:50" ht="12">
      <c r="A87" s="14">
        <v>123</v>
      </c>
      <c r="B87" s="10" t="s">
        <v>232</v>
      </c>
      <c r="C87" s="24" t="str">
        <f t="shared" si="76"/>
        <v>特殊活动产出</v>
      </c>
      <c r="D87" s="24" t="s">
        <v>337</v>
      </c>
      <c r="E87" s="26" t="str">
        <f t="shared" ca="1" si="44"/>
        <v>101:575|102:575</v>
      </c>
      <c r="F87" s="26" t="str">
        <f t="shared" ca="1" si="77"/>
        <v>101:115|102:115</v>
      </c>
      <c r="G87" s="24">
        <f t="shared" si="85"/>
        <v>21450</v>
      </c>
      <c r="H87" s="26">
        <f t="shared" si="56"/>
        <v>4290</v>
      </c>
      <c r="I87" s="42">
        <v>8</v>
      </c>
      <c r="J87" s="28">
        <v>3</v>
      </c>
      <c r="K87" s="26">
        <v>1</v>
      </c>
      <c r="L87" s="24">
        <v>3</v>
      </c>
      <c r="M87" s="24" t="s">
        <v>102</v>
      </c>
      <c r="N87" s="23" t="s">
        <v>215</v>
      </c>
      <c r="O87" s="58">
        <v>0</v>
      </c>
      <c r="P87" s="62">
        <v>170093</v>
      </c>
      <c r="Q87" s="58">
        <v>10</v>
      </c>
      <c r="R87" s="12" t="str">
        <f t="shared" si="86"/>
        <v>102:115|104:2830</v>
      </c>
      <c r="S87" s="12" t="str">
        <f t="shared" si="87"/>
        <v>101:115|104:2830</v>
      </c>
      <c r="T87" s="12" t="str">
        <f t="shared" si="88"/>
        <v>101:115|102:115</v>
      </c>
      <c r="U87" s="12" t="str">
        <f t="shared" si="89"/>
        <v>102:575|104:14150</v>
      </c>
      <c r="V87" s="12" t="str">
        <f t="shared" si="90"/>
        <v>101:575|104:14150</v>
      </c>
      <c r="W87" s="12" t="str">
        <f t="shared" si="91"/>
        <v>101:575|102:575</v>
      </c>
      <c r="X87" s="12">
        <v>101</v>
      </c>
      <c r="Y87" s="14">
        <f t="shared" si="46"/>
        <v>115</v>
      </c>
      <c r="Z87" s="12">
        <v>102</v>
      </c>
      <c r="AA87" s="14">
        <f t="shared" si="47"/>
        <v>115</v>
      </c>
      <c r="AB87" s="12">
        <v>104</v>
      </c>
      <c r="AC87" s="14">
        <f t="shared" si="48"/>
        <v>2830</v>
      </c>
      <c r="AD87" s="14" t="str">
        <f t="shared" si="57"/>
        <v>称号:守护天使\n被动属性:\n防御力+115\n生命值+2830\n使用属性:\n防御力+575\n生命值+14150\n</v>
      </c>
      <c r="AE87" s="14" t="str">
        <f t="shared" si="58"/>
        <v>称号:守护天使\n被动属性:\n攻击力+115\n生命值+2830\n使用属性:\n攻击力+575\n生命值+14150\n</v>
      </c>
      <c r="AF87" s="14" t="str">
        <f t="shared" si="59"/>
        <v>称号:守护天使\n被动属性:\n攻击力+115\n防御力+115\n使用属性:\n攻击力+575\n防御力+575\n</v>
      </c>
      <c r="AG87" s="12" t="str">
        <f>VLOOKUP(X87,[1]CharPropertyConfig!$A:$B,2,FALSE)</f>
        <v>攻击力</v>
      </c>
      <c r="AH87" s="12" t="str">
        <f>VLOOKUP(Z87,[1]CharPropertyConfig!$A:$B,2,FALSE)</f>
        <v>防御力</v>
      </c>
      <c r="AI87" s="12" t="str">
        <f>VLOOKUP(AB87,[1]CharPropertyConfig!$A:$B,2,FALSE)</f>
        <v>生命值</v>
      </c>
      <c r="AJ87" s="14">
        <f t="shared" si="49"/>
        <v>20480</v>
      </c>
      <c r="AK87" s="12">
        <f t="shared" si="50"/>
        <v>0.20947265625</v>
      </c>
      <c r="AL87" s="12">
        <f t="shared" si="51"/>
        <v>1.04736328125</v>
      </c>
      <c r="AM87" s="12" t="e">
        <f>INDEX([2]achievement!$B:$B,MATCH(SUMIFS([3]ItemConfig!$A:$A,[3]ItemConfig!$T:$T,"add_title",[3]ItemConfig!$U:$U,A87),[2]achievement!$H:$H,0))</f>
        <v>#VALUE!</v>
      </c>
      <c r="AO87" s="12" t="str">
        <f t="shared" si="52"/>
        <v>[ff7800FF]称号:守护天使[-]</v>
      </c>
      <c r="AR87" s="10" t="s">
        <v>232</v>
      </c>
      <c r="AX87" s="14" t="str">
        <f t="shared" si="61"/>
        <v/>
      </c>
    </row>
    <row r="88" spans="1:50" ht="12">
      <c r="A88" s="14">
        <v>124</v>
      </c>
      <c r="B88" s="10" t="s">
        <v>238</v>
      </c>
      <c r="C88" s="24" t="str">
        <f t="shared" si="76"/>
        <v>特殊活动产出</v>
      </c>
      <c r="D88" s="24" t="s">
        <v>338</v>
      </c>
      <c r="E88" s="26" t="str">
        <f t="shared" ca="1" si="44"/>
        <v>102:675|104:16875</v>
      </c>
      <c r="F88" s="26" t="str">
        <f t="shared" ca="1" si="77"/>
        <v>102:135|104:3375</v>
      </c>
      <c r="G88" s="24">
        <f t="shared" si="85"/>
        <v>25310</v>
      </c>
      <c r="H88" s="26">
        <f t="shared" si="56"/>
        <v>5062</v>
      </c>
      <c r="I88" s="42">
        <v>9</v>
      </c>
      <c r="J88" s="28">
        <v>1</v>
      </c>
      <c r="K88" s="26">
        <v>1</v>
      </c>
      <c r="L88" s="24">
        <v>3</v>
      </c>
      <c r="M88" s="24" t="s">
        <v>102</v>
      </c>
      <c r="N88" s="23" t="s">
        <v>215</v>
      </c>
      <c r="O88" s="58">
        <v>0</v>
      </c>
      <c r="P88" s="62">
        <v>170094</v>
      </c>
      <c r="Q88" s="58">
        <v>10</v>
      </c>
      <c r="R88" s="12" t="str">
        <f t="shared" si="86"/>
        <v>102:135|104:3375</v>
      </c>
      <c r="S88" s="12" t="str">
        <f t="shared" si="87"/>
        <v>101:135|104:3375</v>
      </c>
      <c r="T88" s="12" t="str">
        <f t="shared" si="88"/>
        <v>101:135|102:135</v>
      </c>
      <c r="U88" s="12" t="str">
        <f t="shared" si="89"/>
        <v>102:675|104:16875</v>
      </c>
      <c r="V88" s="12" t="str">
        <f t="shared" si="90"/>
        <v>101:675|104:16875</v>
      </c>
      <c r="W88" s="12" t="str">
        <f t="shared" si="91"/>
        <v>101:675|102:675</v>
      </c>
      <c r="X88" s="12">
        <v>101</v>
      </c>
      <c r="Y88" s="14">
        <f t="shared" si="46"/>
        <v>135</v>
      </c>
      <c r="Z88" s="12">
        <v>102</v>
      </c>
      <c r="AA88" s="14">
        <f t="shared" si="47"/>
        <v>135</v>
      </c>
      <c r="AB88" s="12">
        <v>104</v>
      </c>
      <c r="AC88" s="14">
        <f t="shared" si="48"/>
        <v>3375</v>
      </c>
      <c r="AD88" s="14" t="str">
        <f t="shared" si="57"/>
        <v>称号:神之左手\n被动属性:\n防御力+135\n生命值+3375\n使用属性:\n防御力+675\n生命值+16875\n</v>
      </c>
      <c r="AE88" s="14" t="str">
        <f t="shared" si="58"/>
        <v>称号:神之左手\n被动属性:\n攻击力+135\n生命值+3375\n使用属性:\n攻击力+675\n生命值+16875\n</v>
      </c>
      <c r="AF88" s="14" t="str">
        <f t="shared" si="59"/>
        <v>称号:神之左手\n被动属性:\n攻击力+135\n防御力+135\n使用属性:\n攻击力+675\n防御力+675\n</v>
      </c>
      <c r="AG88" s="12" t="str">
        <f>VLOOKUP(X88,[1]CharPropertyConfig!$A:$B,2,FALSE)</f>
        <v>攻击力</v>
      </c>
      <c r="AH88" s="12" t="str">
        <f>VLOOKUP(Z88,[1]CharPropertyConfig!$A:$B,2,FALSE)</f>
        <v>防御力</v>
      </c>
      <c r="AI88" s="12" t="str">
        <f>VLOOKUP(AB88,[1]CharPropertyConfig!$A:$B,2,FALSE)</f>
        <v>生命值</v>
      </c>
      <c r="AJ88" s="14">
        <f t="shared" si="49"/>
        <v>32810</v>
      </c>
      <c r="AK88" s="12">
        <f t="shared" si="50"/>
        <v>0.15428223102712588</v>
      </c>
      <c r="AL88" s="12">
        <f t="shared" si="51"/>
        <v>0.77141115513562941</v>
      </c>
      <c r="AM88" s="12" t="e">
        <f>INDEX([2]achievement!$B:$B,MATCH(SUMIFS([3]ItemConfig!$A:$A,[3]ItemConfig!$T:$T,"add_title",[3]ItemConfig!$U:$U,A88),[2]achievement!$H:$H,0))</f>
        <v>#VALUE!</v>
      </c>
      <c r="AO88" s="12" t="str">
        <f t="shared" si="52"/>
        <v>[ffffffFF]称号:神之左手[-]</v>
      </c>
      <c r="AR88" s="10" t="s">
        <v>238</v>
      </c>
      <c r="AX88" s="14" t="str">
        <f t="shared" si="61"/>
        <v/>
      </c>
    </row>
    <row r="89" spans="1:50" ht="12">
      <c r="A89" s="14">
        <v>125</v>
      </c>
      <c r="B89" s="10" t="s">
        <v>239</v>
      </c>
      <c r="C89" s="24" t="str">
        <f t="shared" si="76"/>
        <v>特殊活动产出</v>
      </c>
      <c r="D89" s="24" t="s">
        <v>339</v>
      </c>
      <c r="E89" s="26" t="str">
        <f t="shared" ca="1" si="44"/>
        <v>101:675|104:16875</v>
      </c>
      <c r="F89" s="26" t="str">
        <f t="shared" ca="1" si="77"/>
        <v>101:135|104:3375</v>
      </c>
      <c r="G89" s="24">
        <f t="shared" si="85"/>
        <v>25310</v>
      </c>
      <c r="H89" s="26">
        <f t="shared" si="56"/>
        <v>5062</v>
      </c>
      <c r="I89" s="42">
        <v>9</v>
      </c>
      <c r="J89" s="28">
        <v>2</v>
      </c>
      <c r="K89" s="26">
        <v>1</v>
      </c>
      <c r="L89" s="24">
        <v>3</v>
      </c>
      <c r="M89" s="24" t="s">
        <v>102</v>
      </c>
      <c r="N89" s="23" t="s">
        <v>215</v>
      </c>
      <c r="O89" s="58">
        <v>0</v>
      </c>
      <c r="P89" s="62">
        <v>170095</v>
      </c>
      <c r="Q89" s="58">
        <v>10</v>
      </c>
      <c r="R89" s="12" t="str">
        <f t="shared" si="86"/>
        <v>102:135|104:3375</v>
      </c>
      <c r="S89" s="12" t="str">
        <f t="shared" si="87"/>
        <v>101:135|104:3375</v>
      </c>
      <c r="T89" s="12" t="str">
        <f t="shared" si="88"/>
        <v>101:135|102:135</v>
      </c>
      <c r="U89" s="12" t="str">
        <f t="shared" si="89"/>
        <v>102:675|104:16875</v>
      </c>
      <c r="V89" s="12" t="str">
        <f t="shared" si="90"/>
        <v>101:675|104:16875</v>
      </c>
      <c r="W89" s="12" t="str">
        <f t="shared" si="91"/>
        <v>101:675|102:675</v>
      </c>
      <c r="X89" s="12">
        <v>101</v>
      </c>
      <c r="Y89" s="14">
        <f t="shared" si="46"/>
        <v>135</v>
      </c>
      <c r="Z89" s="12">
        <v>102</v>
      </c>
      <c r="AA89" s="14">
        <f t="shared" si="47"/>
        <v>135</v>
      </c>
      <c r="AB89" s="12">
        <v>104</v>
      </c>
      <c r="AC89" s="14">
        <f t="shared" si="48"/>
        <v>3375</v>
      </c>
      <c r="AD89" s="14" t="str">
        <f t="shared" si="57"/>
        <v>称号:神之右手\n被动属性:\n防御力+135\n生命值+3375\n使用属性:\n防御力+675\n生命值+16875\n</v>
      </c>
      <c r="AE89" s="14" t="str">
        <f t="shared" si="58"/>
        <v>称号:神之右手\n被动属性:\n攻击力+135\n生命值+3375\n使用属性:\n攻击力+675\n生命值+16875\n</v>
      </c>
      <c r="AF89" s="14" t="str">
        <f t="shared" si="59"/>
        <v>称号:神之右手\n被动属性:\n攻击力+135\n防御力+135\n使用属性:\n攻击力+675\n防御力+675\n</v>
      </c>
      <c r="AG89" s="12" t="str">
        <f>VLOOKUP(X89,[1]CharPropertyConfig!$A:$B,2,FALSE)</f>
        <v>攻击力</v>
      </c>
      <c r="AH89" s="12" t="str">
        <f>VLOOKUP(Z89,[1]CharPropertyConfig!$A:$B,2,FALSE)</f>
        <v>防御力</v>
      </c>
      <c r="AI89" s="12" t="str">
        <f>VLOOKUP(AB89,[1]CharPropertyConfig!$A:$B,2,FALSE)</f>
        <v>生命值</v>
      </c>
      <c r="AJ89" s="14">
        <f t="shared" si="49"/>
        <v>32810</v>
      </c>
      <c r="AK89" s="12">
        <f t="shared" si="50"/>
        <v>0.15428223102712588</v>
      </c>
      <c r="AL89" s="12">
        <f t="shared" si="51"/>
        <v>0.77141115513562941</v>
      </c>
      <c r="AM89" s="12" t="e">
        <f>INDEX([2]achievement!$B:$B,MATCH(SUMIFS([3]ItemConfig!$A:$A,[3]ItemConfig!$T:$T,"add_title",[3]ItemConfig!$U:$U,A89),[2]achievement!$H:$H,0))</f>
        <v>#VALUE!</v>
      </c>
      <c r="AO89" s="12" t="str">
        <f t="shared" si="52"/>
        <v>[ffffffFF]称号:神之右手[-]</v>
      </c>
      <c r="AR89" s="10" t="s">
        <v>239</v>
      </c>
      <c r="AX89" s="14" t="str">
        <f t="shared" si="61"/>
        <v/>
      </c>
    </row>
    <row r="90" spans="1:50" ht="12">
      <c r="A90" s="14">
        <v>126</v>
      </c>
      <c r="B90" s="10" t="s">
        <v>240</v>
      </c>
      <c r="C90" s="24" t="str">
        <f t="shared" si="76"/>
        <v>特殊活动产出</v>
      </c>
      <c r="D90" s="24" t="s">
        <v>340</v>
      </c>
      <c r="E90" s="26" t="str">
        <f t="shared" ca="1" si="44"/>
        <v>101:800|102:800</v>
      </c>
      <c r="F90" s="26" t="str">
        <f t="shared" ca="1" si="77"/>
        <v>101:160|102:160</v>
      </c>
      <c r="G90" s="24">
        <f t="shared" si="85"/>
        <v>29885</v>
      </c>
      <c r="H90" s="26">
        <f t="shared" si="56"/>
        <v>5977</v>
      </c>
      <c r="I90" s="42">
        <v>10</v>
      </c>
      <c r="J90" s="28">
        <v>3</v>
      </c>
      <c r="K90" s="26">
        <v>1</v>
      </c>
      <c r="L90" s="24">
        <v>3</v>
      </c>
      <c r="M90" s="24" t="s">
        <v>102</v>
      </c>
      <c r="N90" s="23" t="s">
        <v>215</v>
      </c>
      <c r="O90" s="58">
        <v>0</v>
      </c>
      <c r="P90" s="62">
        <v>170096</v>
      </c>
      <c r="Q90" s="58">
        <v>10</v>
      </c>
      <c r="R90" s="12" t="str">
        <f t="shared" si="86"/>
        <v>102:160|104:3955</v>
      </c>
      <c r="S90" s="12" t="str">
        <f t="shared" si="87"/>
        <v>101:160|104:3955</v>
      </c>
      <c r="T90" s="12" t="str">
        <f t="shared" si="88"/>
        <v>101:160|102:160</v>
      </c>
      <c r="U90" s="12" t="str">
        <f t="shared" si="89"/>
        <v>102:800|104:19775</v>
      </c>
      <c r="V90" s="12" t="str">
        <f t="shared" si="90"/>
        <v>101:800|104:19775</v>
      </c>
      <c r="W90" s="12" t="str">
        <f t="shared" si="91"/>
        <v>101:800|102:800</v>
      </c>
      <c r="X90" s="12">
        <v>101</v>
      </c>
      <c r="Y90" s="14">
        <f t="shared" si="46"/>
        <v>160</v>
      </c>
      <c r="Z90" s="12">
        <v>102</v>
      </c>
      <c r="AA90" s="14">
        <f t="shared" si="47"/>
        <v>160</v>
      </c>
      <c r="AB90" s="12">
        <v>104</v>
      </c>
      <c r="AC90" s="14">
        <f t="shared" si="48"/>
        <v>3955</v>
      </c>
      <c r="AD90" s="14" t="str">
        <f t="shared" si="57"/>
        <v>称号:神之王冠\n被动属性:\n防御力+160\n生命值+3955\n使用属性:\n防御力+800\n生命值+19775\n</v>
      </c>
      <c r="AE90" s="14" t="str">
        <f t="shared" si="58"/>
        <v>称号:神之王冠\n被动属性:\n攻击力+160\n生命值+3955\n使用属性:\n攻击力+800\n生命值+19775\n</v>
      </c>
      <c r="AF90" s="14" t="str">
        <f t="shared" si="59"/>
        <v>称号:神之王冠\n被动属性:\n攻击力+160\n防御力+160\n使用属性:\n攻击力+800\n防御力+800\n</v>
      </c>
      <c r="AG90" s="12" t="str">
        <f>VLOOKUP(X90,[1]CharPropertyConfig!$A:$B,2,FALSE)</f>
        <v>攻击力</v>
      </c>
      <c r="AH90" s="12" t="str">
        <f>VLOOKUP(Z90,[1]CharPropertyConfig!$A:$B,2,FALSE)</f>
        <v>防御力</v>
      </c>
      <c r="AI90" s="12" t="str">
        <f>VLOOKUP(AB90,[1]CharPropertyConfig!$A:$B,2,FALSE)</f>
        <v>生命值</v>
      </c>
      <c r="AJ90" s="14">
        <f t="shared" si="49"/>
        <v>50000</v>
      </c>
      <c r="AK90" s="12">
        <f t="shared" si="50"/>
        <v>0.11953999999999999</v>
      </c>
      <c r="AL90" s="12">
        <f t="shared" si="51"/>
        <v>0.59770000000000001</v>
      </c>
      <c r="AM90" s="12" t="e">
        <f>INDEX([2]achievement!$B:$B,MATCH(SUMIFS([3]ItemConfig!$A:$A,[3]ItemConfig!$T:$T,"add_title",[3]ItemConfig!$U:$U,A90),[2]achievement!$H:$H,0))</f>
        <v>#VALUE!</v>
      </c>
      <c r="AO90" s="12" t="str">
        <f t="shared" si="52"/>
        <v>[ffffffFF]称号:神之王冠[-]</v>
      </c>
      <c r="AR90" s="10" t="s">
        <v>240</v>
      </c>
      <c r="AX90" s="14" t="str">
        <f t="shared" si="61"/>
        <v/>
      </c>
    </row>
    <row r="91" spans="1:50">
      <c r="A91" s="14">
        <v>127</v>
      </c>
      <c r="B91" s="56" t="s">
        <v>291</v>
      </c>
      <c r="C91" s="12" t="s">
        <v>292</v>
      </c>
      <c r="D91" s="24" t="s">
        <v>341</v>
      </c>
      <c r="E91" s="26" t="str">
        <f t="shared" ca="1" si="44"/>
        <v>102:25|104:625</v>
      </c>
      <c r="F91" s="26" t="str">
        <f t="shared" ca="1" si="77"/>
        <v>102:5|104:125</v>
      </c>
      <c r="G91" s="24">
        <f t="shared" ref="G91:G93" si="92">H91*5</f>
        <v>935</v>
      </c>
      <c r="H91" s="26">
        <f t="shared" ref="H91:H93" si="93">INT((Y91*25+AA91*25+AC91*1)/2)</f>
        <v>187</v>
      </c>
      <c r="I91" s="45">
        <v>1</v>
      </c>
      <c r="J91" s="14">
        <v>1</v>
      </c>
      <c r="K91" s="31">
        <v>0</v>
      </c>
      <c r="L91" s="24" t="s">
        <v>293</v>
      </c>
      <c r="M91" s="24" t="s">
        <v>294</v>
      </c>
      <c r="N91" s="23" t="s">
        <v>215</v>
      </c>
      <c r="O91" s="58">
        <f>60*60*24</f>
        <v>86400</v>
      </c>
      <c r="P91" s="62">
        <v>0</v>
      </c>
      <c r="Q91" s="58">
        <v>1</v>
      </c>
      <c r="R91" s="12" t="str">
        <f t="shared" ref="R91:R93" si="94">CONCATENATE(Z91,AS$2,AA91,AT$2,AB91,AS$2,AC91)</f>
        <v>102:5|104:125</v>
      </c>
      <c r="S91" s="12" t="str">
        <f t="shared" ref="S91:S93" si="95">CONCATENATE(X91,AS$2,Y91,AT$2,AB91,AS$2,AC91)</f>
        <v>101:5|104:125</v>
      </c>
      <c r="T91" s="12" t="str">
        <f t="shared" ref="T91:T93" si="96">CONCATENATE(X91,AS$2,Y91,AT$2,Z91,AS$2,AA91)</f>
        <v>101:5|102:5</v>
      </c>
      <c r="U91" s="12" t="str">
        <f t="shared" ref="U91:U93" si="97">CONCATENATE(Z91,AS$2,AA91*5,AT$2,AB91,AS$2,AC91*5)</f>
        <v>102:25|104:625</v>
      </c>
      <c r="V91" s="12" t="str">
        <f t="shared" ref="V91:V93" si="98">CONCATENATE(X91,AS$2,Y91*5,AT$2,AB91,AS$2,AC91*5)</f>
        <v>101:25|104:625</v>
      </c>
      <c r="W91" s="12" t="str">
        <f t="shared" ref="W91:W93" si="99">CONCATENATE(X91,AS$2,Y91*5,AT$2,Z91,AS$2,AA91*5)</f>
        <v>101:25|102:25</v>
      </c>
      <c r="X91" s="12">
        <v>101</v>
      </c>
      <c r="Y91" s="14">
        <f t="shared" si="46"/>
        <v>5</v>
      </c>
      <c r="Z91" s="12">
        <v>102</v>
      </c>
      <c r="AA91" s="14">
        <f t="shared" si="47"/>
        <v>5</v>
      </c>
      <c r="AB91" s="12">
        <v>104</v>
      </c>
      <c r="AC91" s="14">
        <f t="shared" si="48"/>
        <v>125</v>
      </c>
      <c r="AD91" s="14" t="str">
        <f t="shared" si="57"/>
        <v>测试限时称号\n被动属性:\n防御力+5\n生命值+125\n使用属性:\n防御力+25\n生命值+625\n有效时间:1天</v>
      </c>
      <c r="AE91" s="14" t="str">
        <f t="shared" si="58"/>
        <v>测试限时称号\n被动属性:\n攻击力+5\n生命值+125\n使用属性:\n攻击力+25\n生命值+625\n有效时间:1天</v>
      </c>
      <c r="AF91" s="14" t="str">
        <f t="shared" si="59"/>
        <v>测试限时称号\n被动属性:\n攻击力+5\n防御力+5\n使用属性:\n攻击力+25\n防御力+25\n有效时间:1天</v>
      </c>
      <c r="AG91" s="12" t="str">
        <f>VLOOKUP(X91,[1]CharPropertyConfig!$A:$B,2,FALSE)</f>
        <v>攻击力</v>
      </c>
      <c r="AH91" s="12" t="str">
        <f>VLOOKUP(Z91,[1]CharPropertyConfig!$A:$B,2,FALSE)</f>
        <v>防御力</v>
      </c>
      <c r="AI91" s="12" t="str">
        <f>VLOOKUP(AB91,[1]CharPropertyConfig!$A:$B,2,FALSE)</f>
        <v>生命值</v>
      </c>
      <c r="AJ91" s="14">
        <f t="shared" si="49"/>
        <v>10</v>
      </c>
      <c r="AK91" s="12">
        <f t="shared" si="50"/>
        <v>18.7</v>
      </c>
      <c r="AL91" s="12">
        <f t="shared" si="51"/>
        <v>93.5</v>
      </c>
      <c r="AM91" s="12" t="e">
        <f>INDEX([2]achievement!$B:$B,MATCH(SUMIFS([3]ItemConfig!$A:$A,[3]ItemConfig!$T:$T,"add_title",[3]ItemConfig!$U:$U,A91),[2]achievement!$H:$H,0))</f>
        <v>#VALUE!</v>
      </c>
      <c r="AO91" s="12" t="str">
        <f t="shared" si="52"/>
        <v>[A4E66FFF]测试限时称号[-]</v>
      </c>
      <c r="AX91" s="14" t="str">
        <f t="shared" si="61"/>
        <v>有效时间:1天</v>
      </c>
    </row>
    <row r="92" spans="1:50" ht="12">
      <c r="A92" s="14">
        <v>128</v>
      </c>
      <c r="B92" s="55" t="s">
        <v>295</v>
      </c>
      <c r="C92" s="12" t="s">
        <v>299</v>
      </c>
      <c r="D92" s="24" t="s">
        <v>342</v>
      </c>
      <c r="E92" s="26" t="str">
        <f t="shared" ref="E92:E93" ca="1" si="100">OFFSET(U92,0,J92-1,1,1)</f>
        <v>101:475|102:475</v>
      </c>
      <c r="F92" s="26" t="str">
        <f t="shared" ref="F92:F93" ca="1" si="101">OFFSET(R92,0,J92-1,1,1)</f>
        <v>101:95|102:95</v>
      </c>
      <c r="G92" s="24">
        <f t="shared" si="92"/>
        <v>17675</v>
      </c>
      <c r="H92" s="26">
        <f t="shared" si="93"/>
        <v>3535</v>
      </c>
      <c r="I92" s="42">
        <v>7</v>
      </c>
      <c r="J92" s="28">
        <v>3</v>
      </c>
      <c r="K92" s="26">
        <v>1</v>
      </c>
      <c r="L92" s="24" t="s">
        <v>303</v>
      </c>
      <c r="M92" s="24" t="s">
        <v>294</v>
      </c>
      <c r="N92" s="23" t="s">
        <v>215</v>
      </c>
      <c r="O92" s="58">
        <f t="shared" ref="O92:O95" si="102">60*60*24*30</f>
        <v>2592000</v>
      </c>
      <c r="P92" s="60">
        <v>170097</v>
      </c>
      <c r="Q92" s="58">
        <v>10</v>
      </c>
      <c r="R92" s="12" t="str">
        <f t="shared" si="94"/>
        <v>102:95|104:2320</v>
      </c>
      <c r="S92" s="12" t="str">
        <f t="shared" si="95"/>
        <v>101:95|104:2320</v>
      </c>
      <c r="T92" s="12" t="str">
        <f t="shared" si="96"/>
        <v>101:95|102:95</v>
      </c>
      <c r="U92" s="12" t="str">
        <f t="shared" si="97"/>
        <v>102:475|104:11600</v>
      </c>
      <c r="V92" s="12" t="str">
        <f t="shared" si="98"/>
        <v>101:475|104:11600</v>
      </c>
      <c r="W92" s="12" t="str">
        <f t="shared" si="99"/>
        <v>101:475|102:475</v>
      </c>
      <c r="X92" s="12">
        <v>101</v>
      </c>
      <c r="Y92" s="14">
        <f t="shared" ref="Y92:Y93" si="103">CEILING(POWER(I92,1.5)*5,5)</f>
        <v>95</v>
      </c>
      <c r="Z92" s="12">
        <v>102</v>
      </c>
      <c r="AA92" s="14">
        <f t="shared" ref="AA92:AA93" si="104">CEILING(POWER(I92,1.5)*5,5)</f>
        <v>95</v>
      </c>
      <c r="AB92" s="12">
        <v>104</v>
      </c>
      <c r="AC92" s="14">
        <f t="shared" ref="AC92:AC93" si="105">CEILING(POWER(I92,1.5)*125,5)</f>
        <v>2320</v>
      </c>
      <c r="AD92" s="14" t="str">
        <f t="shared" si="57"/>
        <v>[ff7800FF]最强王者[-]\n被动属性:\n防御力+95\n生命值+2320\n使用属性:\n防御力+475\n生命值+11600\n有效时间:30天</v>
      </c>
      <c r="AE92" s="14" t="str">
        <f t="shared" si="58"/>
        <v>[ff7800FF]最强王者[-]\n被动属性:\n攻击力+95\n生命值+2320\n使用属性:\n攻击力+475\n生命值+11600\n有效时间:30天</v>
      </c>
      <c r="AF92" s="14" t="str">
        <f t="shared" si="59"/>
        <v>[ff7800FF]最强王者[-]\n被动属性:\n攻击力+95\n防御力+95\n使用属性:\n攻击力+475\n防御力+475\n有效时间:30天</v>
      </c>
      <c r="AG92" s="12" t="str">
        <f>VLOOKUP(X92,[1]CharPropertyConfig!$A:$B,2,FALSE)</f>
        <v>攻击力</v>
      </c>
      <c r="AH92" s="12" t="str">
        <f>VLOOKUP(Z92,[1]CharPropertyConfig!$A:$B,2,FALSE)</f>
        <v>防御力</v>
      </c>
      <c r="AI92" s="12" t="str">
        <f>VLOOKUP(AB92,[1]CharPropertyConfig!$A:$B,2,FALSE)</f>
        <v>生命值</v>
      </c>
      <c r="AJ92" s="14">
        <f t="shared" ref="AJ92:AJ93" si="106">CEILING(POWER(I92,4)*5,10)</f>
        <v>12010</v>
      </c>
      <c r="AK92" s="12">
        <f t="shared" ref="AK92:AK93" si="107">H92/AJ92</f>
        <v>0.29433805162364696</v>
      </c>
      <c r="AL92" s="12">
        <f t="shared" ref="AL92:AL93" si="108">G92/AJ92</f>
        <v>1.4716902581182347</v>
      </c>
      <c r="AM92" s="12" t="e">
        <f>INDEX([2]achievement!$B:$B,MATCH(SUMIFS([3]ItemConfig!$A:$A,[3]ItemConfig!$T:$T,"add_title",[3]ItemConfig!$U:$U,A92),[2]achievement!$H:$H,0))</f>
        <v>#VALUE!</v>
      </c>
      <c r="AO92" s="12" t="str">
        <f t="shared" ref="AO92:AO93" si="109">CONCATENATE("[",VLOOKUP(I92,AS$12:AT$21,2,FALSE),"]",IF(AP92="",B92,AP92),"[-]")</f>
        <v>[ff7800FF][ff7800FF]最强王者[-][-]</v>
      </c>
      <c r="AX92" s="14" t="str">
        <f t="shared" si="61"/>
        <v>有效时间:30天</v>
      </c>
    </row>
    <row r="93" spans="1:50" ht="12">
      <c r="A93" s="14">
        <v>129</v>
      </c>
      <c r="B93" s="59" t="s">
        <v>296</v>
      </c>
      <c r="C93" s="12" t="s">
        <v>300</v>
      </c>
      <c r="D93" s="24" t="s">
        <v>339</v>
      </c>
      <c r="E93" s="26" t="str">
        <f t="shared" ca="1" si="100"/>
        <v>101:300|102:300</v>
      </c>
      <c r="F93" s="26" t="str">
        <f t="shared" ca="1" si="101"/>
        <v>101:60|102:60</v>
      </c>
      <c r="G93" s="24">
        <f t="shared" si="92"/>
        <v>11000</v>
      </c>
      <c r="H93" s="26">
        <f t="shared" si="93"/>
        <v>2200</v>
      </c>
      <c r="I93" s="42">
        <v>5</v>
      </c>
      <c r="J93" s="28">
        <v>3</v>
      </c>
      <c r="K93" s="26">
        <v>1</v>
      </c>
      <c r="L93" s="24" t="s">
        <v>303</v>
      </c>
      <c r="M93" s="24" t="s">
        <v>294</v>
      </c>
      <c r="N93" s="23" t="s">
        <v>215</v>
      </c>
      <c r="O93" s="58">
        <f t="shared" si="102"/>
        <v>2592000</v>
      </c>
      <c r="P93" s="60">
        <v>170098</v>
      </c>
      <c r="Q93" s="58">
        <v>10</v>
      </c>
      <c r="R93" s="12" t="str">
        <f t="shared" si="94"/>
        <v>102:60|104:1400</v>
      </c>
      <c r="S93" s="12" t="str">
        <f t="shared" si="95"/>
        <v>101:60|104:1400</v>
      </c>
      <c r="T93" s="12" t="str">
        <f t="shared" si="96"/>
        <v>101:60|102:60</v>
      </c>
      <c r="U93" s="12" t="str">
        <f t="shared" si="97"/>
        <v>102:300|104:7000</v>
      </c>
      <c r="V93" s="12" t="str">
        <f t="shared" si="98"/>
        <v>101:300|104:7000</v>
      </c>
      <c r="W93" s="12" t="str">
        <f t="shared" si="99"/>
        <v>101:300|102:300</v>
      </c>
      <c r="X93" s="12">
        <v>101</v>
      </c>
      <c r="Y93" s="14">
        <f t="shared" si="103"/>
        <v>60</v>
      </c>
      <c r="Z93" s="12">
        <v>102</v>
      </c>
      <c r="AA93" s="14">
        <f t="shared" si="104"/>
        <v>60</v>
      </c>
      <c r="AB93" s="12">
        <v>104</v>
      </c>
      <c r="AC93" s="14">
        <f t="shared" si="105"/>
        <v>1400</v>
      </c>
      <c r="AD93" s="14" t="str">
        <f t="shared" si="57"/>
        <v>[C776F3FF]超凡大师[-]\n被动属性:\n防御力+60\n生命值+1400\n使用属性:\n防御力+300\n生命值+7000\n有效时间:30天</v>
      </c>
      <c r="AE93" s="14" t="str">
        <f t="shared" si="58"/>
        <v>[C776F3FF]超凡大师[-]\n被动属性:\n攻击力+60\n生命值+1400\n使用属性:\n攻击力+300\n生命值+7000\n有效时间:30天</v>
      </c>
      <c r="AF93" s="14" t="str">
        <f t="shared" si="59"/>
        <v>[C776F3FF]超凡大师[-]\n被动属性:\n攻击力+60\n防御力+60\n使用属性:\n攻击力+300\n防御力+300\n有效时间:30天</v>
      </c>
      <c r="AG93" s="12" t="str">
        <f>VLOOKUP(X93,[1]CharPropertyConfig!$A:$B,2,FALSE)</f>
        <v>攻击力</v>
      </c>
      <c r="AH93" s="12" t="str">
        <f>VLOOKUP(Z93,[1]CharPropertyConfig!$A:$B,2,FALSE)</f>
        <v>防御力</v>
      </c>
      <c r="AI93" s="12" t="str">
        <f>VLOOKUP(AB93,[1]CharPropertyConfig!$A:$B,2,FALSE)</f>
        <v>生命值</v>
      </c>
      <c r="AJ93" s="14">
        <f t="shared" si="106"/>
        <v>3130</v>
      </c>
      <c r="AK93" s="12">
        <f t="shared" si="107"/>
        <v>0.70287539936102239</v>
      </c>
      <c r="AL93" s="12">
        <f t="shared" si="108"/>
        <v>3.5143769968051117</v>
      </c>
      <c r="AM93" s="12" t="e">
        <f>INDEX([2]achievement!$B:$B,MATCH(SUMIFS([3]ItemConfig!$A:$A,[3]ItemConfig!$T:$T,"add_title",[3]ItemConfig!$U:$U,A93),[2]achievement!$H:$H,0))</f>
        <v>#VALUE!</v>
      </c>
      <c r="AO93" s="12" t="str">
        <f t="shared" si="109"/>
        <v>[C776F3FF][C776F3FF]超凡大师[-][-]</v>
      </c>
      <c r="AX93" s="14" t="str">
        <f t="shared" si="61"/>
        <v>有效时间:30天</v>
      </c>
    </row>
    <row r="94" spans="1:50" ht="12">
      <c r="A94" s="14">
        <v>130</v>
      </c>
      <c r="B94" s="55" t="s">
        <v>297</v>
      </c>
      <c r="C94" s="12" t="s">
        <v>301</v>
      </c>
      <c r="D94" s="24" t="s">
        <v>340</v>
      </c>
      <c r="E94" s="26" t="str">
        <f t="shared" ref="E94" ca="1" si="110">OFFSET(U94,0,J94-1,1,1)</f>
        <v>101:475|102:475</v>
      </c>
      <c r="F94" s="26" t="str">
        <f t="shared" ref="F94" ca="1" si="111">OFFSET(R94,0,J94-1,1,1)</f>
        <v>101:95|102:95</v>
      </c>
      <c r="G94" s="24">
        <f t="shared" ref="G94" si="112">H94*5</f>
        <v>17675</v>
      </c>
      <c r="H94" s="26">
        <f t="shared" ref="H94" si="113">INT((Y94*25+AA94*25+AC94*1)/2)</f>
        <v>3535</v>
      </c>
      <c r="I94" s="42">
        <v>7</v>
      </c>
      <c r="J94" s="28">
        <v>3</v>
      </c>
      <c r="K94" s="26">
        <v>1</v>
      </c>
      <c r="L94" s="24" t="s">
        <v>303</v>
      </c>
      <c r="M94" s="24" t="s">
        <v>294</v>
      </c>
      <c r="N94" s="23" t="s">
        <v>215</v>
      </c>
      <c r="O94" s="58">
        <f t="shared" si="102"/>
        <v>2592000</v>
      </c>
      <c r="P94" s="60">
        <v>170099</v>
      </c>
      <c r="Q94" s="58">
        <v>10</v>
      </c>
      <c r="R94" s="12" t="str">
        <f t="shared" ref="R94" si="114">CONCATENATE(Z94,AS$2,AA94,AT$2,AB94,AS$2,AC94)</f>
        <v>102:95|104:2320</v>
      </c>
      <c r="S94" s="12" t="str">
        <f t="shared" ref="S94" si="115">CONCATENATE(X94,AS$2,Y94,AT$2,AB94,AS$2,AC94)</f>
        <v>101:95|104:2320</v>
      </c>
      <c r="T94" s="12" t="str">
        <f t="shared" ref="T94" si="116">CONCATENATE(X94,AS$2,Y94,AT$2,Z94,AS$2,AA94)</f>
        <v>101:95|102:95</v>
      </c>
      <c r="U94" s="12" t="str">
        <f t="shared" ref="U94" si="117">CONCATENATE(Z94,AS$2,AA94*5,AT$2,AB94,AS$2,AC94*5)</f>
        <v>102:475|104:11600</v>
      </c>
      <c r="V94" s="12" t="str">
        <f t="shared" ref="V94" si="118">CONCATENATE(X94,AS$2,Y94*5,AT$2,AB94,AS$2,AC94*5)</f>
        <v>101:475|104:11600</v>
      </c>
      <c r="W94" s="12" t="str">
        <f t="shared" ref="W94" si="119">CONCATENATE(X94,AS$2,Y94*5,AT$2,Z94,AS$2,AA94*5)</f>
        <v>101:475|102:475</v>
      </c>
      <c r="X94" s="12">
        <v>101</v>
      </c>
      <c r="Y94" s="14">
        <f t="shared" ref="Y94" si="120">CEILING(POWER(I94,1.5)*5,5)</f>
        <v>95</v>
      </c>
      <c r="Z94" s="12">
        <v>102</v>
      </c>
      <c r="AA94" s="14">
        <f t="shared" ref="AA94" si="121">CEILING(POWER(I94,1.5)*5,5)</f>
        <v>95</v>
      </c>
      <c r="AB94" s="12">
        <v>104</v>
      </c>
      <c r="AC94" s="14">
        <f t="shared" ref="AC94" si="122">CEILING(POWER(I94,1.5)*125,5)</f>
        <v>2320</v>
      </c>
      <c r="AD94" s="14" t="str">
        <f t="shared" si="57"/>
        <v>[ff7800FF]天梯第一[-]\n被动属性:\n防御力+95\n生命值+2320\n使用属性:\n防御力+475\n生命值+11600\n有效时间:30天</v>
      </c>
      <c r="AE94" s="14" t="str">
        <f t="shared" si="58"/>
        <v>[ff7800FF]天梯第一[-]\n被动属性:\n攻击力+95\n生命值+2320\n使用属性:\n攻击力+475\n生命值+11600\n有效时间:30天</v>
      </c>
      <c r="AF94" s="14" t="str">
        <f t="shared" si="59"/>
        <v>[ff7800FF]天梯第一[-]\n被动属性:\n攻击力+95\n防御力+95\n使用属性:\n攻击力+475\n防御力+475\n有效时间:30天</v>
      </c>
      <c r="AG94" s="12" t="str">
        <f>VLOOKUP(X94,[1]CharPropertyConfig!$A:$B,2,FALSE)</f>
        <v>攻击力</v>
      </c>
      <c r="AH94" s="12" t="str">
        <f>VLOOKUP(Z94,[1]CharPropertyConfig!$A:$B,2,FALSE)</f>
        <v>防御力</v>
      </c>
      <c r="AI94" s="12" t="str">
        <f>VLOOKUP(AB94,[1]CharPropertyConfig!$A:$B,2,FALSE)</f>
        <v>生命值</v>
      </c>
      <c r="AJ94" s="14">
        <f t="shared" ref="AJ94" si="123">CEILING(POWER(I94,4)*5,10)</f>
        <v>12010</v>
      </c>
      <c r="AK94" s="12">
        <f t="shared" ref="AK94" si="124">H94/AJ94</f>
        <v>0.29433805162364696</v>
      </c>
      <c r="AL94" s="12">
        <f t="shared" ref="AL94" si="125">G94/AJ94</f>
        <v>1.4716902581182347</v>
      </c>
      <c r="AM94" s="12" t="e">
        <f>INDEX([2]achievement!$B:$B,MATCH(SUMIFS([3]ItemConfig!$A:$A,[3]ItemConfig!$T:$T,"add_title",[3]ItemConfig!$U:$U,A94),[2]achievement!$H:$H,0))</f>
        <v>#VALUE!</v>
      </c>
      <c r="AO94" s="12" t="str">
        <f t="shared" ref="AO94" si="126">CONCATENATE("[",VLOOKUP(I94,AS$12:AT$21,2,FALSE),"]",IF(AP94="",B94,AP94),"[-]")</f>
        <v>[ff7800FF][ff7800FF]天梯第一[-][-]</v>
      </c>
      <c r="AX94" s="14" t="str">
        <f t="shared" si="61"/>
        <v>有效时间:30天</v>
      </c>
    </row>
    <row r="95" spans="1:50" ht="12">
      <c r="A95" s="14">
        <v>131</v>
      </c>
      <c r="B95" s="55" t="s">
        <v>298</v>
      </c>
      <c r="C95" s="12" t="s">
        <v>302</v>
      </c>
      <c r="D95" s="24" t="s">
        <v>341</v>
      </c>
      <c r="E95" s="26" t="str">
        <f t="shared" ref="E95:E96" ca="1" si="127">OFFSET(U95,0,J95-1,1,1)</f>
        <v>101:475|102:475</v>
      </c>
      <c r="F95" s="26" t="str">
        <f t="shared" ref="F95:F96" ca="1" si="128">OFFSET(R95,0,J95-1,1,1)</f>
        <v>101:95|102:95</v>
      </c>
      <c r="G95" s="24">
        <f t="shared" ref="G95:G96" si="129">H95*5</f>
        <v>17675</v>
      </c>
      <c r="H95" s="26">
        <f t="shared" ref="H95:H96" si="130">INT((Y95*25+AA95*25+AC95*1)/2)</f>
        <v>3535</v>
      </c>
      <c r="I95" s="42">
        <v>7</v>
      </c>
      <c r="J95" s="28">
        <v>3</v>
      </c>
      <c r="K95" s="26">
        <v>1</v>
      </c>
      <c r="L95" s="24" t="s">
        <v>303</v>
      </c>
      <c r="M95" s="24" t="s">
        <v>294</v>
      </c>
      <c r="N95" s="23" t="s">
        <v>215</v>
      </c>
      <c r="O95" s="58">
        <f t="shared" si="102"/>
        <v>2592000</v>
      </c>
      <c r="P95" s="60">
        <v>170100</v>
      </c>
      <c r="Q95" s="58">
        <v>10</v>
      </c>
      <c r="R95" s="12" t="str">
        <f t="shared" ref="R95:R96" si="131">CONCATENATE(Z95,AS$2,AA95,AT$2,AB95,AS$2,AC95)</f>
        <v>102:95|104:2320</v>
      </c>
      <c r="S95" s="12" t="str">
        <f t="shared" ref="S95:S96" si="132">CONCATENATE(X95,AS$2,Y95,AT$2,AB95,AS$2,AC95)</f>
        <v>101:95|104:2320</v>
      </c>
      <c r="T95" s="12" t="str">
        <f t="shared" ref="T95:T96" si="133">CONCATENATE(X95,AS$2,Y95,AT$2,Z95,AS$2,AA95)</f>
        <v>101:95|102:95</v>
      </c>
      <c r="U95" s="12" t="str">
        <f t="shared" ref="U95:U96" si="134">CONCATENATE(Z95,AS$2,AA95*5,AT$2,AB95,AS$2,AC95*5)</f>
        <v>102:475|104:11600</v>
      </c>
      <c r="V95" s="12" t="str">
        <f t="shared" ref="V95:V96" si="135">CONCATENATE(X95,AS$2,Y95*5,AT$2,AB95,AS$2,AC95*5)</f>
        <v>101:475|104:11600</v>
      </c>
      <c r="W95" s="12" t="str">
        <f t="shared" ref="W95:W96" si="136">CONCATENATE(X95,AS$2,Y95*5,AT$2,Z95,AS$2,AA95*5)</f>
        <v>101:475|102:475</v>
      </c>
      <c r="X95" s="12">
        <v>101</v>
      </c>
      <c r="Y95" s="14">
        <f t="shared" ref="Y95:Y96" si="137">CEILING(POWER(I95,1.5)*5,5)</f>
        <v>95</v>
      </c>
      <c r="Z95" s="12">
        <v>102</v>
      </c>
      <c r="AA95" s="14">
        <f t="shared" ref="AA95:AA96" si="138">CEILING(POWER(I95,1.5)*5,5)</f>
        <v>95</v>
      </c>
      <c r="AB95" s="12">
        <v>104</v>
      </c>
      <c r="AC95" s="14">
        <f t="shared" ref="AC95:AC96" si="139">CEILING(POWER(I95,1.5)*125,5)</f>
        <v>2320</v>
      </c>
      <c r="AD95" s="14" t="str">
        <f t="shared" si="57"/>
        <v>[ff7800FF]天梯强者[-]\n被动属性:\n防御力+95\n生命值+2320\n使用属性:\n防御力+475\n生命值+11600\n有效时间:30天</v>
      </c>
      <c r="AE95" s="14" t="str">
        <f t="shared" si="58"/>
        <v>[ff7800FF]天梯强者[-]\n被动属性:\n攻击力+95\n生命值+2320\n使用属性:\n攻击力+475\n生命值+11600\n有效时间:30天</v>
      </c>
      <c r="AF95" s="14" t="str">
        <f t="shared" si="59"/>
        <v>[ff7800FF]天梯强者[-]\n被动属性:\n攻击力+95\n防御力+95\n使用属性:\n攻击力+475\n防御力+475\n有效时间:30天</v>
      </c>
      <c r="AG95" s="12" t="str">
        <f>VLOOKUP(X95,[1]CharPropertyConfig!$A:$B,2,FALSE)</f>
        <v>攻击力</v>
      </c>
      <c r="AH95" s="12" t="str">
        <f>VLOOKUP(Z95,[1]CharPropertyConfig!$A:$B,2,FALSE)</f>
        <v>防御力</v>
      </c>
      <c r="AI95" s="12" t="str">
        <f>VLOOKUP(AB95,[1]CharPropertyConfig!$A:$B,2,FALSE)</f>
        <v>生命值</v>
      </c>
      <c r="AJ95" s="14">
        <f t="shared" ref="AJ95:AJ96" si="140">CEILING(POWER(I95,4)*5,10)</f>
        <v>12010</v>
      </c>
      <c r="AK95" s="12">
        <f t="shared" ref="AK95:AK96" si="141">H95/AJ95</f>
        <v>0.29433805162364696</v>
      </c>
      <c r="AL95" s="12">
        <f t="shared" ref="AL95:AL96" si="142">G95/AJ95</f>
        <v>1.4716902581182347</v>
      </c>
      <c r="AM95" s="12" t="e">
        <f>INDEX([2]achievement!$B:$B,MATCH(SUMIFS([3]ItemConfig!$A:$A,[3]ItemConfig!$T:$T,"add_title",[3]ItemConfig!$U:$U,A95),[2]achievement!$H:$H,0))</f>
        <v>#VALUE!</v>
      </c>
      <c r="AO95" s="12" t="str">
        <f t="shared" ref="AO95:AO96" si="143">CONCATENATE("[",VLOOKUP(I95,AS$12:AT$21,2,FALSE),"]",IF(AP95="",B95,AP95),"[-]")</f>
        <v>[ff7800FF][ff7800FF]天梯强者[-][-]</v>
      </c>
      <c r="AX95" s="14" t="str">
        <f t="shared" si="61"/>
        <v>有效时间:30天</v>
      </c>
    </row>
    <row r="96" spans="1:50" ht="12">
      <c r="A96" s="14">
        <v>132</v>
      </c>
      <c r="B96" s="55" t="s">
        <v>319</v>
      </c>
      <c r="C96" s="12" t="s">
        <v>309</v>
      </c>
      <c r="D96" s="24" t="s">
        <v>342</v>
      </c>
      <c r="E96" s="26" t="str">
        <f t="shared" ca="1" si="127"/>
        <v>101:300|102:300</v>
      </c>
      <c r="F96" s="26" t="str">
        <f t="shared" ca="1" si="128"/>
        <v>101:60|102:60</v>
      </c>
      <c r="G96" s="24">
        <f t="shared" si="129"/>
        <v>11000</v>
      </c>
      <c r="H96" s="26">
        <f t="shared" si="130"/>
        <v>2200</v>
      </c>
      <c r="I96" s="42">
        <v>5</v>
      </c>
      <c r="J96" s="28">
        <v>3</v>
      </c>
      <c r="K96" s="26">
        <v>1</v>
      </c>
      <c r="L96" s="24" t="s">
        <v>304</v>
      </c>
      <c r="M96" s="24" t="s">
        <v>305</v>
      </c>
      <c r="N96" s="23" t="s">
        <v>306</v>
      </c>
      <c r="O96" s="58">
        <v>0</v>
      </c>
      <c r="P96" s="62">
        <v>170101</v>
      </c>
      <c r="Q96" s="58">
        <v>10</v>
      </c>
      <c r="R96" s="12" t="str">
        <f t="shared" si="131"/>
        <v>102:60|104:1400</v>
      </c>
      <c r="S96" s="12" t="str">
        <f t="shared" si="132"/>
        <v>101:60|104:1400</v>
      </c>
      <c r="T96" s="12" t="str">
        <f t="shared" si="133"/>
        <v>101:60|102:60</v>
      </c>
      <c r="U96" s="12" t="str">
        <f t="shared" si="134"/>
        <v>102:300|104:7000</v>
      </c>
      <c r="V96" s="12" t="str">
        <f t="shared" si="135"/>
        <v>101:300|104:7000</v>
      </c>
      <c r="W96" s="12" t="str">
        <f t="shared" si="136"/>
        <v>101:300|102:300</v>
      </c>
      <c r="X96" s="12">
        <v>101</v>
      </c>
      <c r="Y96" s="14">
        <f t="shared" si="137"/>
        <v>60</v>
      </c>
      <c r="Z96" s="12">
        <v>102</v>
      </c>
      <c r="AA96" s="14">
        <f t="shared" si="138"/>
        <v>60</v>
      </c>
      <c r="AB96" s="12">
        <v>104</v>
      </c>
      <c r="AC96" s="14">
        <f t="shared" si="139"/>
        <v>1400</v>
      </c>
      <c r="AD96" s="14" t="str">
        <f t="shared" si="57"/>
        <v>[C776F3FF]名扬四海[-]\n被动属性:\n防御力+60\n生命值+1400\n使用属性:\n防御力+300\n生命值+7000\n</v>
      </c>
      <c r="AE96" s="14" t="str">
        <f t="shared" si="58"/>
        <v>[C776F3FF]名扬四海[-]\n被动属性:\n攻击力+60\n生命值+1400\n使用属性:\n攻击力+300\n生命值+7000\n</v>
      </c>
      <c r="AF96" s="14" t="str">
        <f t="shared" si="59"/>
        <v>[C776F3FF]名扬四海[-]\n被动属性:\n攻击力+60\n防御力+60\n使用属性:\n攻击力+300\n防御力+300\n</v>
      </c>
      <c r="AG96" s="12" t="str">
        <f>VLOOKUP(X96,[1]CharPropertyConfig!$A:$B,2,FALSE)</f>
        <v>攻击力</v>
      </c>
      <c r="AH96" s="12" t="str">
        <f>VLOOKUP(Z96,[1]CharPropertyConfig!$A:$B,2,FALSE)</f>
        <v>防御力</v>
      </c>
      <c r="AI96" s="12" t="str">
        <f>VLOOKUP(AB96,[1]CharPropertyConfig!$A:$B,2,FALSE)</f>
        <v>生命值</v>
      </c>
      <c r="AJ96" s="14">
        <f t="shared" si="140"/>
        <v>3130</v>
      </c>
      <c r="AK96" s="12">
        <f t="shared" si="141"/>
        <v>0.70287539936102239</v>
      </c>
      <c r="AL96" s="12">
        <f t="shared" si="142"/>
        <v>3.5143769968051117</v>
      </c>
      <c r="AM96" s="12" t="e">
        <f>INDEX([2]achievement!$B:$B,MATCH(SUMIFS([3]ItemConfig!$A:$A,[3]ItemConfig!$T:$T,"add_title",[3]ItemConfig!$U:$U,A96),[2]achievement!$H:$H,0))</f>
        <v>#VALUE!</v>
      </c>
      <c r="AO96" s="12" t="str">
        <f t="shared" si="143"/>
        <v>[C776F3FF][C776F3FF]名扬四海[-][-]</v>
      </c>
      <c r="AX96" s="14" t="str">
        <f t="shared" si="61"/>
        <v/>
      </c>
    </row>
    <row r="97" spans="1:50" ht="12">
      <c r="A97" s="14">
        <v>133</v>
      </c>
      <c r="B97" s="55" t="s">
        <v>320</v>
      </c>
      <c r="C97" s="12" t="s">
        <v>307</v>
      </c>
      <c r="D97" s="24" t="s">
        <v>339</v>
      </c>
      <c r="E97" s="26" t="str">
        <f t="shared" ref="E97" ca="1" si="144">OFFSET(U97,0,J97-1,1,1)</f>
        <v>101:200|102:200</v>
      </c>
      <c r="F97" s="26" t="str">
        <f t="shared" ref="F97" ca="1" si="145">OFFSET(R97,0,J97-1,1,1)</f>
        <v>101:40|102:40</v>
      </c>
      <c r="G97" s="24">
        <f t="shared" ref="G97" si="146">H97*5</f>
        <v>7500</v>
      </c>
      <c r="H97" s="26">
        <f t="shared" ref="H97" si="147">INT((Y97*25+AA97*25+AC97*1)/2)</f>
        <v>1500</v>
      </c>
      <c r="I97" s="42">
        <v>4</v>
      </c>
      <c r="J97" s="28">
        <v>3</v>
      </c>
      <c r="K97" s="26">
        <v>1</v>
      </c>
      <c r="L97" s="24" t="s">
        <v>304</v>
      </c>
      <c r="M97" s="24" t="s">
        <v>305</v>
      </c>
      <c r="N97" s="23" t="s">
        <v>215</v>
      </c>
      <c r="O97" s="58">
        <v>0</v>
      </c>
      <c r="P97" s="62">
        <v>170102</v>
      </c>
      <c r="Q97" s="58">
        <v>10</v>
      </c>
      <c r="R97" s="12" t="str">
        <f t="shared" ref="R97" si="148">CONCATENATE(Z97,AS$2,AA97,AT$2,AB97,AS$2,AC97)</f>
        <v>102:40|104:1000</v>
      </c>
      <c r="S97" s="12" t="str">
        <f t="shared" ref="S97" si="149">CONCATENATE(X97,AS$2,Y97,AT$2,AB97,AS$2,AC97)</f>
        <v>101:40|104:1000</v>
      </c>
      <c r="T97" s="12" t="str">
        <f t="shared" ref="T97" si="150">CONCATENATE(X97,AS$2,Y97,AT$2,Z97,AS$2,AA97)</f>
        <v>101:40|102:40</v>
      </c>
      <c r="U97" s="12" t="str">
        <f t="shared" ref="U97" si="151">CONCATENATE(Z97,AS$2,AA97*5,AT$2,AB97,AS$2,AC97*5)</f>
        <v>102:200|104:5000</v>
      </c>
      <c r="V97" s="12" t="str">
        <f t="shared" ref="V97" si="152">CONCATENATE(X97,AS$2,Y97*5,AT$2,AB97,AS$2,AC97*5)</f>
        <v>101:200|104:5000</v>
      </c>
      <c r="W97" s="12" t="str">
        <f t="shared" ref="W97" si="153">CONCATENATE(X97,AS$2,Y97*5,AT$2,Z97,AS$2,AA97*5)</f>
        <v>101:200|102:200</v>
      </c>
      <c r="X97" s="12">
        <v>101</v>
      </c>
      <c r="Y97" s="14">
        <f t="shared" ref="Y97" si="154">CEILING(POWER(I97,1.5)*5,5)</f>
        <v>40</v>
      </c>
      <c r="Z97" s="12">
        <v>102</v>
      </c>
      <c r="AA97" s="14">
        <f t="shared" ref="AA97" si="155">CEILING(POWER(I97,1.5)*5,5)</f>
        <v>40</v>
      </c>
      <c r="AB97" s="12">
        <v>104</v>
      </c>
      <c r="AC97" s="14">
        <f t="shared" ref="AC97" si="156">CEILING(POWER(I97,1.5)*125,5)</f>
        <v>1000</v>
      </c>
      <c r="AD97" s="14" t="str">
        <f t="shared" si="57"/>
        <v>[76CBF3FF]冲级达人[-]\n被动属性:\n防御力+40\n生命值+1000\n使用属性:\n防御力+200\n生命值+5000\n</v>
      </c>
      <c r="AE97" s="14" t="str">
        <f t="shared" si="58"/>
        <v>[76CBF3FF]冲级达人[-]\n被动属性:\n攻击力+40\n生命值+1000\n使用属性:\n攻击力+200\n生命值+5000\n</v>
      </c>
      <c r="AF97" s="14" t="str">
        <f t="shared" si="59"/>
        <v>[76CBF3FF]冲级达人[-]\n被动属性:\n攻击力+40\n防御力+40\n使用属性:\n攻击力+200\n防御力+200\n</v>
      </c>
      <c r="AG97" s="12" t="str">
        <f>VLOOKUP(X97,[1]CharPropertyConfig!$A:$B,2,FALSE)</f>
        <v>攻击力</v>
      </c>
      <c r="AH97" s="12" t="str">
        <f>VLOOKUP(Z97,[1]CharPropertyConfig!$A:$B,2,FALSE)</f>
        <v>防御力</v>
      </c>
      <c r="AI97" s="12" t="str">
        <f>VLOOKUP(AB97,[1]CharPropertyConfig!$A:$B,2,FALSE)</f>
        <v>生命值</v>
      </c>
      <c r="AJ97" s="14">
        <f t="shared" ref="AJ97" si="157">CEILING(POWER(I97,4)*5,10)</f>
        <v>1280</v>
      </c>
      <c r="AK97" s="12">
        <f t="shared" ref="AK97" si="158">H97/AJ97</f>
        <v>1.171875</v>
      </c>
      <c r="AL97" s="12">
        <f t="shared" ref="AL97" si="159">G97/AJ97</f>
        <v>5.859375</v>
      </c>
      <c r="AM97" s="12" t="e">
        <f>INDEX([2]achievement!$B:$B,MATCH(SUMIFS([3]ItemConfig!$A:$A,[3]ItemConfig!$T:$T,"add_title",[3]ItemConfig!$U:$U,A97),[2]achievement!$H:$H,0))</f>
        <v>#VALUE!</v>
      </c>
      <c r="AO97" s="12" t="str">
        <f t="shared" ref="AO97" si="160">CONCATENATE("[",VLOOKUP(I97,AS$12:AT$21,2,FALSE),"]",IF(AP97="",B97,AP97),"[-]")</f>
        <v>[76CBF3FF][76CBF3FF]冲级达人[-][-]</v>
      </c>
      <c r="AX97" s="14" t="str">
        <f t="shared" si="61"/>
        <v/>
      </c>
    </row>
  </sheetData>
  <autoFilter ref="I1:I69"/>
  <mergeCells count="2">
    <mergeCell ref="R1:T1"/>
    <mergeCell ref="U1:W1"/>
  </mergeCells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transTiltes">
                <anchor moveWithCells="1" sizeWithCells="1">
                  <from>
                    <xdr:col>8</xdr:col>
                    <xdr:colOff>533400</xdr:colOff>
                    <xdr:row>3</xdr:row>
                    <xdr:rowOff>47625</xdr:rowOff>
                  </from>
                  <to>
                    <xdr:col>10</xdr:col>
                    <xdr:colOff>133350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9"/>
  <sheetViews>
    <sheetView workbookViewId="0">
      <selection activeCell="B36" sqref="B36:B39"/>
    </sheetView>
  </sheetViews>
  <sheetFormatPr defaultRowHeight="13.5"/>
  <cols>
    <col min="2" max="2" width="22.25" bestFit="1" customWidth="1"/>
  </cols>
  <sheetData>
    <row r="1" spans="1:41" s="1" customFormat="1">
      <c r="A1" s="1">
        <v>63</v>
      </c>
      <c r="B1" s="5" t="s">
        <v>61</v>
      </c>
      <c r="C1" s="2" t="str">
        <f t="shared" ref="C1:C39" si="0">IFERROR(IF(AJ1="",CONCATENATE("完成“",AI1,"”成就可获得此称号"),AJ1),"特殊活动产出")</f>
        <v>特殊活动产出</v>
      </c>
      <c r="D1" s="1" t="s">
        <v>10</v>
      </c>
      <c r="E1" s="1" t="str">
        <f t="shared" ref="E1:E39" ca="1" si="1">OFFSET(Q1,0,J1-1,1,1)</f>
        <v>102:450|104:3000</v>
      </c>
      <c r="F1" s="1" t="str">
        <f t="shared" ref="F1:F39" ca="1" si="2">OFFSET(N1,0,J1-1,1,1)</f>
        <v>102:90|104:600</v>
      </c>
      <c r="G1" s="1">
        <f t="shared" ref="G1:G39" si="3">H1*5</f>
        <v>1050</v>
      </c>
      <c r="H1" s="1">
        <f t="shared" ref="H1:H39" si="4">U1+W1+Y1/10</f>
        <v>210</v>
      </c>
      <c r="I1" s="6">
        <v>3</v>
      </c>
      <c r="J1" s="1">
        <v>1</v>
      </c>
      <c r="K1" s="1">
        <v>1</v>
      </c>
      <c r="L1" s="2" t="s">
        <v>101</v>
      </c>
      <c r="M1" s="2" t="s">
        <v>102</v>
      </c>
      <c r="N1" s="1" t="str">
        <f>CONCATENATE(V1,titles!AS$2,W1,titles!AT$2,X1,titles!AS$2,Y1)</f>
        <v>102:90|104:600</v>
      </c>
      <c r="O1" s="1" t="str">
        <f>CONCATENATE(T1,titles!AS$2,U1,titles!AT$2,X1,titles!AS$2,Y1)</f>
        <v>101:60|104:600</v>
      </c>
      <c r="P1" s="1" t="str">
        <f>CONCATENATE(T1,titles!AS$2,U1,titles!AT$2,V1,titles!AS$2,W1)</f>
        <v>101:60|102:90</v>
      </c>
      <c r="Q1" s="1" t="str">
        <f>CONCATENATE(V1,titles!AS$2,W1*5,titles!AT$2,X1,titles!AS$2,Y1*5)</f>
        <v>102:450|104:3000</v>
      </c>
      <c r="R1" s="1" t="str">
        <f>CONCATENATE(T1,titles!AS$2,U1*5,titles!AT$2,X1,titles!AS$2,Y1*5)</f>
        <v>101:300|104:3000</v>
      </c>
      <c r="S1" s="1" t="str">
        <f>CONCATENATE(T1,titles!AS$2,U1*5,titles!AT$2,V1,titles!AS$2,W1*5)</f>
        <v>101:300|102:450</v>
      </c>
      <c r="T1" s="1">
        <v>101</v>
      </c>
      <c r="U1" s="1">
        <f t="shared" ref="U1:U39" si="5">CEILING(POWER(I1,1.5)*10,10)</f>
        <v>60</v>
      </c>
      <c r="V1" s="1">
        <v>102</v>
      </c>
      <c r="W1" s="1">
        <f t="shared" ref="W1:W39" si="6">POWER(I1,2)*10</f>
        <v>90</v>
      </c>
      <c r="X1" s="1">
        <v>104</v>
      </c>
      <c r="Y1" s="1">
        <f t="shared" ref="Y1:Y39" si="7">CEILING(POWER(I1,1.5)*100,100)</f>
        <v>600</v>
      </c>
      <c r="Z1" s="1" t="str">
        <f t="shared" ref="Z1:Z39" si="8">CONCATENATE(B1,"\n","被动属性:","\n",AD1,"+",W1,"\n",AE1,"+",Y1,"\n","使用属性:","\n",AD1,"+",W1*5,"\n",AE1,"+",Y1*5)</f>
        <v>[A4E66FFF]破法者[-]\n被动属性:\n防御力+90\n生命值+600\n使用属性:\n防御力+450\n生命值+3000</v>
      </c>
      <c r="AA1" s="1" t="str">
        <f t="shared" ref="AA1:AA39" si="9">CONCATENATE(B1,"\n","被动属性:","\n",AC1,"+",U1,"\n",AE1,"+",Y1,"\n","使用属性:","\n",AC1,"+",U1*5,"\n",,AE1,"+",Y1*5)</f>
        <v>[A4E66FFF]破法者[-]\n被动属性:\n攻击力+60\n生命值+600\n使用属性:\n攻击力+300\n生命值+3000</v>
      </c>
      <c r="AB1" s="1" t="str">
        <f t="shared" ref="AB1:AB39" si="10">CONCATENATE(B1,"\n","被动属性:","\n",AC1,"+",U1,"\n",AD1,"+",W1,"\n","使用属性:","\n",AC1,"+",U1*5,"\n",AD1,"+",W1*5,"\n")</f>
        <v>[A4E66FFF]破法者[-]\n被动属性:\n攻击力+60\n防御力+90\n使用属性:\n攻击力+300\n防御力+450\n</v>
      </c>
      <c r="AC1" s="1" t="str">
        <f>VLOOKUP(T1,[1]CharPropertyConfig!$A:$B,2,FALSE)</f>
        <v>攻击力</v>
      </c>
      <c r="AD1" s="1" t="str">
        <f>VLOOKUP(V1,[1]CharPropertyConfig!$A:$B,2,FALSE)</f>
        <v>防御力</v>
      </c>
      <c r="AE1" s="1" t="str">
        <f>VLOOKUP(X1,[1]CharPropertyConfig!$A:$B,2,FALSE)</f>
        <v>生命值</v>
      </c>
      <c r="AF1" s="1">
        <f t="shared" ref="AF1:AF39" si="11">CEILING(POWER(I1,3)*5,50)</f>
        <v>150</v>
      </c>
      <c r="AG1" s="1">
        <f t="shared" ref="AG1:AG39" si="12">H1/AF1</f>
        <v>1.4</v>
      </c>
      <c r="AH1" s="1">
        <f t="shared" ref="AH1:AH39" si="13">G1/AF1</f>
        <v>7</v>
      </c>
      <c r="AI1" s="1" t="e">
        <f>INDEX([2]achievement!$B:$B,MATCH(SUMIFS([3]ItemConfig!$A:$A,[3]ItemConfig!$T:$T,"add_title",[3]ItemConfig!$U:$U,A1),[2]achievement!$H:$H,0))</f>
        <v>#VALUE!</v>
      </c>
      <c r="AK1" s="2" t="str">
        <f>CONCATENATE("[",VLOOKUP(I1,titles!AS$12:AT$21,2,FALSE),"]",IF(AL1="",B1,AL1),"[-]")</f>
        <v>[76CBF3FF][A4E66FFF]破法者[-][-]</v>
      </c>
      <c r="AL1" s="2"/>
      <c r="AM1" s="3"/>
      <c r="AN1" s="5" t="s">
        <v>61</v>
      </c>
      <c r="AO1" s="11" t="s">
        <v>114</v>
      </c>
    </row>
    <row r="2" spans="1:41" s="1" customFormat="1">
      <c r="A2" s="1">
        <v>64</v>
      </c>
      <c r="B2" s="5" t="s">
        <v>62</v>
      </c>
      <c r="C2" s="2" t="str">
        <f t="shared" si="0"/>
        <v>特殊活动产出</v>
      </c>
      <c r="D2" s="1" t="s">
        <v>10</v>
      </c>
      <c r="E2" s="1" t="str">
        <f t="shared" ca="1" si="1"/>
        <v>102:450|104:3000</v>
      </c>
      <c r="F2" s="1" t="str">
        <f t="shared" ca="1" si="2"/>
        <v>102:90|104:600</v>
      </c>
      <c r="G2" s="1">
        <f t="shared" si="3"/>
        <v>1050</v>
      </c>
      <c r="H2" s="1">
        <f t="shared" si="4"/>
        <v>210</v>
      </c>
      <c r="I2" s="6">
        <v>3</v>
      </c>
      <c r="J2" s="1">
        <v>1</v>
      </c>
      <c r="K2" s="1">
        <v>1</v>
      </c>
      <c r="L2" s="2" t="s">
        <v>101</v>
      </c>
      <c r="M2" s="2" t="s">
        <v>102</v>
      </c>
      <c r="N2" s="1" t="str">
        <f>CONCATENATE(V2,titles!AS$2,W2,titles!AT$2,X2,titles!AS$2,Y2)</f>
        <v>102:90|104:600</v>
      </c>
      <c r="O2" s="1" t="str">
        <f>CONCATENATE(T2,titles!AS$2,U2,titles!AT$2,X2,titles!AS$2,Y2)</f>
        <v>101:60|104:600</v>
      </c>
      <c r="P2" s="1" t="str">
        <f>CONCATENATE(T2,titles!AS$2,U2,titles!AT$2,V2,titles!AS$2,W2)</f>
        <v>101:60|102:90</v>
      </c>
      <c r="Q2" s="1" t="str">
        <f>CONCATENATE(V2,titles!AS$2,W2*5,titles!AT$2,X2,titles!AS$2,Y2*5)</f>
        <v>102:450|104:3000</v>
      </c>
      <c r="R2" s="1" t="str">
        <f>CONCATENATE(T2,titles!AS$2,U2*5,titles!AT$2,X2,titles!AS$2,Y2*5)</f>
        <v>101:300|104:3000</v>
      </c>
      <c r="S2" s="1" t="str">
        <f>CONCATENATE(T2,titles!AS$2,U2*5,titles!AT$2,V2,titles!AS$2,W2*5)</f>
        <v>101:300|102:450</v>
      </c>
      <c r="T2" s="1">
        <v>101</v>
      </c>
      <c r="U2" s="1">
        <f t="shared" si="5"/>
        <v>60</v>
      </c>
      <c r="V2" s="1">
        <v>102</v>
      </c>
      <c r="W2" s="1">
        <f t="shared" si="6"/>
        <v>90</v>
      </c>
      <c r="X2" s="1">
        <v>104</v>
      </c>
      <c r="Y2" s="1">
        <f t="shared" si="7"/>
        <v>600</v>
      </c>
      <c r="Z2" s="1" t="str">
        <f t="shared" si="8"/>
        <v>[A4E66FFF]诅咒破灭者[-]\n被动属性:\n防御力+90\n生命值+600\n使用属性:\n防御力+450\n生命值+3000</v>
      </c>
      <c r="AA2" s="1" t="str">
        <f t="shared" si="9"/>
        <v>[A4E66FFF]诅咒破灭者[-]\n被动属性:\n攻击力+60\n生命值+600\n使用属性:\n攻击力+300\n生命值+3000</v>
      </c>
      <c r="AB2" s="1" t="str">
        <f t="shared" si="10"/>
        <v>[A4E66FFF]诅咒破灭者[-]\n被动属性:\n攻击力+60\n防御力+90\n使用属性:\n攻击力+300\n防御力+450\n</v>
      </c>
      <c r="AC2" s="1" t="str">
        <f>VLOOKUP(T2,[1]CharPropertyConfig!$A:$B,2,FALSE)</f>
        <v>攻击力</v>
      </c>
      <c r="AD2" s="1" t="str">
        <f>VLOOKUP(V2,[1]CharPropertyConfig!$A:$B,2,FALSE)</f>
        <v>防御力</v>
      </c>
      <c r="AE2" s="1" t="str">
        <f>VLOOKUP(X2,[1]CharPropertyConfig!$A:$B,2,FALSE)</f>
        <v>生命值</v>
      </c>
      <c r="AF2" s="1">
        <f t="shared" si="11"/>
        <v>150</v>
      </c>
      <c r="AG2" s="1">
        <f t="shared" si="12"/>
        <v>1.4</v>
      </c>
      <c r="AH2" s="1">
        <f t="shared" si="13"/>
        <v>7</v>
      </c>
      <c r="AI2" s="1" t="e">
        <f>INDEX([2]achievement!$B:$B,MATCH(SUMIFS([3]ItemConfig!$A:$A,[3]ItemConfig!$T:$T,"add_title",[3]ItemConfig!$U:$U,A2),[2]achievement!$H:$H,0))</f>
        <v>#VALUE!</v>
      </c>
      <c r="AK2" s="2" t="str">
        <f>CONCATENATE("[",VLOOKUP(I2,titles!AS$12:AT$21,2,FALSE),"]",IF(AL2="",B2,AL2),"[-]")</f>
        <v>[76CBF3FF][A4E66FFF]诅咒破灭者[-][-]</v>
      </c>
      <c r="AL2" s="2"/>
      <c r="AM2" s="3"/>
      <c r="AN2" s="5" t="s">
        <v>62</v>
      </c>
      <c r="AO2" s="11" t="s">
        <v>115</v>
      </c>
    </row>
    <row r="3" spans="1:41" s="1" customFormat="1">
      <c r="A3" s="1">
        <v>65</v>
      </c>
      <c r="B3" s="7" t="s">
        <v>63</v>
      </c>
      <c r="C3" s="2" t="str">
        <f t="shared" si="0"/>
        <v>特殊活动产出</v>
      </c>
      <c r="D3" s="1" t="s">
        <v>10</v>
      </c>
      <c r="E3" s="1" t="str">
        <f t="shared" ca="1" si="1"/>
        <v>102:800|104:4000</v>
      </c>
      <c r="F3" s="1" t="str">
        <f t="shared" ca="1" si="2"/>
        <v>102:160|104:800</v>
      </c>
      <c r="G3" s="1">
        <f t="shared" si="3"/>
        <v>1600</v>
      </c>
      <c r="H3" s="1">
        <f t="shared" si="4"/>
        <v>320</v>
      </c>
      <c r="I3" s="6">
        <v>4</v>
      </c>
      <c r="J3" s="1">
        <v>1</v>
      </c>
      <c r="K3" s="1">
        <v>1</v>
      </c>
      <c r="L3" s="2" t="s">
        <v>101</v>
      </c>
      <c r="M3" s="2" t="s">
        <v>102</v>
      </c>
      <c r="N3" s="1" t="str">
        <f>CONCATENATE(V3,titles!AS$2,W3,titles!AT$2,X3,titles!AS$2,Y3)</f>
        <v>102:160|104:800</v>
      </c>
      <c r="O3" s="1" t="str">
        <f>CONCATENATE(T3,titles!AS$2,U3,titles!AT$2,X3,titles!AS$2,Y3)</f>
        <v>101:80|104:800</v>
      </c>
      <c r="P3" s="1" t="str">
        <f>CONCATENATE(T3,titles!AS$2,U3,titles!AT$2,V3,titles!AS$2,W3)</f>
        <v>101:80|102:160</v>
      </c>
      <c r="Q3" s="1" t="str">
        <f>CONCATENATE(V3,titles!AS$2,W3*5,titles!AT$2,X3,titles!AS$2,Y3*5)</f>
        <v>102:800|104:4000</v>
      </c>
      <c r="R3" s="1" t="str">
        <f>CONCATENATE(T3,titles!AS$2,U3*5,titles!AT$2,X3,titles!AS$2,Y3*5)</f>
        <v>101:400|104:4000</v>
      </c>
      <c r="S3" s="1" t="str">
        <f>CONCATENATE(T3,titles!AS$2,U3*5,titles!AT$2,V3,titles!AS$2,W3*5)</f>
        <v>101:400|102:800</v>
      </c>
      <c r="T3" s="1">
        <v>101</v>
      </c>
      <c r="U3" s="1">
        <f t="shared" si="5"/>
        <v>80</v>
      </c>
      <c r="V3" s="1">
        <v>102</v>
      </c>
      <c r="W3" s="1">
        <f t="shared" si="6"/>
        <v>160</v>
      </c>
      <c r="X3" s="1">
        <v>104</v>
      </c>
      <c r="Y3" s="1">
        <f t="shared" si="7"/>
        <v>800</v>
      </c>
      <c r="Z3" s="1" t="str">
        <f t="shared" si="8"/>
        <v>[A4E66FFF]武器大师[-]\n被动属性:\n防御力+160\n生命值+800\n使用属性:\n防御力+800\n生命值+4000</v>
      </c>
      <c r="AA3" s="1" t="str">
        <f t="shared" si="9"/>
        <v>[A4E66FFF]武器大师[-]\n被动属性:\n攻击力+80\n生命值+800\n使用属性:\n攻击力+400\n生命值+4000</v>
      </c>
      <c r="AB3" s="1" t="str">
        <f t="shared" si="10"/>
        <v>[A4E66FFF]武器大师[-]\n被动属性:\n攻击力+80\n防御力+160\n使用属性:\n攻击力+400\n防御力+800\n</v>
      </c>
      <c r="AC3" s="1" t="str">
        <f>VLOOKUP(T3,[1]CharPropertyConfig!$A:$B,2,FALSE)</f>
        <v>攻击力</v>
      </c>
      <c r="AD3" s="1" t="str">
        <f>VLOOKUP(V3,[1]CharPropertyConfig!$A:$B,2,FALSE)</f>
        <v>防御力</v>
      </c>
      <c r="AE3" s="1" t="str">
        <f>VLOOKUP(X3,[1]CharPropertyConfig!$A:$B,2,FALSE)</f>
        <v>生命值</v>
      </c>
      <c r="AF3" s="1">
        <f t="shared" si="11"/>
        <v>350</v>
      </c>
      <c r="AG3" s="1">
        <f t="shared" si="12"/>
        <v>0.91428571428571426</v>
      </c>
      <c r="AH3" s="1">
        <f t="shared" si="13"/>
        <v>4.5714285714285712</v>
      </c>
      <c r="AI3" s="1" t="e">
        <f>INDEX([2]achievement!$B:$B,MATCH(SUMIFS([3]ItemConfig!$A:$A,[3]ItemConfig!$T:$T,"add_title",[3]ItemConfig!$U:$U,A3),[2]achievement!$H:$H,0))</f>
        <v>#VALUE!</v>
      </c>
      <c r="AJ3" s="2"/>
      <c r="AK3" s="2" t="str">
        <f>CONCATENATE("[",VLOOKUP(I3,titles!AS$12:AT$21,2,FALSE),"]",IF(AL3="",B3,AL3),"[-]")</f>
        <v>[76CBF3FF][A4E66FFF]武器大师[-][-]</v>
      </c>
      <c r="AL3" s="2"/>
      <c r="AM3" s="3"/>
      <c r="AN3" s="7" t="s">
        <v>63</v>
      </c>
      <c r="AO3" s="11" t="s">
        <v>116</v>
      </c>
    </row>
    <row r="4" spans="1:41" s="1" customFormat="1">
      <c r="A4" s="1">
        <v>66</v>
      </c>
      <c r="B4" s="7" t="s">
        <v>64</v>
      </c>
      <c r="C4" s="2" t="str">
        <f t="shared" si="0"/>
        <v>特殊活动产出</v>
      </c>
      <c r="D4" s="1" t="s">
        <v>10</v>
      </c>
      <c r="E4" s="1" t="str">
        <f t="shared" ca="1" si="1"/>
        <v>102:800|104:4000</v>
      </c>
      <c r="F4" s="1" t="str">
        <f t="shared" ca="1" si="2"/>
        <v>102:160|104:800</v>
      </c>
      <c r="G4" s="1">
        <f t="shared" si="3"/>
        <v>1600</v>
      </c>
      <c r="H4" s="1">
        <f t="shared" si="4"/>
        <v>320</v>
      </c>
      <c r="I4" s="6">
        <v>4</v>
      </c>
      <c r="J4" s="1">
        <v>1</v>
      </c>
      <c r="K4" s="1">
        <v>1</v>
      </c>
      <c r="L4" s="2" t="s">
        <v>101</v>
      </c>
      <c r="M4" s="2" t="s">
        <v>102</v>
      </c>
      <c r="N4" s="1" t="str">
        <f>CONCATENATE(V4,titles!AS$2,W4,titles!AT$2,X4,titles!AS$2,Y4)</f>
        <v>102:160|104:800</v>
      </c>
      <c r="O4" s="1" t="str">
        <f>CONCATENATE(T4,titles!AS$2,U4,titles!AT$2,X4,titles!AS$2,Y4)</f>
        <v>101:80|104:800</v>
      </c>
      <c r="P4" s="1" t="str">
        <f>CONCATENATE(T4,titles!AS$2,U4,titles!AT$2,V4,titles!AS$2,W4)</f>
        <v>101:80|102:160</v>
      </c>
      <c r="Q4" s="1" t="str">
        <f>CONCATENATE(V4,titles!AS$2,W4*5,titles!AT$2,X4,titles!AS$2,Y4*5)</f>
        <v>102:800|104:4000</v>
      </c>
      <c r="R4" s="1" t="str">
        <f>CONCATENATE(T4,titles!AS$2,U4*5,titles!AT$2,X4,titles!AS$2,Y4*5)</f>
        <v>101:400|104:4000</v>
      </c>
      <c r="S4" s="1" t="str">
        <f>CONCATENATE(T4,titles!AS$2,U4*5,titles!AT$2,V4,titles!AS$2,W4*5)</f>
        <v>101:400|102:800</v>
      </c>
      <c r="T4" s="1">
        <v>101</v>
      </c>
      <c r="U4" s="1">
        <f t="shared" si="5"/>
        <v>80</v>
      </c>
      <c r="V4" s="1">
        <v>102</v>
      </c>
      <c r="W4" s="1">
        <f t="shared" si="6"/>
        <v>160</v>
      </c>
      <c r="X4" s="1">
        <v>104</v>
      </c>
      <c r="Y4" s="1">
        <f t="shared" si="7"/>
        <v>800</v>
      </c>
      <c r="Z4" s="1" t="str">
        <f t="shared" si="8"/>
        <v>[A4E66FFF]圣卫骑士[-]\n被动属性:\n防御力+160\n生命值+800\n使用属性:\n防御力+800\n生命值+4000</v>
      </c>
      <c r="AA4" s="1" t="str">
        <f t="shared" si="9"/>
        <v>[A4E66FFF]圣卫骑士[-]\n被动属性:\n攻击力+80\n生命值+800\n使用属性:\n攻击力+400\n生命值+4000</v>
      </c>
      <c r="AB4" s="1" t="str">
        <f t="shared" si="10"/>
        <v>[A4E66FFF]圣卫骑士[-]\n被动属性:\n攻击力+80\n防御力+160\n使用属性:\n攻击力+400\n防御力+800\n</v>
      </c>
      <c r="AC4" s="1" t="str">
        <f>VLOOKUP(T4,[1]CharPropertyConfig!$A:$B,2,FALSE)</f>
        <v>攻击力</v>
      </c>
      <c r="AD4" s="1" t="str">
        <f>VLOOKUP(V4,[1]CharPropertyConfig!$A:$B,2,FALSE)</f>
        <v>防御力</v>
      </c>
      <c r="AE4" s="1" t="str">
        <f>VLOOKUP(X4,[1]CharPropertyConfig!$A:$B,2,FALSE)</f>
        <v>生命值</v>
      </c>
      <c r="AF4" s="1">
        <f t="shared" si="11"/>
        <v>350</v>
      </c>
      <c r="AG4" s="1">
        <f t="shared" si="12"/>
        <v>0.91428571428571426</v>
      </c>
      <c r="AH4" s="1">
        <f t="shared" si="13"/>
        <v>4.5714285714285712</v>
      </c>
      <c r="AI4" s="1" t="e">
        <f>INDEX([2]achievement!$B:$B,MATCH(SUMIFS([3]ItemConfig!$A:$A,[3]ItemConfig!$T:$T,"add_title",[3]ItemConfig!$U:$U,A4),[2]achievement!$H:$H,0))</f>
        <v>#VALUE!</v>
      </c>
      <c r="AK4" s="2" t="str">
        <f>CONCATENATE("[",VLOOKUP(I4,titles!AS$12:AT$21,2,FALSE),"]",IF(AL4="",B4,AL4),"[-]")</f>
        <v>[76CBF3FF][A4E66FFF]圣卫骑士[-][-]</v>
      </c>
      <c r="AL4" s="2"/>
      <c r="AM4" s="3"/>
      <c r="AN4" s="7" t="s">
        <v>64</v>
      </c>
      <c r="AO4" s="11" t="s">
        <v>117</v>
      </c>
    </row>
    <row r="5" spans="1:41" s="1" customFormat="1">
      <c r="A5" s="1">
        <v>67</v>
      </c>
      <c r="B5" s="5" t="s">
        <v>65</v>
      </c>
      <c r="C5" s="2" t="str">
        <f t="shared" si="0"/>
        <v>特殊活动产出</v>
      </c>
      <c r="D5" s="1" t="s">
        <v>10</v>
      </c>
      <c r="E5" s="1" t="str">
        <f t="shared" ca="1" si="1"/>
        <v>102:800|104:4000</v>
      </c>
      <c r="F5" s="1" t="str">
        <f t="shared" ca="1" si="2"/>
        <v>102:160|104:800</v>
      </c>
      <c r="G5" s="1">
        <f t="shared" si="3"/>
        <v>1600</v>
      </c>
      <c r="H5" s="1">
        <f t="shared" si="4"/>
        <v>320</v>
      </c>
      <c r="I5" s="6">
        <v>4</v>
      </c>
      <c r="J5" s="1">
        <v>1</v>
      </c>
      <c r="K5" s="1">
        <v>1</v>
      </c>
      <c r="L5" s="2" t="s">
        <v>101</v>
      </c>
      <c r="M5" s="2" t="s">
        <v>102</v>
      </c>
      <c r="N5" s="1" t="str">
        <f>CONCATENATE(V5,titles!AS$2,W5,titles!AT$2,X5,titles!AS$2,Y5)</f>
        <v>102:160|104:800</v>
      </c>
      <c r="O5" s="1" t="str">
        <f>CONCATENATE(T5,titles!AS$2,U5,titles!AT$2,X5,titles!AS$2,Y5)</f>
        <v>101:80|104:800</v>
      </c>
      <c r="P5" s="1" t="str">
        <f>CONCATENATE(T5,titles!AS$2,U5,titles!AT$2,V5,titles!AS$2,W5)</f>
        <v>101:80|102:160</v>
      </c>
      <c r="Q5" s="1" t="str">
        <f>CONCATENATE(V5,titles!AS$2,W5*5,titles!AT$2,X5,titles!AS$2,Y5*5)</f>
        <v>102:800|104:4000</v>
      </c>
      <c r="R5" s="1" t="str">
        <f>CONCATENATE(T5,titles!AS$2,U5*5,titles!AT$2,X5,titles!AS$2,Y5*5)</f>
        <v>101:400|104:4000</v>
      </c>
      <c r="S5" s="1" t="str">
        <f>CONCATENATE(T5,titles!AS$2,U5*5,titles!AT$2,V5,titles!AS$2,W5*5)</f>
        <v>101:400|102:800</v>
      </c>
      <c r="T5" s="1">
        <v>101</v>
      </c>
      <c r="U5" s="1">
        <f t="shared" si="5"/>
        <v>80</v>
      </c>
      <c r="V5" s="1">
        <v>102</v>
      </c>
      <c r="W5" s="1">
        <f t="shared" si="6"/>
        <v>160</v>
      </c>
      <c r="X5" s="1">
        <v>104</v>
      </c>
      <c r="Y5" s="1">
        <f t="shared" si="7"/>
        <v>800</v>
      </c>
      <c r="Z5" s="1" t="str">
        <f t="shared" si="8"/>
        <v>[A4E66FFF]奥秘术师[-]\n被动属性:\n防御力+160\n生命值+800\n使用属性:\n防御力+800\n生命值+4000</v>
      </c>
      <c r="AA5" s="1" t="str">
        <f t="shared" si="9"/>
        <v>[A4E66FFF]奥秘术师[-]\n被动属性:\n攻击力+80\n生命值+800\n使用属性:\n攻击力+400\n生命值+4000</v>
      </c>
      <c r="AB5" s="1" t="str">
        <f t="shared" si="10"/>
        <v>[A4E66FFF]奥秘术师[-]\n被动属性:\n攻击力+80\n防御力+160\n使用属性:\n攻击力+400\n防御力+800\n</v>
      </c>
      <c r="AC5" s="1" t="str">
        <f>VLOOKUP(T5,[1]CharPropertyConfig!$A:$B,2,FALSE)</f>
        <v>攻击力</v>
      </c>
      <c r="AD5" s="1" t="str">
        <f>VLOOKUP(V5,[1]CharPropertyConfig!$A:$B,2,FALSE)</f>
        <v>防御力</v>
      </c>
      <c r="AE5" s="1" t="str">
        <f>VLOOKUP(X5,[1]CharPropertyConfig!$A:$B,2,FALSE)</f>
        <v>生命值</v>
      </c>
      <c r="AF5" s="1">
        <f t="shared" si="11"/>
        <v>350</v>
      </c>
      <c r="AG5" s="1">
        <f t="shared" si="12"/>
        <v>0.91428571428571426</v>
      </c>
      <c r="AH5" s="1">
        <f t="shared" si="13"/>
        <v>4.5714285714285712</v>
      </c>
      <c r="AI5" s="1" t="e">
        <f>INDEX([2]achievement!$B:$B,MATCH(SUMIFS([3]ItemConfig!$A:$A,[3]ItemConfig!$T:$T,"add_title",[3]ItemConfig!$U:$U,A5),[2]achievement!$H:$H,0))</f>
        <v>#VALUE!</v>
      </c>
      <c r="AK5" s="2" t="str">
        <f>CONCATENATE("[",VLOOKUP(I5,titles!AS$12:AT$21,2,FALSE),"]",IF(AL5="",B5,AL5),"[-]")</f>
        <v>[76CBF3FF][A4E66FFF]奥秘术师[-][-]</v>
      </c>
      <c r="AL5" s="2"/>
      <c r="AM5" s="3"/>
      <c r="AN5" s="5" t="s">
        <v>65</v>
      </c>
      <c r="AO5" s="11" t="s">
        <v>118</v>
      </c>
    </row>
    <row r="6" spans="1:41" s="1" customFormat="1">
      <c r="A6" s="1">
        <v>68</v>
      </c>
      <c r="B6" s="7" t="s">
        <v>66</v>
      </c>
      <c r="C6" s="2" t="str">
        <f t="shared" si="0"/>
        <v>特殊活动产出</v>
      </c>
      <c r="D6" s="1" t="s">
        <v>10</v>
      </c>
      <c r="E6" s="1" t="str">
        <f t="shared" ca="1" si="1"/>
        <v>102:450|104:3000</v>
      </c>
      <c r="F6" s="1" t="str">
        <f t="shared" ca="1" si="2"/>
        <v>102:90|104:600</v>
      </c>
      <c r="G6" s="1">
        <f t="shared" si="3"/>
        <v>1050</v>
      </c>
      <c r="H6" s="1">
        <f t="shared" si="4"/>
        <v>210</v>
      </c>
      <c r="I6" s="6">
        <v>3</v>
      </c>
      <c r="J6" s="1">
        <v>1</v>
      </c>
      <c r="K6" s="1">
        <v>1</v>
      </c>
      <c r="L6" s="2" t="s">
        <v>101</v>
      </c>
      <c r="M6" s="2" t="s">
        <v>102</v>
      </c>
      <c r="N6" s="1" t="str">
        <f>CONCATENATE(V6,titles!AS$2,W6,titles!AT$2,X6,titles!AS$2,Y6)</f>
        <v>102:90|104:600</v>
      </c>
      <c r="O6" s="1" t="str">
        <f>CONCATENATE(T6,titles!AS$2,U6,titles!AT$2,X6,titles!AS$2,Y6)</f>
        <v>101:60|104:600</v>
      </c>
      <c r="P6" s="1" t="str">
        <f>CONCATENATE(T6,titles!AS$2,U6,titles!AT$2,V6,titles!AS$2,W6)</f>
        <v>101:60|102:90</v>
      </c>
      <c r="Q6" s="1" t="str">
        <f>CONCATENATE(V6,titles!AS$2,W6*5,titles!AT$2,X6,titles!AS$2,Y6*5)</f>
        <v>102:450|104:3000</v>
      </c>
      <c r="R6" s="1" t="str">
        <f>CONCATENATE(T6,titles!AS$2,U6*5,titles!AT$2,X6,titles!AS$2,Y6*5)</f>
        <v>101:300|104:3000</v>
      </c>
      <c r="S6" s="1" t="str">
        <f>CONCATENATE(T6,titles!AS$2,U6*5,titles!AT$2,V6,titles!AS$2,W6*5)</f>
        <v>101:300|102:450</v>
      </c>
      <c r="T6" s="1">
        <v>101</v>
      </c>
      <c r="U6" s="1">
        <f t="shared" si="5"/>
        <v>60</v>
      </c>
      <c r="V6" s="1">
        <v>102</v>
      </c>
      <c r="W6" s="1">
        <f t="shared" si="6"/>
        <v>90</v>
      </c>
      <c r="X6" s="1">
        <v>104</v>
      </c>
      <c r="Y6" s="1">
        <f t="shared" si="7"/>
        <v>600</v>
      </c>
      <c r="Z6" s="1" t="str">
        <f t="shared" si="8"/>
        <v>[A4E66FFF]英雄出世[-]\n被动属性:\n防御力+90\n生命值+600\n使用属性:\n防御力+450\n生命值+3000</v>
      </c>
      <c r="AA6" s="1" t="str">
        <f t="shared" si="9"/>
        <v>[A4E66FFF]英雄出世[-]\n被动属性:\n攻击力+60\n生命值+600\n使用属性:\n攻击力+300\n生命值+3000</v>
      </c>
      <c r="AB6" s="1" t="str">
        <f t="shared" si="10"/>
        <v>[A4E66FFF]英雄出世[-]\n被动属性:\n攻击力+60\n防御力+90\n使用属性:\n攻击力+300\n防御力+450\n</v>
      </c>
      <c r="AC6" s="1" t="str">
        <f>VLOOKUP(T6,[1]CharPropertyConfig!$A:$B,2,FALSE)</f>
        <v>攻击力</v>
      </c>
      <c r="AD6" s="1" t="str">
        <f>VLOOKUP(V6,[1]CharPropertyConfig!$A:$B,2,FALSE)</f>
        <v>防御力</v>
      </c>
      <c r="AE6" s="1" t="str">
        <f>VLOOKUP(X6,[1]CharPropertyConfig!$A:$B,2,FALSE)</f>
        <v>生命值</v>
      </c>
      <c r="AF6" s="1">
        <f t="shared" si="11"/>
        <v>150</v>
      </c>
      <c r="AG6" s="1">
        <f t="shared" si="12"/>
        <v>1.4</v>
      </c>
      <c r="AH6" s="1">
        <f t="shared" si="13"/>
        <v>7</v>
      </c>
      <c r="AI6" s="1" t="e">
        <f>INDEX([2]achievement!$B:$B,MATCH(SUMIFS([3]ItemConfig!$A:$A,[3]ItemConfig!$T:$T,"add_title",[3]ItemConfig!$U:$U,A6),[2]achievement!$H:$H,0))</f>
        <v>#VALUE!</v>
      </c>
      <c r="AK6" s="2" t="str">
        <f>CONCATENATE("[",VLOOKUP(I6,titles!AS$12:AT$21,2,FALSE),"]",IF(AL6="",B6,AL6),"[-]")</f>
        <v>[76CBF3FF][A4E66FFF]英雄出世[-][-]</v>
      </c>
      <c r="AL6" s="2"/>
      <c r="AM6" s="3"/>
      <c r="AN6" s="7" t="s">
        <v>66</v>
      </c>
      <c r="AO6" s="11" t="s">
        <v>119</v>
      </c>
    </row>
    <row r="7" spans="1:41" s="1" customFormat="1">
      <c r="A7" s="1">
        <v>69</v>
      </c>
      <c r="B7" s="8" t="s">
        <v>67</v>
      </c>
      <c r="C7" s="2" t="str">
        <f t="shared" si="0"/>
        <v>特殊活动产出</v>
      </c>
      <c r="D7" s="1" t="s">
        <v>10</v>
      </c>
      <c r="E7" s="1" t="str">
        <f t="shared" ca="1" si="1"/>
        <v>102:1250|104:6000</v>
      </c>
      <c r="F7" s="1" t="str">
        <f t="shared" ca="1" si="2"/>
        <v>102:250|104:1200</v>
      </c>
      <c r="G7" s="1">
        <f t="shared" si="3"/>
        <v>2450</v>
      </c>
      <c r="H7" s="1">
        <f t="shared" si="4"/>
        <v>490</v>
      </c>
      <c r="I7" s="6">
        <v>5</v>
      </c>
      <c r="J7" s="1">
        <v>1</v>
      </c>
      <c r="K7" s="1">
        <v>1</v>
      </c>
      <c r="L7" s="2" t="s">
        <v>101</v>
      </c>
      <c r="M7" s="2" t="s">
        <v>102</v>
      </c>
      <c r="N7" s="1" t="str">
        <f>CONCATENATE(V7,titles!AS$2,W7,titles!AT$2,X7,titles!AS$2,Y7)</f>
        <v>102:250|104:1200</v>
      </c>
      <c r="O7" s="1" t="str">
        <f>CONCATENATE(T7,titles!AS$2,U7,titles!AT$2,X7,titles!AS$2,Y7)</f>
        <v>101:120|104:1200</v>
      </c>
      <c r="P7" s="1" t="str">
        <f>CONCATENATE(T7,titles!AS$2,U7,titles!AT$2,V7,titles!AS$2,W7)</f>
        <v>101:120|102:250</v>
      </c>
      <c r="Q7" s="1" t="str">
        <f>CONCATENATE(V7,titles!AS$2,W7*5,titles!AT$2,X7,titles!AS$2,Y7*5)</f>
        <v>102:1250|104:6000</v>
      </c>
      <c r="R7" s="1" t="str">
        <f>CONCATENATE(T7,titles!AS$2,U7*5,titles!AT$2,X7,titles!AS$2,Y7*5)</f>
        <v>101:600|104:6000</v>
      </c>
      <c r="S7" s="1" t="str">
        <f>CONCATENATE(T7,titles!AS$2,U7*5,titles!AT$2,V7,titles!AS$2,W7*5)</f>
        <v>101:600|102:1250</v>
      </c>
      <c r="T7" s="1">
        <v>101</v>
      </c>
      <c r="U7" s="1">
        <f t="shared" si="5"/>
        <v>120</v>
      </c>
      <c r="V7" s="1">
        <v>102</v>
      </c>
      <c r="W7" s="1">
        <f t="shared" si="6"/>
        <v>250</v>
      </c>
      <c r="X7" s="1">
        <v>104</v>
      </c>
      <c r="Y7" s="1">
        <f t="shared" si="7"/>
        <v>1200</v>
      </c>
      <c r="Z7" s="1" t="str">
        <f t="shared" si="8"/>
        <v>[76CBF3FF]战争大师[-]\n被动属性:\n防御力+250\n生命值+1200\n使用属性:\n防御力+1250\n生命值+6000</v>
      </c>
      <c r="AA7" s="1" t="str">
        <f t="shared" si="9"/>
        <v>[76CBF3FF]战争大师[-]\n被动属性:\n攻击力+120\n生命值+1200\n使用属性:\n攻击力+600\n生命值+6000</v>
      </c>
      <c r="AB7" s="1" t="str">
        <f t="shared" si="10"/>
        <v>[76CBF3FF]战争大师[-]\n被动属性:\n攻击力+120\n防御力+250\n使用属性:\n攻击力+600\n防御力+1250\n</v>
      </c>
      <c r="AC7" s="1" t="str">
        <f>VLOOKUP(T7,[1]CharPropertyConfig!$A:$B,2,FALSE)</f>
        <v>攻击力</v>
      </c>
      <c r="AD7" s="1" t="str">
        <f>VLOOKUP(V7,[1]CharPropertyConfig!$A:$B,2,FALSE)</f>
        <v>防御力</v>
      </c>
      <c r="AE7" s="1" t="str">
        <f>VLOOKUP(X7,[1]CharPropertyConfig!$A:$B,2,FALSE)</f>
        <v>生命值</v>
      </c>
      <c r="AF7" s="1">
        <f t="shared" si="11"/>
        <v>650</v>
      </c>
      <c r="AG7" s="1">
        <f t="shared" si="12"/>
        <v>0.75384615384615383</v>
      </c>
      <c r="AH7" s="1">
        <f t="shared" si="13"/>
        <v>3.7692307692307692</v>
      </c>
      <c r="AI7" s="1" t="e">
        <f>INDEX([2]achievement!$B:$B,MATCH(SUMIFS([3]ItemConfig!$A:$A,[3]ItemConfig!$T:$T,"add_title",[3]ItemConfig!$U:$U,A7),[2]achievement!$H:$H,0))</f>
        <v>#VALUE!</v>
      </c>
      <c r="AJ7" s="2"/>
      <c r="AK7" s="2" t="str">
        <f>CONCATENATE("[",VLOOKUP(I7,titles!AS$12:AT$21,2,FALSE),"]",IF(AL7="",B7,AL7),"[-]")</f>
        <v>[C776F3FF][76CBF3FF]战争大师[-][-]</v>
      </c>
      <c r="AL7" s="2"/>
      <c r="AM7" s="3"/>
      <c r="AN7" s="8" t="s">
        <v>67</v>
      </c>
      <c r="AO7" s="11" t="s">
        <v>120</v>
      </c>
    </row>
    <row r="8" spans="1:41" s="1" customFormat="1">
      <c r="A8" s="1">
        <v>70</v>
      </c>
      <c r="B8" s="7" t="s">
        <v>68</v>
      </c>
      <c r="C8" s="2" t="str">
        <f t="shared" si="0"/>
        <v>特殊活动产出</v>
      </c>
      <c r="D8" s="1" t="s">
        <v>10</v>
      </c>
      <c r="E8" s="1" t="str">
        <f t="shared" ca="1" si="1"/>
        <v>102:1250|104:6000</v>
      </c>
      <c r="F8" s="1" t="str">
        <f t="shared" ca="1" si="2"/>
        <v>102:250|104:1200</v>
      </c>
      <c r="G8" s="1">
        <f t="shared" si="3"/>
        <v>2450</v>
      </c>
      <c r="H8" s="1">
        <f t="shared" si="4"/>
        <v>490</v>
      </c>
      <c r="I8" s="6">
        <v>5</v>
      </c>
      <c r="J8" s="1">
        <v>1</v>
      </c>
      <c r="K8" s="1">
        <v>1</v>
      </c>
      <c r="L8" s="2" t="s">
        <v>101</v>
      </c>
      <c r="M8" s="2" t="s">
        <v>102</v>
      </c>
      <c r="N8" s="1" t="str">
        <f>CONCATENATE(V8,titles!AS$2,W8,titles!AT$2,X8,titles!AS$2,Y8)</f>
        <v>102:250|104:1200</v>
      </c>
      <c r="O8" s="1" t="str">
        <f>CONCATENATE(T8,titles!AS$2,U8,titles!AT$2,X8,titles!AS$2,Y8)</f>
        <v>101:120|104:1200</v>
      </c>
      <c r="P8" s="1" t="str">
        <f>CONCATENATE(T8,titles!AS$2,U8,titles!AT$2,V8,titles!AS$2,W8)</f>
        <v>101:120|102:250</v>
      </c>
      <c r="Q8" s="1" t="str">
        <f>CONCATENATE(V8,titles!AS$2,W8*5,titles!AT$2,X8,titles!AS$2,Y8*5)</f>
        <v>102:1250|104:6000</v>
      </c>
      <c r="R8" s="1" t="str">
        <f>CONCATENATE(T8,titles!AS$2,U8*5,titles!AT$2,X8,titles!AS$2,Y8*5)</f>
        <v>101:600|104:6000</v>
      </c>
      <c r="S8" s="1" t="str">
        <f>CONCATENATE(T8,titles!AS$2,U8*5,titles!AT$2,V8,titles!AS$2,W8*5)</f>
        <v>101:600|102:1250</v>
      </c>
      <c r="T8" s="1">
        <v>101</v>
      </c>
      <c r="U8" s="1">
        <f t="shared" si="5"/>
        <v>120</v>
      </c>
      <c r="V8" s="1">
        <v>102</v>
      </c>
      <c r="W8" s="1">
        <f t="shared" si="6"/>
        <v>250</v>
      </c>
      <c r="X8" s="1">
        <v>104</v>
      </c>
      <c r="Y8" s="1">
        <f t="shared" si="7"/>
        <v>1200</v>
      </c>
      <c r="Z8" s="1" t="str">
        <f t="shared" si="8"/>
        <v>[76CBF3FF]拂晓骑士[-]\n被动属性:\n防御力+250\n生命值+1200\n使用属性:\n防御力+1250\n生命值+6000</v>
      </c>
      <c r="AA8" s="1" t="str">
        <f t="shared" si="9"/>
        <v>[76CBF3FF]拂晓骑士[-]\n被动属性:\n攻击力+120\n生命值+1200\n使用属性:\n攻击力+600\n生命值+6000</v>
      </c>
      <c r="AB8" s="1" t="str">
        <f t="shared" si="10"/>
        <v>[76CBF3FF]拂晓骑士[-]\n被动属性:\n攻击力+120\n防御力+250\n使用属性:\n攻击力+600\n防御力+1250\n</v>
      </c>
      <c r="AC8" s="1" t="str">
        <f>VLOOKUP(T8,[1]CharPropertyConfig!$A:$B,2,FALSE)</f>
        <v>攻击力</v>
      </c>
      <c r="AD8" s="1" t="str">
        <f>VLOOKUP(V8,[1]CharPropertyConfig!$A:$B,2,FALSE)</f>
        <v>防御力</v>
      </c>
      <c r="AE8" s="1" t="str">
        <f>VLOOKUP(X8,[1]CharPropertyConfig!$A:$B,2,FALSE)</f>
        <v>生命值</v>
      </c>
      <c r="AF8" s="1">
        <f t="shared" si="11"/>
        <v>650</v>
      </c>
      <c r="AG8" s="1">
        <f t="shared" si="12"/>
        <v>0.75384615384615383</v>
      </c>
      <c r="AH8" s="1">
        <f t="shared" si="13"/>
        <v>3.7692307692307692</v>
      </c>
      <c r="AI8" s="1" t="e">
        <f>INDEX([2]achievement!$B:$B,MATCH(SUMIFS([3]ItemConfig!$A:$A,[3]ItemConfig!$T:$T,"add_title",[3]ItemConfig!$U:$U,A8),[2]achievement!$H:$H,0))</f>
        <v>#VALUE!</v>
      </c>
      <c r="AK8" s="2" t="str">
        <f>CONCATENATE("[",VLOOKUP(I8,titles!AS$12:AT$21,2,FALSE),"]",IF(AL8="",B8,AL8),"[-]")</f>
        <v>[C776F3FF][76CBF3FF]拂晓骑士[-][-]</v>
      </c>
      <c r="AL8" s="2"/>
      <c r="AM8" s="3"/>
      <c r="AN8" s="7" t="s">
        <v>68</v>
      </c>
      <c r="AO8" s="11" t="s">
        <v>121</v>
      </c>
    </row>
    <row r="9" spans="1:41" s="1" customFormat="1">
      <c r="A9" s="1">
        <v>71</v>
      </c>
      <c r="B9" s="7" t="s">
        <v>69</v>
      </c>
      <c r="C9" s="2" t="str">
        <f t="shared" si="0"/>
        <v>特殊活动产出</v>
      </c>
      <c r="D9" s="1" t="s">
        <v>10</v>
      </c>
      <c r="E9" s="1" t="str">
        <f t="shared" ca="1" si="1"/>
        <v>102:1250|104:6000</v>
      </c>
      <c r="F9" s="1" t="str">
        <f t="shared" ca="1" si="2"/>
        <v>102:250|104:1200</v>
      </c>
      <c r="G9" s="1">
        <f t="shared" si="3"/>
        <v>2450</v>
      </c>
      <c r="H9" s="1">
        <f t="shared" si="4"/>
        <v>490</v>
      </c>
      <c r="I9" s="6">
        <v>5</v>
      </c>
      <c r="J9" s="1">
        <v>1</v>
      </c>
      <c r="K9" s="1">
        <v>1</v>
      </c>
      <c r="L9" s="2" t="s">
        <v>101</v>
      </c>
      <c r="M9" s="2" t="s">
        <v>102</v>
      </c>
      <c r="N9" s="1" t="str">
        <f>CONCATENATE(V9,titles!AS$2,W9,titles!AT$2,X9,titles!AS$2,Y9)</f>
        <v>102:250|104:1200</v>
      </c>
      <c r="O9" s="1" t="str">
        <f>CONCATENATE(T9,titles!AS$2,U9,titles!AT$2,X9,titles!AS$2,Y9)</f>
        <v>101:120|104:1200</v>
      </c>
      <c r="P9" s="1" t="str">
        <f>CONCATENATE(T9,titles!AS$2,U9,titles!AT$2,V9,titles!AS$2,W9)</f>
        <v>101:120|102:250</v>
      </c>
      <c r="Q9" s="1" t="str">
        <f>CONCATENATE(V9,titles!AS$2,W9*5,titles!AT$2,X9,titles!AS$2,Y9*5)</f>
        <v>102:1250|104:6000</v>
      </c>
      <c r="R9" s="1" t="str">
        <f>CONCATENATE(T9,titles!AS$2,U9*5,titles!AT$2,X9,titles!AS$2,Y9*5)</f>
        <v>101:600|104:6000</v>
      </c>
      <c r="S9" s="1" t="str">
        <f>CONCATENATE(T9,titles!AS$2,U9*5,titles!AT$2,V9,titles!AS$2,W9*5)</f>
        <v>101:600|102:1250</v>
      </c>
      <c r="T9" s="1">
        <v>101</v>
      </c>
      <c r="U9" s="1">
        <f t="shared" si="5"/>
        <v>120</v>
      </c>
      <c r="V9" s="1">
        <v>102</v>
      </c>
      <c r="W9" s="1">
        <f t="shared" si="6"/>
        <v>250</v>
      </c>
      <c r="X9" s="1">
        <v>104</v>
      </c>
      <c r="Y9" s="1">
        <f t="shared" si="7"/>
        <v>1200</v>
      </c>
      <c r="Z9" s="1" t="str">
        <f t="shared" si="8"/>
        <v>[76CBF3FF]元素大师[-]\n被动属性:\n防御力+250\n生命值+1200\n使用属性:\n防御力+1250\n生命值+6000</v>
      </c>
      <c r="AA9" s="1" t="str">
        <f t="shared" si="9"/>
        <v>[76CBF3FF]元素大师[-]\n被动属性:\n攻击力+120\n生命值+1200\n使用属性:\n攻击力+600\n生命值+6000</v>
      </c>
      <c r="AB9" s="1" t="str">
        <f t="shared" si="10"/>
        <v>[76CBF3FF]元素大师[-]\n被动属性:\n攻击力+120\n防御力+250\n使用属性:\n攻击力+600\n防御力+1250\n</v>
      </c>
      <c r="AC9" s="1" t="str">
        <f>VLOOKUP(T9,[1]CharPropertyConfig!$A:$B,2,FALSE)</f>
        <v>攻击力</v>
      </c>
      <c r="AD9" s="1" t="str">
        <f>VLOOKUP(V9,[1]CharPropertyConfig!$A:$B,2,FALSE)</f>
        <v>防御力</v>
      </c>
      <c r="AE9" s="1" t="str">
        <f>VLOOKUP(X9,[1]CharPropertyConfig!$A:$B,2,FALSE)</f>
        <v>生命值</v>
      </c>
      <c r="AF9" s="1">
        <f t="shared" si="11"/>
        <v>650</v>
      </c>
      <c r="AG9" s="1">
        <f t="shared" si="12"/>
        <v>0.75384615384615383</v>
      </c>
      <c r="AH9" s="1">
        <f t="shared" si="13"/>
        <v>3.7692307692307692</v>
      </c>
      <c r="AI9" s="1" t="e">
        <f>INDEX([2]achievement!$B:$B,MATCH(SUMIFS([3]ItemConfig!$A:$A,[3]ItemConfig!$T:$T,"add_title",[3]ItemConfig!$U:$U,A9),[2]achievement!$H:$H,0))</f>
        <v>#VALUE!</v>
      </c>
      <c r="AK9" s="2" t="str">
        <f>CONCATENATE("[",VLOOKUP(I9,titles!AS$12:AT$21,2,FALSE),"]",IF(AL9="",B9,AL9),"[-]")</f>
        <v>[C776F3FF][76CBF3FF]元素大师[-][-]</v>
      </c>
      <c r="AL9" s="2"/>
      <c r="AM9" s="3"/>
      <c r="AN9" s="7" t="s">
        <v>69</v>
      </c>
      <c r="AO9" s="11" t="s">
        <v>122</v>
      </c>
    </row>
    <row r="10" spans="1:41" s="1" customFormat="1">
      <c r="A10" s="29">
        <v>72</v>
      </c>
      <c r="B10" s="7" t="s">
        <v>70</v>
      </c>
      <c r="C10" s="2" t="str">
        <f t="shared" si="0"/>
        <v>特殊活动产出</v>
      </c>
      <c r="D10" s="1" t="s">
        <v>10</v>
      </c>
      <c r="E10" s="1" t="str">
        <f t="shared" ca="1" si="1"/>
        <v>102:2450|104:9500</v>
      </c>
      <c r="F10" s="1" t="str">
        <f t="shared" ca="1" si="2"/>
        <v>102:490|104:1900</v>
      </c>
      <c r="G10" s="1">
        <f t="shared" si="3"/>
        <v>4350</v>
      </c>
      <c r="H10" s="1">
        <f t="shared" si="4"/>
        <v>870</v>
      </c>
      <c r="I10" s="6">
        <v>7</v>
      </c>
      <c r="J10" s="1">
        <v>1</v>
      </c>
      <c r="K10" s="1">
        <v>1</v>
      </c>
      <c r="L10" s="2" t="s">
        <v>101</v>
      </c>
      <c r="M10" s="2" t="s">
        <v>102</v>
      </c>
      <c r="N10" s="1" t="str">
        <f>CONCATENATE(V10,titles!AS$2,W10,titles!AT$2,X10,titles!AS$2,Y10)</f>
        <v>102:490|104:1900</v>
      </c>
      <c r="O10" s="1" t="str">
        <f>CONCATENATE(T10,titles!AS$2,U10,titles!AT$2,X10,titles!AS$2,Y10)</f>
        <v>101:190|104:1900</v>
      </c>
      <c r="P10" s="1" t="str">
        <f>CONCATENATE(T10,titles!AS$2,U10,titles!AT$2,V10,titles!AS$2,W10)</f>
        <v>101:190|102:490</v>
      </c>
      <c r="Q10" s="1" t="str">
        <f>CONCATENATE(V10,titles!AS$2,W10*5,titles!AT$2,X10,titles!AS$2,Y10*5)</f>
        <v>102:2450|104:9500</v>
      </c>
      <c r="R10" s="1" t="str">
        <f>CONCATENATE(T10,titles!AS$2,U10*5,titles!AT$2,X10,titles!AS$2,Y10*5)</f>
        <v>101:950|104:9500</v>
      </c>
      <c r="S10" s="1" t="str">
        <f>CONCATENATE(T10,titles!AS$2,U10*5,titles!AT$2,V10,titles!AS$2,W10*5)</f>
        <v>101:950|102:2450</v>
      </c>
      <c r="T10" s="1">
        <v>101</v>
      </c>
      <c r="U10" s="1">
        <f t="shared" si="5"/>
        <v>190</v>
      </c>
      <c r="V10" s="1">
        <v>102</v>
      </c>
      <c r="W10" s="1">
        <f t="shared" si="6"/>
        <v>490</v>
      </c>
      <c r="X10" s="1">
        <v>104</v>
      </c>
      <c r="Y10" s="1">
        <f t="shared" si="7"/>
        <v>1900</v>
      </c>
      <c r="Z10" s="1" t="str">
        <f t="shared" si="8"/>
        <v>[C776F3FF]战争之王[-]\n被动属性:\n防御力+490\n生命值+1900\n使用属性:\n防御力+2450\n生命值+9500</v>
      </c>
      <c r="AA10" s="1" t="str">
        <f t="shared" si="9"/>
        <v>[C776F3FF]战争之王[-]\n被动属性:\n攻击力+190\n生命值+1900\n使用属性:\n攻击力+950\n生命值+9500</v>
      </c>
      <c r="AB10" s="1" t="str">
        <f t="shared" si="10"/>
        <v>[C776F3FF]战争之王[-]\n被动属性:\n攻击力+190\n防御力+490\n使用属性:\n攻击力+950\n防御力+2450\n</v>
      </c>
      <c r="AC10" s="1" t="str">
        <f>VLOOKUP(T10,[1]CharPropertyConfig!$A:$B,2,FALSE)</f>
        <v>攻击力</v>
      </c>
      <c r="AD10" s="1" t="str">
        <f>VLOOKUP(V10,[1]CharPropertyConfig!$A:$B,2,FALSE)</f>
        <v>防御力</v>
      </c>
      <c r="AE10" s="1" t="str">
        <f>VLOOKUP(X10,[1]CharPropertyConfig!$A:$B,2,FALSE)</f>
        <v>生命值</v>
      </c>
      <c r="AF10" s="1">
        <f t="shared" si="11"/>
        <v>1750</v>
      </c>
      <c r="AG10" s="1">
        <f t="shared" si="12"/>
        <v>0.49714285714285716</v>
      </c>
      <c r="AH10" s="1">
        <f t="shared" si="13"/>
        <v>2.4857142857142858</v>
      </c>
      <c r="AI10" s="1" t="e">
        <f>INDEX([2]achievement!$B:$B,MATCH(SUMIFS([3]ItemConfig!$A:$A,[3]ItemConfig!$T:$T,"add_title",[3]ItemConfig!$U:$U,A10),[2]achievement!$H:$H,0))</f>
        <v>#VALUE!</v>
      </c>
      <c r="AK10" s="2" t="str">
        <f>CONCATENATE("[",VLOOKUP(I10,titles!AS$12:AT$21,2,FALSE),"]",IF(AL10="",B10,AL10),"[-]")</f>
        <v>[ff7800FF][C776F3FF]战争之王[-][-]</v>
      </c>
      <c r="AL10" s="2"/>
      <c r="AM10" s="3"/>
      <c r="AN10" s="7" t="s">
        <v>70</v>
      </c>
      <c r="AO10" s="11" t="s">
        <v>123</v>
      </c>
    </row>
    <row r="11" spans="1:41" s="1" customFormat="1">
      <c r="A11" s="29">
        <v>73</v>
      </c>
      <c r="B11" s="5" t="s">
        <v>71</v>
      </c>
      <c r="C11" s="2" t="str">
        <f t="shared" si="0"/>
        <v>特殊活动产出</v>
      </c>
      <c r="D11" s="1" t="s">
        <v>10</v>
      </c>
      <c r="E11" s="1" t="str">
        <f t="shared" ca="1" si="1"/>
        <v>102:2450|104:9500</v>
      </c>
      <c r="F11" s="1" t="str">
        <f t="shared" ca="1" si="2"/>
        <v>102:490|104:1900</v>
      </c>
      <c r="G11" s="1">
        <f t="shared" si="3"/>
        <v>4350</v>
      </c>
      <c r="H11" s="1">
        <f t="shared" si="4"/>
        <v>870</v>
      </c>
      <c r="I11" s="6">
        <v>7</v>
      </c>
      <c r="J11" s="1">
        <v>1</v>
      </c>
      <c r="K11" s="1">
        <v>1</v>
      </c>
      <c r="L11" s="2" t="s">
        <v>101</v>
      </c>
      <c r="M11" s="2" t="s">
        <v>102</v>
      </c>
      <c r="N11" s="1" t="str">
        <f>CONCATENATE(V11,titles!AS$2,W11,titles!AT$2,X11,titles!AS$2,Y11)</f>
        <v>102:490|104:1900</v>
      </c>
      <c r="O11" s="1" t="str">
        <f>CONCATENATE(T11,titles!AS$2,U11,titles!AT$2,X11,titles!AS$2,Y11)</f>
        <v>101:190|104:1900</v>
      </c>
      <c r="P11" s="1" t="str">
        <f>CONCATENATE(T11,titles!AS$2,U11,titles!AT$2,V11,titles!AS$2,W11)</f>
        <v>101:190|102:490</v>
      </c>
      <c r="Q11" s="1" t="str">
        <f>CONCATENATE(V11,titles!AS$2,W11*5,titles!AT$2,X11,titles!AS$2,Y11*5)</f>
        <v>102:2450|104:9500</v>
      </c>
      <c r="R11" s="1" t="str">
        <f>CONCATENATE(T11,titles!AS$2,U11*5,titles!AT$2,X11,titles!AS$2,Y11*5)</f>
        <v>101:950|104:9500</v>
      </c>
      <c r="S11" s="1" t="str">
        <f>CONCATENATE(T11,titles!AS$2,U11*5,titles!AT$2,V11,titles!AS$2,W11*5)</f>
        <v>101:950|102:2450</v>
      </c>
      <c r="T11" s="1">
        <v>101</v>
      </c>
      <c r="U11" s="1">
        <f t="shared" si="5"/>
        <v>190</v>
      </c>
      <c r="V11" s="1">
        <v>102</v>
      </c>
      <c r="W11" s="1">
        <f t="shared" si="6"/>
        <v>490</v>
      </c>
      <c r="X11" s="1">
        <v>104</v>
      </c>
      <c r="Y11" s="1">
        <f t="shared" si="7"/>
        <v>1900</v>
      </c>
      <c r="Z11" s="1" t="str">
        <f t="shared" si="8"/>
        <v>[C776F3FF]裁决者[-]\n被动属性:\n防御力+490\n生命值+1900\n使用属性:\n防御力+2450\n生命值+9500</v>
      </c>
      <c r="AA11" s="1" t="str">
        <f t="shared" si="9"/>
        <v>[C776F3FF]裁决者[-]\n被动属性:\n攻击力+190\n生命值+1900\n使用属性:\n攻击力+950\n生命值+9500</v>
      </c>
      <c r="AB11" s="1" t="str">
        <f t="shared" si="10"/>
        <v>[C776F3FF]裁决者[-]\n被动属性:\n攻击力+190\n防御力+490\n使用属性:\n攻击力+950\n防御力+2450\n</v>
      </c>
      <c r="AC11" s="1" t="str">
        <f>VLOOKUP(T11,[1]CharPropertyConfig!$A:$B,2,FALSE)</f>
        <v>攻击力</v>
      </c>
      <c r="AD11" s="1" t="str">
        <f>VLOOKUP(V11,[1]CharPropertyConfig!$A:$B,2,FALSE)</f>
        <v>防御力</v>
      </c>
      <c r="AE11" s="1" t="str">
        <f>VLOOKUP(X11,[1]CharPropertyConfig!$A:$B,2,FALSE)</f>
        <v>生命值</v>
      </c>
      <c r="AF11" s="1">
        <f t="shared" si="11"/>
        <v>1750</v>
      </c>
      <c r="AG11" s="1">
        <f t="shared" si="12"/>
        <v>0.49714285714285716</v>
      </c>
      <c r="AH11" s="1">
        <f t="shared" si="13"/>
        <v>2.4857142857142858</v>
      </c>
      <c r="AI11" s="1" t="e">
        <f>INDEX([2]achievement!$B:$B,MATCH(SUMIFS([3]ItemConfig!$A:$A,[3]ItemConfig!$T:$T,"add_title",[3]ItemConfig!$U:$U,A11),[2]achievement!$H:$H,0))</f>
        <v>#VALUE!</v>
      </c>
      <c r="AK11" s="2" t="str">
        <f>CONCATENATE("[",VLOOKUP(I11,titles!AS$12:AT$21,2,FALSE),"]",IF(AL11="",B11,AL11),"[-]")</f>
        <v>[ff7800FF][C776F3FF]裁决者[-][-]</v>
      </c>
      <c r="AL11" s="2"/>
      <c r="AM11" s="3"/>
      <c r="AN11" s="5" t="s">
        <v>71</v>
      </c>
      <c r="AO11" s="11" t="s">
        <v>124</v>
      </c>
    </row>
    <row r="12" spans="1:41" s="1" customFormat="1">
      <c r="A12" s="1">
        <v>74</v>
      </c>
      <c r="B12" s="5" t="s">
        <v>72</v>
      </c>
      <c r="C12" s="2" t="str">
        <f t="shared" si="0"/>
        <v>特殊活动产出</v>
      </c>
      <c r="D12" s="1" t="s">
        <v>10</v>
      </c>
      <c r="E12" s="1" t="str">
        <f t="shared" ca="1" si="1"/>
        <v>102:2450|104:9500</v>
      </c>
      <c r="F12" s="1" t="str">
        <f t="shared" ca="1" si="2"/>
        <v>102:490|104:1900</v>
      </c>
      <c r="G12" s="1">
        <f t="shared" si="3"/>
        <v>4350</v>
      </c>
      <c r="H12" s="1">
        <f t="shared" si="4"/>
        <v>870</v>
      </c>
      <c r="I12" s="6">
        <v>7</v>
      </c>
      <c r="J12" s="1">
        <v>1</v>
      </c>
      <c r="K12" s="1">
        <v>1</v>
      </c>
      <c r="L12" s="2" t="s">
        <v>101</v>
      </c>
      <c r="M12" s="2" t="s">
        <v>102</v>
      </c>
      <c r="N12" s="1" t="str">
        <f>CONCATENATE(V12,titles!AS$2,W12,titles!AT$2,X12,titles!AS$2,Y12)</f>
        <v>102:490|104:1900</v>
      </c>
      <c r="O12" s="1" t="str">
        <f>CONCATENATE(T12,titles!AS$2,U12,titles!AT$2,X12,titles!AS$2,Y12)</f>
        <v>101:190|104:1900</v>
      </c>
      <c r="P12" s="1" t="str">
        <f>CONCATENATE(T12,titles!AS$2,U12,titles!AT$2,V12,titles!AS$2,W12)</f>
        <v>101:190|102:490</v>
      </c>
      <c r="Q12" s="1" t="str">
        <f>CONCATENATE(V12,titles!AS$2,W12*5,titles!AT$2,X12,titles!AS$2,Y12*5)</f>
        <v>102:2450|104:9500</v>
      </c>
      <c r="R12" s="1" t="str">
        <f>CONCATENATE(T12,titles!AS$2,U12*5,titles!AT$2,X12,titles!AS$2,Y12*5)</f>
        <v>101:950|104:9500</v>
      </c>
      <c r="S12" s="1" t="str">
        <f>CONCATENATE(T12,titles!AS$2,U12*5,titles!AT$2,V12,titles!AS$2,W12*5)</f>
        <v>101:950|102:2450</v>
      </c>
      <c r="T12" s="1">
        <v>101</v>
      </c>
      <c r="U12" s="1">
        <f t="shared" si="5"/>
        <v>190</v>
      </c>
      <c r="V12" s="1">
        <v>102</v>
      </c>
      <c r="W12" s="1">
        <f t="shared" si="6"/>
        <v>490</v>
      </c>
      <c r="X12" s="1">
        <v>104</v>
      </c>
      <c r="Y12" s="1">
        <f t="shared" si="7"/>
        <v>1900</v>
      </c>
      <c r="Z12" s="1" t="str">
        <f t="shared" si="8"/>
        <v>[C776F3FF]审判者[-]\n被动属性:\n防御力+490\n生命值+1900\n使用属性:\n防御力+2450\n生命值+9500</v>
      </c>
      <c r="AA12" s="1" t="str">
        <f t="shared" si="9"/>
        <v>[C776F3FF]审判者[-]\n被动属性:\n攻击力+190\n生命值+1900\n使用属性:\n攻击力+950\n生命值+9500</v>
      </c>
      <c r="AB12" s="1" t="str">
        <f t="shared" si="10"/>
        <v>[C776F3FF]审判者[-]\n被动属性:\n攻击力+190\n防御力+490\n使用属性:\n攻击力+950\n防御力+2450\n</v>
      </c>
      <c r="AC12" s="1" t="str">
        <f>VLOOKUP(T12,[1]CharPropertyConfig!$A:$B,2,FALSE)</f>
        <v>攻击力</v>
      </c>
      <c r="AD12" s="1" t="str">
        <f>VLOOKUP(V12,[1]CharPropertyConfig!$A:$B,2,FALSE)</f>
        <v>防御力</v>
      </c>
      <c r="AE12" s="1" t="str">
        <f>VLOOKUP(X12,[1]CharPropertyConfig!$A:$B,2,FALSE)</f>
        <v>生命值</v>
      </c>
      <c r="AF12" s="1">
        <f t="shared" si="11"/>
        <v>1750</v>
      </c>
      <c r="AG12" s="1">
        <f t="shared" si="12"/>
        <v>0.49714285714285716</v>
      </c>
      <c r="AH12" s="1">
        <f t="shared" si="13"/>
        <v>2.4857142857142858</v>
      </c>
      <c r="AI12" s="1" t="e">
        <f>INDEX([2]achievement!$B:$B,MATCH(SUMIFS([3]ItemConfig!$A:$A,[3]ItemConfig!$T:$T,"add_title",[3]ItemConfig!$U:$U,A12),[2]achievement!$H:$H,0))</f>
        <v>#VALUE!</v>
      </c>
      <c r="AK12" s="2" t="str">
        <f>CONCATENATE("[",VLOOKUP(I12,titles!AS$12:AT$21,2,FALSE),"]",IF(AL12="",B12,AL12),"[-]")</f>
        <v>[ff7800FF][C776F3FF]审判者[-][-]</v>
      </c>
      <c r="AL12" s="2"/>
      <c r="AM12" s="3"/>
      <c r="AN12" s="5" t="s">
        <v>72</v>
      </c>
      <c r="AO12" s="11" t="s">
        <v>125</v>
      </c>
    </row>
    <row r="13" spans="1:41" s="1" customFormat="1">
      <c r="A13" s="1">
        <v>75</v>
      </c>
      <c r="B13" s="5" t="s">
        <v>73</v>
      </c>
      <c r="C13" s="2" t="str">
        <f t="shared" si="0"/>
        <v>特殊活动产出</v>
      </c>
      <c r="D13" s="1" t="s">
        <v>10</v>
      </c>
      <c r="E13" s="1" t="str">
        <f t="shared" ca="1" si="1"/>
        <v>102:1250|104:6000</v>
      </c>
      <c r="F13" s="1" t="str">
        <f t="shared" ca="1" si="2"/>
        <v>102:250|104:1200</v>
      </c>
      <c r="G13" s="1">
        <f t="shared" si="3"/>
        <v>2450</v>
      </c>
      <c r="H13" s="1">
        <f t="shared" si="4"/>
        <v>490</v>
      </c>
      <c r="I13" s="6">
        <v>5</v>
      </c>
      <c r="J13" s="1">
        <v>1</v>
      </c>
      <c r="K13" s="1">
        <v>1</v>
      </c>
      <c r="L13" s="2" t="s">
        <v>101</v>
      </c>
      <c r="M13" s="2" t="s">
        <v>102</v>
      </c>
      <c r="N13" s="1" t="str">
        <f>CONCATENATE(V13,titles!AS$2,W13,titles!AT$2,X13,titles!AS$2,Y13)</f>
        <v>102:250|104:1200</v>
      </c>
      <c r="O13" s="1" t="str">
        <f>CONCATENATE(T13,titles!AS$2,U13,titles!AT$2,X13,titles!AS$2,Y13)</f>
        <v>101:120|104:1200</v>
      </c>
      <c r="P13" s="1" t="str">
        <f>CONCATENATE(T13,titles!AS$2,U13,titles!AT$2,V13,titles!AS$2,W13)</f>
        <v>101:120|102:250</v>
      </c>
      <c r="Q13" s="1" t="str">
        <f>CONCATENATE(V13,titles!AS$2,W13*5,titles!AT$2,X13,titles!AS$2,Y13*5)</f>
        <v>102:1250|104:6000</v>
      </c>
      <c r="R13" s="1" t="str">
        <f>CONCATENATE(T13,titles!AS$2,U13*5,titles!AT$2,X13,titles!AS$2,Y13*5)</f>
        <v>101:600|104:6000</v>
      </c>
      <c r="S13" s="1" t="str">
        <f>CONCATENATE(T13,titles!AS$2,U13*5,titles!AT$2,V13,titles!AS$2,W13*5)</f>
        <v>101:600|102:1250</v>
      </c>
      <c r="T13" s="1">
        <v>101</v>
      </c>
      <c r="U13" s="1">
        <f t="shared" si="5"/>
        <v>120</v>
      </c>
      <c r="V13" s="1">
        <v>102</v>
      </c>
      <c r="W13" s="1">
        <f t="shared" si="6"/>
        <v>250</v>
      </c>
      <c r="X13" s="1">
        <v>104</v>
      </c>
      <c r="Y13" s="1">
        <f t="shared" si="7"/>
        <v>1200</v>
      </c>
      <c r="Z13" s="1" t="str">
        <f t="shared" si="8"/>
        <v>[76CBF3FF]送葬者[-]\n被动属性:\n防御力+250\n生命值+1200\n使用属性:\n防御力+1250\n生命值+6000</v>
      </c>
      <c r="AA13" s="1" t="str">
        <f t="shared" si="9"/>
        <v>[76CBF3FF]送葬者[-]\n被动属性:\n攻击力+120\n生命值+1200\n使用属性:\n攻击力+600\n生命值+6000</v>
      </c>
      <c r="AB13" s="1" t="str">
        <f t="shared" si="10"/>
        <v>[76CBF3FF]送葬者[-]\n被动属性:\n攻击力+120\n防御力+250\n使用属性:\n攻击力+600\n防御力+1250\n</v>
      </c>
      <c r="AC13" s="1" t="str">
        <f>VLOOKUP(T13,[1]CharPropertyConfig!$A:$B,2,FALSE)</f>
        <v>攻击力</v>
      </c>
      <c r="AD13" s="1" t="str">
        <f>VLOOKUP(V13,[1]CharPropertyConfig!$A:$B,2,FALSE)</f>
        <v>防御力</v>
      </c>
      <c r="AE13" s="1" t="str">
        <f>VLOOKUP(X13,[1]CharPropertyConfig!$A:$B,2,FALSE)</f>
        <v>生命值</v>
      </c>
      <c r="AF13" s="1">
        <f t="shared" si="11"/>
        <v>650</v>
      </c>
      <c r="AG13" s="1">
        <f t="shared" si="12"/>
        <v>0.75384615384615383</v>
      </c>
      <c r="AH13" s="1">
        <f t="shared" si="13"/>
        <v>3.7692307692307692</v>
      </c>
      <c r="AI13" s="1" t="e">
        <f>INDEX([2]achievement!$B:$B,MATCH(SUMIFS([3]ItemConfig!$A:$A,[3]ItemConfig!$T:$T,"add_title",[3]ItemConfig!$U:$U,A13),[2]achievement!$H:$H,0))</f>
        <v>#VALUE!</v>
      </c>
      <c r="AK13" s="2" t="str">
        <f>CONCATENATE("[",VLOOKUP(I13,titles!AS$12:AT$21,2,FALSE),"]",IF(AL13="",B13,AL13),"[-]")</f>
        <v>[C776F3FF][76CBF3FF]送葬者[-][-]</v>
      </c>
      <c r="AL13" s="2"/>
      <c r="AM13" s="3"/>
      <c r="AN13" s="5" t="s">
        <v>73</v>
      </c>
      <c r="AO13" s="11" t="s">
        <v>126</v>
      </c>
    </row>
    <row r="14" spans="1:41" s="1" customFormat="1">
      <c r="A14" s="1">
        <v>76</v>
      </c>
      <c r="B14" s="5" t="s">
        <v>74</v>
      </c>
      <c r="C14" s="2" t="str">
        <f t="shared" si="0"/>
        <v>特殊活动产出</v>
      </c>
      <c r="D14" s="1" t="s">
        <v>10</v>
      </c>
      <c r="E14" s="1" t="str">
        <f t="shared" ca="1" si="1"/>
        <v>102:2450|104:9500</v>
      </c>
      <c r="F14" s="1" t="str">
        <f t="shared" ca="1" si="2"/>
        <v>102:490|104:1900</v>
      </c>
      <c r="G14" s="1">
        <f t="shared" si="3"/>
        <v>4350</v>
      </c>
      <c r="H14" s="1">
        <f t="shared" si="4"/>
        <v>870</v>
      </c>
      <c r="I14" s="6">
        <v>7</v>
      </c>
      <c r="J14" s="1">
        <v>1</v>
      </c>
      <c r="K14" s="1">
        <v>1</v>
      </c>
      <c r="L14" s="2" t="s">
        <v>101</v>
      </c>
      <c r="M14" s="2" t="s">
        <v>102</v>
      </c>
      <c r="N14" s="1" t="str">
        <f>CONCATENATE(V14,titles!AS$2,W14,titles!AT$2,X14,titles!AS$2,Y14)</f>
        <v>102:490|104:1900</v>
      </c>
      <c r="O14" s="1" t="str">
        <f>CONCATENATE(T14,titles!AS$2,U14,titles!AT$2,X14,titles!AS$2,Y14)</f>
        <v>101:190|104:1900</v>
      </c>
      <c r="P14" s="1" t="str">
        <f>CONCATENATE(T14,titles!AS$2,U14,titles!AT$2,V14,titles!AS$2,W14)</f>
        <v>101:190|102:490</v>
      </c>
      <c r="Q14" s="1" t="str">
        <f>CONCATENATE(V14,titles!AS$2,W14*5,titles!AT$2,X14,titles!AS$2,Y14*5)</f>
        <v>102:2450|104:9500</v>
      </c>
      <c r="R14" s="1" t="str">
        <f>CONCATENATE(T14,titles!AS$2,U14*5,titles!AT$2,X14,titles!AS$2,Y14*5)</f>
        <v>101:950|104:9500</v>
      </c>
      <c r="S14" s="1" t="str">
        <f>CONCATENATE(T14,titles!AS$2,U14*5,titles!AT$2,V14,titles!AS$2,W14*5)</f>
        <v>101:950|102:2450</v>
      </c>
      <c r="T14" s="1">
        <v>101</v>
      </c>
      <c r="U14" s="1">
        <f t="shared" si="5"/>
        <v>190</v>
      </c>
      <c r="V14" s="1">
        <v>102</v>
      </c>
      <c r="W14" s="1">
        <f t="shared" si="6"/>
        <v>490</v>
      </c>
      <c r="X14" s="1">
        <v>104</v>
      </c>
      <c r="Y14" s="1">
        <f t="shared" si="7"/>
        <v>1900</v>
      </c>
      <c r="Z14" s="1" t="str">
        <f t="shared" si="8"/>
        <v>[C776F3FF]征服者[-]\n被动属性:\n防御力+490\n生命值+1900\n使用属性:\n防御力+2450\n生命值+9500</v>
      </c>
      <c r="AA14" s="1" t="str">
        <f t="shared" si="9"/>
        <v>[C776F3FF]征服者[-]\n被动属性:\n攻击力+190\n生命值+1900\n使用属性:\n攻击力+950\n生命值+9500</v>
      </c>
      <c r="AB14" s="1" t="str">
        <f t="shared" si="10"/>
        <v>[C776F3FF]征服者[-]\n被动属性:\n攻击力+190\n防御力+490\n使用属性:\n攻击力+950\n防御力+2450\n</v>
      </c>
      <c r="AC14" s="1" t="str">
        <f>VLOOKUP(T14,[1]CharPropertyConfig!$A:$B,2,FALSE)</f>
        <v>攻击力</v>
      </c>
      <c r="AD14" s="1" t="str">
        <f>VLOOKUP(V14,[1]CharPropertyConfig!$A:$B,2,FALSE)</f>
        <v>防御力</v>
      </c>
      <c r="AE14" s="1" t="str">
        <f>VLOOKUP(X14,[1]CharPropertyConfig!$A:$B,2,FALSE)</f>
        <v>生命值</v>
      </c>
      <c r="AF14" s="1">
        <f t="shared" si="11"/>
        <v>1750</v>
      </c>
      <c r="AG14" s="1">
        <f t="shared" si="12"/>
        <v>0.49714285714285716</v>
      </c>
      <c r="AH14" s="1">
        <f t="shared" si="13"/>
        <v>2.4857142857142858</v>
      </c>
      <c r="AI14" s="1" t="e">
        <f>INDEX([2]achievement!$B:$B,MATCH(SUMIFS([3]ItemConfig!$A:$A,[3]ItemConfig!$T:$T,"add_title",[3]ItemConfig!$U:$U,A14),[2]achievement!$H:$H,0))</f>
        <v>#VALUE!</v>
      </c>
      <c r="AK14" s="2" t="str">
        <f>CONCATENATE("[",VLOOKUP(I14,titles!AS$12:AT$21,2,FALSE),"]",IF(AL14="",B14,AL14),"[-]")</f>
        <v>[ff7800FF][C776F3FF]征服者[-][-]</v>
      </c>
      <c r="AL14" s="2"/>
      <c r="AM14" s="3"/>
      <c r="AN14" s="5" t="s">
        <v>74</v>
      </c>
      <c r="AO14" s="11" t="s">
        <v>127</v>
      </c>
    </row>
    <row r="15" spans="1:41" s="1" customFormat="1">
      <c r="A15" s="1">
        <v>77</v>
      </c>
      <c r="B15" s="5" t="s">
        <v>75</v>
      </c>
      <c r="C15" s="2" t="str">
        <f t="shared" si="0"/>
        <v>特殊活动产出</v>
      </c>
      <c r="D15" s="1" t="s">
        <v>10</v>
      </c>
      <c r="E15" s="1" t="str">
        <f t="shared" ca="1" si="1"/>
        <v>102:1800|104:7500</v>
      </c>
      <c r="F15" s="1" t="str">
        <f t="shared" ca="1" si="2"/>
        <v>102:360|104:1500</v>
      </c>
      <c r="G15" s="1">
        <f t="shared" si="3"/>
        <v>3300</v>
      </c>
      <c r="H15" s="1">
        <f t="shared" si="4"/>
        <v>660</v>
      </c>
      <c r="I15" s="6">
        <v>6</v>
      </c>
      <c r="J15" s="1">
        <v>1</v>
      </c>
      <c r="K15" s="1">
        <v>1</v>
      </c>
      <c r="L15" s="2" t="s">
        <v>101</v>
      </c>
      <c r="M15" s="2" t="s">
        <v>102</v>
      </c>
      <c r="N15" s="1" t="str">
        <f>CONCATENATE(V15,titles!AS$2,W15,titles!AT$2,X15,titles!AS$2,Y15)</f>
        <v>102:360|104:1500</v>
      </c>
      <c r="O15" s="1" t="str">
        <f>CONCATENATE(T15,titles!AS$2,U15,titles!AT$2,X15,titles!AS$2,Y15)</f>
        <v>101:150|104:1500</v>
      </c>
      <c r="P15" s="1" t="str">
        <f>CONCATENATE(T15,titles!AS$2,U15,titles!AT$2,V15,titles!AS$2,W15)</f>
        <v>101:150|102:360</v>
      </c>
      <c r="Q15" s="1" t="str">
        <f>CONCATENATE(V15,titles!AS$2,W15*5,titles!AT$2,X15,titles!AS$2,Y15*5)</f>
        <v>102:1800|104:7500</v>
      </c>
      <c r="R15" s="1" t="str">
        <f>CONCATENATE(T15,titles!AS$2,U15*5,titles!AT$2,X15,titles!AS$2,Y15*5)</f>
        <v>101:750|104:7500</v>
      </c>
      <c r="S15" s="1" t="str">
        <f>CONCATENATE(T15,titles!AS$2,U15*5,titles!AT$2,V15,titles!AS$2,W15*5)</f>
        <v>101:750|102:1800</v>
      </c>
      <c r="T15" s="1">
        <v>101</v>
      </c>
      <c r="U15" s="1">
        <f t="shared" si="5"/>
        <v>150</v>
      </c>
      <c r="V15" s="1">
        <v>102</v>
      </c>
      <c r="W15" s="1">
        <f t="shared" si="6"/>
        <v>360</v>
      </c>
      <c r="X15" s="1">
        <v>104</v>
      </c>
      <c r="Y15" s="1">
        <f t="shared" si="7"/>
        <v>1500</v>
      </c>
      <c r="Z15" s="1" t="str">
        <f t="shared" si="8"/>
        <v>[76CBF3FF]大十字军[-]\n被动属性:\n防御力+360\n生命值+1500\n使用属性:\n防御力+1800\n生命值+7500</v>
      </c>
      <c r="AA15" s="1" t="str">
        <f t="shared" si="9"/>
        <v>[76CBF3FF]大十字军[-]\n被动属性:\n攻击力+150\n生命值+1500\n使用属性:\n攻击力+750\n生命值+7500</v>
      </c>
      <c r="AB15" s="1" t="str">
        <f t="shared" si="10"/>
        <v>[76CBF3FF]大十字军[-]\n被动属性:\n攻击力+150\n防御力+360\n使用属性:\n攻击力+750\n防御力+1800\n</v>
      </c>
      <c r="AC15" s="1" t="str">
        <f>VLOOKUP(T15,[1]CharPropertyConfig!$A:$B,2,FALSE)</f>
        <v>攻击力</v>
      </c>
      <c r="AD15" s="1" t="str">
        <f>VLOOKUP(V15,[1]CharPropertyConfig!$A:$B,2,FALSE)</f>
        <v>防御力</v>
      </c>
      <c r="AE15" s="1" t="str">
        <f>VLOOKUP(X15,[1]CharPropertyConfig!$A:$B,2,FALSE)</f>
        <v>生命值</v>
      </c>
      <c r="AF15" s="1">
        <f t="shared" si="11"/>
        <v>1100</v>
      </c>
      <c r="AG15" s="1">
        <f t="shared" si="12"/>
        <v>0.6</v>
      </c>
      <c r="AH15" s="1">
        <f t="shared" si="13"/>
        <v>3</v>
      </c>
      <c r="AI15" s="1" t="e">
        <f>INDEX([2]achievement!$B:$B,MATCH(SUMIFS([3]ItemConfig!$A:$A,[3]ItemConfig!$T:$T,"add_title",[3]ItemConfig!$U:$U,A15),[2]achievement!$H:$H,0))</f>
        <v>#VALUE!</v>
      </c>
      <c r="AK15" s="2" t="str">
        <f>CONCATENATE("[",VLOOKUP(I15,titles!AS$12:AT$21,2,FALSE),"]",IF(AL15="",B15,AL15),"[-]")</f>
        <v>[C776F3FF][76CBF3FF]大十字军[-][-]</v>
      </c>
      <c r="AL15" s="2"/>
      <c r="AM15" s="3"/>
      <c r="AN15" s="5" t="s">
        <v>75</v>
      </c>
      <c r="AO15" s="11" t="s">
        <v>128</v>
      </c>
    </row>
    <row r="16" spans="1:41" s="1" customFormat="1">
      <c r="A16" s="1">
        <v>78</v>
      </c>
      <c r="B16" s="5" t="s">
        <v>76</v>
      </c>
      <c r="C16" s="2" t="str">
        <f t="shared" si="0"/>
        <v>特殊活动产出</v>
      </c>
      <c r="D16" s="1" t="s">
        <v>10</v>
      </c>
      <c r="E16" s="1" t="str">
        <f t="shared" ca="1" si="1"/>
        <v>102:1250|104:6000</v>
      </c>
      <c r="F16" s="1" t="str">
        <f t="shared" ca="1" si="2"/>
        <v>102:250|104:1200</v>
      </c>
      <c r="G16" s="1">
        <f t="shared" si="3"/>
        <v>2450</v>
      </c>
      <c r="H16" s="1">
        <f t="shared" si="4"/>
        <v>490</v>
      </c>
      <c r="I16" s="6">
        <v>5</v>
      </c>
      <c r="J16" s="1">
        <v>1</v>
      </c>
      <c r="K16" s="1">
        <v>1</v>
      </c>
      <c r="L16" s="2" t="s">
        <v>101</v>
      </c>
      <c r="M16" s="2" t="s">
        <v>102</v>
      </c>
      <c r="N16" s="1" t="str">
        <f>CONCATENATE(V16,titles!AS$2,W16,titles!AT$2,X16,titles!AS$2,Y16)</f>
        <v>102:250|104:1200</v>
      </c>
      <c r="O16" s="1" t="str">
        <f>CONCATENATE(T16,titles!AS$2,U16,titles!AT$2,X16,titles!AS$2,Y16)</f>
        <v>101:120|104:1200</v>
      </c>
      <c r="P16" s="1" t="str">
        <f>CONCATENATE(T16,titles!AS$2,U16,titles!AT$2,V16,titles!AS$2,W16)</f>
        <v>101:120|102:250</v>
      </c>
      <c r="Q16" s="1" t="str">
        <f>CONCATENATE(V16,titles!AS$2,W16*5,titles!AT$2,X16,titles!AS$2,Y16*5)</f>
        <v>102:1250|104:6000</v>
      </c>
      <c r="R16" s="1" t="str">
        <f>CONCATENATE(T16,titles!AS$2,U16*5,titles!AT$2,X16,titles!AS$2,Y16*5)</f>
        <v>101:600|104:6000</v>
      </c>
      <c r="S16" s="1" t="str">
        <f>CONCATENATE(T16,titles!AS$2,U16*5,titles!AT$2,V16,titles!AS$2,W16*5)</f>
        <v>101:600|102:1250</v>
      </c>
      <c r="T16" s="1">
        <v>101</v>
      </c>
      <c r="U16" s="1">
        <f t="shared" si="5"/>
        <v>120</v>
      </c>
      <c r="V16" s="1">
        <v>102</v>
      </c>
      <c r="W16" s="1">
        <f t="shared" si="6"/>
        <v>250</v>
      </c>
      <c r="X16" s="1">
        <v>104</v>
      </c>
      <c r="Y16" s="1">
        <f t="shared" si="7"/>
        <v>1200</v>
      </c>
      <c r="Z16" s="1" t="str">
        <f t="shared" si="8"/>
        <v>[76CBF3FF]圣光的勇士[-]\n被动属性:\n防御力+250\n生命值+1200\n使用属性:\n防御力+1250\n生命值+6000</v>
      </c>
      <c r="AA16" s="1" t="str">
        <f t="shared" si="9"/>
        <v>[76CBF3FF]圣光的勇士[-]\n被动属性:\n攻击力+120\n生命值+1200\n使用属性:\n攻击力+600\n生命值+6000</v>
      </c>
      <c r="AB16" s="1" t="str">
        <f t="shared" si="10"/>
        <v>[76CBF3FF]圣光的勇士[-]\n被动属性:\n攻击力+120\n防御力+250\n使用属性:\n攻击力+600\n防御力+1250\n</v>
      </c>
      <c r="AC16" s="1" t="str">
        <f>VLOOKUP(T16,[1]CharPropertyConfig!$A:$B,2,FALSE)</f>
        <v>攻击力</v>
      </c>
      <c r="AD16" s="1" t="str">
        <f>VLOOKUP(V16,[1]CharPropertyConfig!$A:$B,2,FALSE)</f>
        <v>防御力</v>
      </c>
      <c r="AE16" s="1" t="str">
        <f>VLOOKUP(X16,[1]CharPropertyConfig!$A:$B,2,FALSE)</f>
        <v>生命值</v>
      </c>
      <c r="AF16" s="1">
        <f t="shared" si="11"/>
        <v>650</v>
      </c>
      <c r="AG16" s="1">
        <f t="shared" si="12"/>
        <v>0.75384615384615383</v>
      </c>
      <c r="AH16" s="1">
        <f t="shared" si="13"/>
        <v>3.7692307692307692</v>
      </c>
      <c r="AI16" s="1" t="e">
        <f>INDEX([2]achievement!$B:$B,MATCH(SUMIFS([3]ItemConfig!$A:$A,[3]ItemConfig!$T:$T,"add_title",[3]ItemConfig!$U:$U,A16),[2]achievement!$H:$H,0))</f>
        <v>#VALUE!</v>
      </c>
      <c r="AK16" s="2" t="str">
        <f>CONCATENATE("[",VLOOKUP(I16,titles!AS$12:AT$21,2,FALSE),"]",IF(AL16="",B16,AL16),"[-]")</f>
        <v>[C776F3FF][76CBF3FF]圣光的勇士[-][-]</v>
      </c>
      <c r="AL16" s="2"/>
      <c r="AM16" s="3"/>
      <c r="AN16" s="5" t="s">
        <v>76</v>
      </c>
      <c r="AO16" s="11" t="s">
        <v>129</v>
      </c>
    </row>
    <row r="17" spans="1:41" s="1" customFormat="1">
      <c r="A17" s="1">
        <v>79</v>
      </c>
      <c r="B17" s="5" t="s">
        <v>77</v>
      </c>
      <c r="C17" s="2" t="str">
        <f t="shared" si="0"/>
        <v>特殊活动产出</v>
      </c>
      <c r="D17" s="1" t="s">
        <v>10</v>
      </c>
      <c r="E17" s="1" t="str">
        <f t="shared" ca="1" si="1"/>
        <v>102:1250|104:6000</v>
      </c>
      <c r="F17" s="1" t="str">
        <f t="shared" ca="1" si="2"/>
        <v>102:250|104:1200</v>
      </c>
      <c r="G17" s="1">
        <f t="shared" si="3"/>
        <v>2450</v>
      </c>
      <c r="H17" s="1">
        <f t="shared" si="4"/>
        <v>490</v>
      </c>
      <c r="I17" s="6">
        <v>5</v>
      </c>
      <c r="J17" s="1">
        <v>1</v>
      </c>
      <c r="K17" s="1">
        <v>1</v>
      </c>
      <c r="L17" s="2" t="s">
        <v>101</v>
      </c>
      <c r="M17" s="2" t="s">
        <v>102</v>
      </c>
      <c r="N17" s="1" t="str">
        <f>CONCATENATE(V17,titles!AS$2,W17,titles!AT$2,X17,titles!AS$2,Y17)</f>
        <v>102:250|104:1200</v>
      </c>
      <c r="O17" s="1" t="str">
        <f>CONCATENATE(T17,titles!AS$2,U17,titles!AT$2,X17,titles!AS$2,Y17)</f>
        <v>101:120|104:1200</v>
      </c>
      <c r="P17" s="1" t="str">
        <f>CONCATENATE(T17,titles!AS$2,U17,titles!AT$2,V17,titles!AS$2,W17)</f>
        <v>101:120|102:250</v>
      </c>
      <c r="Q17" s="1" t="str">
        <f>CONCATENATE(V17,titles!AS$2,W17*5,titles!AT$2,X17,titles!AS$2,Y17*5)</f>
        <v>102:1250|104:6000</v>
      </c>
      <c r="R17" s="1" t="str">
        <f>CONCATENATE(T17,titles!AS$2,U17*5,titles!AT$2,X17,titles!AS$2,Y17*5)</f>
        <v>101:600|104:6000</v>
      </c>
      <c r="S17" s="1" t="str">
        <f>CONCATENATE(T17,titles!AS$2,U17*5,titles!AT$2,V17,titles!AS$2,W17*5)</f>
        <v>101:600|102:1250</v>
      </c>
      <c r="T17" s="1">
        <v>101</v>
      </c>
      <c r="U17" s="1">
        <f t="shared" si="5"/>
        <v>120</v>
      </c>
      <c r="V17" s="1">
        <v>102</v>
      </c>
      <c r="W17" s="1">
        <f t="shared" si="6"/>
        <v>250</v>
      </c>
      <c r="X17" s="1">
        <v>104</v>
      </c>
      <c r="Y17" s="1">
        <f t="shared" si="7"/>
        <v>1200</v>
      </c>
      <c r="Z17" s="1" t="str">
        <f t="shared" si="8"/>
        <v>[76CBF3FF]暗影变节者[-]\n被动属性:\n防御力+250\n生命值+1200\n使用属性:\n防御力+1250\n生命值+6000</v>
      </c>
      <c r="AA17" s="1" t="str">
        <f t="shared" si="9"/>
        <v>[76CBF3FF]暗影变节者[-]\n被动属性:\n攻击力+120\n生命值+1200\n使用属性:\n攻击力+600\n生命值+6000</v>
      </c>
      <c r="AB17" s="1" t="str">
        <f t="shared" si="10"/>
        <v>[76CBF3FF]暗影变节者[-]\n被动属性:\n攻击力+120\n防御力+250\n使用属性:\n攻击力+600\n防御力+1250\n</v>
      </c>
      <c r="AC17" s="1" t="str">
        <f>VLOOKUP(T17,[1]CharPropertyConfig!$A:$B,2,FALSE)</f>
        <v>攻击力</v>
      </c>
      <c r="AD17" s="1" t="str">
        <f>VLOOKUP(V17,[1]CharPropertyConfig!$A:$B,2,FALSE)</f>
        <v>防御力</v>
      </c>
      <c r="AE17" s="1" t="str">
        <f>VLOOKUP(X17,[1]CharPropertyConfig!$A:$B,2,FALSE)</f>
        <v>生命值</v>
      </c>
      <c r="AF17" s="1">
        <f t="shared" si="11"/>
        <v>650</v>
      </c>
      <c r="AG17" s="1">
        <f t="shared" si="12"/>
        <v>0.75384615384615383</v>
      </c>
      <c r="AH17" s="1">
        <f t="shared" si="13"/>
        <v>3.7692307692307692</v>
      </c>
      <c r="AI17" s="1" t="e">
        <f>INDEX([2]achievement!$B:$B,MATCH(SUMIFS([3]ItemConfig!$A:$A,[3]ItemConfig!$T:$T,"add_title",[3]ItemConfig!$U:$U,A17),[2]achievement!$H:$H,0))</f>
        <v>#VALUE!</v>
      </c>
      <c r="AK17" s="2" t="str">
        <f>CONCATENATE("[",VLOOKUP(I17,titles!AS$12:AT$21,2,FALSE),"]",IF(AL17="",B17,AL17),"[-]")</f>
        <v>[C776F3FF][76CBF3FF]暗影变节者[-][-]</v>
      </c>
      <c r="AL17" s="2"/>
      <c r="AM17" s="3"/>
      <c r="AN17" s="5" t="s">
        <v>77</v>
      </c>
      <c r="AO17" s="11" t="s">
        <v>130</v>
      </c>
    </row>
    <row r="18" spans="1:41" s="1" customFormat="1" ht="14.1" customHeight="1">
      <c r="A18" s="1">
        <v>80</v>
      </c>
      <c r="B18" s="9" t="s">
        <v>78</v>
      </c>
      <c r="C18" s="2" t="str">
        <f t="shared" si="0"/>
        <v>特殊活动产出</v>
      </c>
      <c r="D18" s="1" t="s">
        <v>10</v>
      </c>
      <c r="E18" s="1" t="str">
        <f t="shared" ca="1" si="1"/>
        <v>102:1800|104:7500</v>
      </c>
      <c r="F18" s="1" t="str">
        <f t="shared" ca="1" si="2"/>
        <v>102:360|104:1500</v>
      </c>
      <c r="G18" s="1">
        <f t="shared" si="3"/>
        <v>3300</v>
      </c>
      <c r="H18" s="1">
        <f t="shared" si="4"/>
        <v>660</v>
      </c>
      <c r="I18" s="6">
        <v>6</v>
      </c>
      <c r="J18" s="1">
        <v>1</v>
      </c>
      <c r="K18" s="1">
        <v>1</v>
      </c>
      <c r="L18" s="2" t="s">
        <v>101</v>
      </c>
      <c r="M18" s="2" t="s">
        <v>102</v>
      </c>
      <c r="N18" s="1" t="str">
        <f>CONCATENATE(V18,titles!AS$2,W18,titles!AT$2,X18,titles!AS$2,Y18)</f>
        <v>102:360|104:1500</v>
      </c>
      <c r="O18" s="1" t="str">
        <f>CONCATENATE(T18,titles!AS$2,U18,titles!AT$2,X18,titles!AS$2,Y18)</f>
        <v>101:150|104:1500</v>
      </c>
      <c r="P18" s="1" t="str">
        <f>CONCATENATE(T18,titles!AS$2,U18,titles!AT$2,V18,titles!AS$2,W18)</f>
        <v>101:150|102:360</v>
      </c>
      <c r="Q18" s="1" t="str">
        <f>CONCATENATE(V18,titles!AS$2,W18*5,titles!AT$2,X18,titles!AS$2,Y18*5)</f>
        <v>102:1800|104:7500</v>
      </c>
      <c r="R18" s="1" t="str">
        <f>CONCATENATE(T18,titles!AS$2,U18*5,titles!AT$2,X18,titles!AS$2,Y18*5)</f>
        <v>101:750|104:7500</v>
      </c>
      <c r="S18" s="1" t="str">
        <f>CONCATENATE(T18,titles!AS$2,U18*5,titles!AT$2,V18,titles!AS$2,W18*5)</f>
        <v>101:750|102:1800</v>
      </c>
      <c r="T18" s="1">
        <v>101</v>
      </c>
      <c r="U18" s="1">
        <f t="shared" si="5"/>
        <v>150</v>
      </c>
      <c r="V18" s="1">
        <v>102</v>
      </c>
      <c r="W18" s="1">
        <f t="shared" si="6"/>
        <v>360</v>
      </c>
      <c r="X18" s="1">
        <v>104</v>
      </c>
      <c r="Y18" s="1">
        <f t="shared" si="7"/>
        <v>1500</v>
      </c>
      <c r="Z18" s="1" t="str">
        <f t="shared" si="8"/>
        <v>[76CBF3FF]灰烬审判者[-]\n被动属性:\n防御力+360\n生命值+1500\n使用属性:\n防御力+1800\n生命值+7500</v>
      </c>
      <c r="AA18" s="1" t="str">
        <f t="shared" si="9"/>
        <v>[76CBF3FF]灰烬审判者[-]\n被动属性:\n攻击力+150\n生命值+1500\n使用属性:\n攻击力+750\n生命值+7500</v>
      </c>
      <c r="AB18" s="1" t="str">
        <f t="shared" si="10"/>
        <v>[76CBF3FF]灰烬审判者[-]\n被动属性:\n攻击力+150\n防御力+360\n使用属性:\n攻击力+750\n防御力+1800\n</v>
      </c>
      <c r="AC18" s="1" t="str">
        <f>VLOOKUP(T18,[1]CharPropertyConfig!$A:$B,2,FALSE)</f>
        <v>攻击力</v>
      </c>
      <c r="AD18" s="1" t="str">
        <f>VLOOKUP(V18,[1]CharPropertyConfig!$A:$B,2,FALSE)</f>
        <v>防御力</v>
      </c>
      <c r="AE18" s="1" t="str">
        <f>VLOOKUP(X18,[1]CharPropertyConfig!$A:$B,2,FALSE)</f>
        <v>生命值</v>
      </c>
      <c r="AF18" s="1">
        <f t="shared" si="11"/>
        <v>1100</v>
      </c>
      <c r="AG18" s="1">
        <f t="shared" si="12"/>
        <v>0.6</v>
      </c>
      <c r="AH18" s="1">
        <f t="shared" si="13"/>
        <v>3</v>
      </c>
      <c r="AI18" s="1" t="e">
        <f>INDEX([2]achievement!$B:$B,MATCH(SUMIFS([3]ItemConfig!$A:$A,[3]ItemConfig!$T:$T,"add_title",[3]ItemConfig!$U:$U,A18),[2]achievement!$H:$H,0))</f>
        <v>#VALUE!</v>
      </c>
      <c r="AK18" s="2" t="str">
        <f>CONCATENATE("[",VLOOKUP(I18,titles!AS$12:AT$21,2,FALSE),"]",IF(AL18="",B18,AL18),"[-]")</f>
        <v>[C776F3FF][76CBF3FF]灰烬审判者[-][-]</v>
      </c>
      <c r="AL18" s="2"/>
      <c r="AM18" s="3"/>
      <c r="AN18" s="9" t="s">
        <v>78</v>
      </c>
      <c r="AO18" s="11" t="s">
        <v>131</v>
      </c>
    </row>
    <row r="19" spans="1:41" s="1" customFormat="1">
      <c r="A19" s="1">
        <v>81</v>
      </c>
      <c r="B19" s="8" t="s">
        <v>79</v>
      </c>
      <c r="C19" s="2" t="str">
        <f t="shared" si="0"/>
        <v>特殊活动产出</v>
      </c>
      <c r="D19" s="1" t="s">
        <v>10</v>
      </c>
      <c r="E19" s="1" t="str">
        <f t="shared" ca="1" si="1"/>
        <v>102:2450|104:9500</v>
      </c>
      <c r="F19" s="1" t="str">
        <f t="shared" ca="1" si="2"/>
        <v>102:490|104:1900</v>
      </c>
      <c r="G19" s="1">
        <f t="shared" si="3"/>
        <v>4350</v>
      </c>
      <c r="H19" s="1">
        <f t="shared" si="4"/>
        <v>870</v>
      </c>
      <c r="I19" s="6">
        <v>7</v>
      </c>
      <c r="J19" s="1">
        <v>1</v>
      </c>
      <c r="K19" s="1">
        <v>1</v>
      </c>
      <c r="L19" s="2" t="s">
        <v>101</v>
      </c>
      <c r="M19" s="2" t="s">
        <v>102</v>
      </c>
      <c r="N19" s="1" t="str">
        <f>CONCATENATE(V19,titles!AS$2,W19,titles!AT$2,X19,titles!AS$2,Y19)</f>
        <v>102:490|104:1900</v>
      </c>
      <c r="O19" s="1" t="str">
        <f>CONCATENATE(T19,titles!AS$2,U19,titles!AT$2,X19,titles!AS$2,Y19)</f>
        <v>101:190|104:1900</v>
      </c>
      <c r="P19" s="1" t="str">
        <f>CONCATENATE(T19,titles!AS$2,U19,titles!AT$2,V19,titles!AS$2,W19)</f>
        <v>101:190|102:490</v>
      </c>
      <c r="Q19" s="1" t="str">
        <f>CONCATENATE(V19,titles!AS$2,W19*5,titles!AT$2,X19,titles!AS$2,Y19*5)</f>
        <v>102:2450|104:9500</v>
      </c>
      <c r="R19" s="1" t="str">
        <f>CONCATENATE(T19,titles!AS$2,U19*5,titles!AT$2,X19,titles!AS$2,Y19*5)</f>
        <v>101:950|104:9500</v>
      </c>
      <c r="S19" s="1" t="str">
        <f>CONCATENATE(T19,titles!AS$2,U19*5,titles!AT$2,V19,titles!AS$2,W19*5)</f>
        <v>101:950|102:2450</v>
      </c>
      <c r="T19" s="1">
        <v>101</v>
      </c>
      <c r="U19" s="1">
        <f t="shared" si="5"/>
        <v>190</v>
      </c>
      <c r="V19" s="1">
        <v>102</v>
      </c>
      <c r="W19" s="1">
        <f t="shared" si="6"/>
        <v>490</v>
      </c>
      <c r="X19" s="1">
        <v>104</v>
      </c>
      <c r="Y19" s="1">
        <f t="shared" si="7"/>
        <v>1900</v>
      </c>
      <c r="Z19" s="1" t="str">
        <f t="shared" si="8"/>
        <v>[C776F3FF]弑君者[-]\n被动属性:\n防御力+490\n生命值+1900\n使用属性:\n防御力+2450\n生命值+9500</v>
      </c>
      <c r="AA19" s="1" t="str">
        <f t="shared" si="9"/>
        <v>[C776F3FF]弑君者[-]\n被动属性:\n攻击力+190\n生命值+1900\n使用属性:\n攻击力+950\n生命值+9500</v>
      </c>
      <c r="AB19" s="1" t="str">
        <f t="shared" si="10"/>
        <v>[C776F3FF]弑君者[-]\n被动属性:\n攻击力+190\n防御力+490\n使用属性:\n攻击力+950\n防御力+2450\n</v>
      </c>
      <c r="AC19" s="1" t="str">
        <f>VLOOKUP(T19,[1]CharPropertyConfig!$A:$B,2,FALSE)</f>
        <v>攻击力</v>
      </c>
      <c r="AD19" s="1" t="str">
        <f>VLOOKUP(V19,[1]CharPropertyConfig!$A:$B,2,FALSE)</f>
        <v>防御力</v>
      </c>
      <c r="AE19" s="1" t="str">
        <f>VLOOKUP(X19,[1]CharPropertyConfig!$A:$B,2,FALSE)</f>
        <v>生命值</v>
      </c>
      <c r="AF19" s="1">
        <f t="shared" si="11"/>
        <v>1750</v>
      </c>
      <c r="AG19" s="1">
        <f t="shared" si="12"/>
        <v>0.49714285714285716</v>
      </c>
      <c r="AH19" s="1">
        <f t="shared" si="13"/>
        <v>2.4857142857142858</v>
      </c>
      <c r="AI19" s="1" t="e">
        <f>INDEX([2]achievement!$B:$B,MATCH(SUMIFS([3]ItemConfig!$A:$A,[3]ItemConfig!$T:$T,"add_title",[3]ItemConfig!$U:$U,A19),[2]achievement!$H:$H,0))</f>
        <v>#VALUE!</v>
      </c>
      <c r="AK19" s="2" t="str">
        <f>CONCATENATE("[",VLOOKUP(I19,titles!AS$12:AT$21,2,FALSE),"]",IF(AL19="",B19,AL19),"[-]")</f>
        <v>[ff7800FF][C776F3FF]弑君者[-][-]</v>
      </c>
      <c r="AL19" s="2"/>
      <c r="AM19" s="3"/>
      <c r="AN19" s="8" t="s">
        <v>79</v>
      </c>
      <c r="AO19" s="11" t="s">
        <v>132</v>
      </c>
    </row>
    <row r="20" spans="1:41" s="1" customFormat="1">
      <c r="A20" s="1">
        <v>82</v>
      </c>
      <c r="B20" s="7" t="s">
        <v>80</v>
      </c>
      <c r="C20" s="2" t="str">
        <f t="shared" si="0"/>
        <v>特殊活动产出</v>
      </c>
      <c r="D20" s="1" t="s">
        <v>10</v>
      </c>
      <c r="E20" s="1" t="str">
        <f t="shared" ca="1" si="1"/>
        <v>102:1250|104:6000</v>
      </c>
      <c r="F20" s="1" t="str">
        <f t="shared" ca="1" si="2"/>
        <v>102:250|104:1200</v>
      </c>
      <c r="G20" s="1">
        <f t="shared" si="3"/>
        <v>2450</v>
      </c>
      <c r="H20" s="1">
        <f t="shared" si="4"/>
        <v>490</v>
      </c>
      <c r="I20" s="6">
        <v>5</v>
      </c>
      <c r="J20" s="1">
        <v>1</v>
      </c>
      <c r="K20" s="1">
        <v>1</v>
      </c>
      <c r="L20" s="2" t="s">
        <v>101</v>
      </c>
      <c r="M20" s="2" t="s">
        <v>102</v>
      </c>
      <c r="N20" s="1" t="str">
        <f>CONCATENATE(V20,titles!AS$2,W20,titles!AT$2,X20,titles!AS$2,Y20)</f>
        <v>102:250|104:1200</v>
      </c>
      <c r="O20" s="1" t="str">
        <f>CONCATENATE(T20,titles!AS$2,U20,titles!AT$2,X20,titles!AS$2,Y20)</f>
        <v>101:120|104:1200</v>
      </c>
      <c r="P20" s="1" t="str">
        <f>CONCATENATE(T20,titles!AS$2,U20,titles!AT$2,V20,titles!AS$2,W20)</f>
        <v>101:120|102:250</v>
      </c>
      <c r="Q20" s="1" t="str">
        <f>CONCATENATE(V20,titles!AS$2,W20*5,titles!AT$2,X20,titles!AS$2,Y20*5)</f>
        <v>102:1250|104:6000</v>
      </c>
      <c r="R20" s="1" t="str">
        <f>CONCATENATE(T20,titles!AS$2,U20*5,titles!AT$2,X20,titles!AS$2,Y20*5)</f>
        <v>101:600|104:6000</v>
      </c>
      <c r="S20" s="1" t="str">
        <f>CONCATENATE(T20,titles!AS$2,U20*5,titles!AT$2,V20,titles!AS$2,W20*5)</f>
        <v>101:600|102:1250</v>
      </c>
      <c r="T20" s="1">
        <v>101</v>
      </c>
      <c r="U20" s="1">
        <f t="shared" si="5"/>
        <v>120</v>
      </c>
      <c r="V20" s="1">
        <v>102</v>
      </c>
      <c r="W20" s="1">
        <f t="shared" si="6"/>
        <v>250</v>
      </c>
      <c r="X20" s="1">
        <v>104</v>
      </c>
      <c r="Y20" s="1">
        <f t="shared" si="7"/>
        <v>1200</v>
      </c>
      <c r="Z20" s="1" t="str">
        <f t="shared" si="8"/>
        <v>[76CBF3FF]赤色破碎者[-]\n被动属性:\n防御力+250\n生命值+1200\n使用属性:\n防御力+1250\n生命值+6000</v>
      </c>
      <c r="AA20" s="1" t="str">
        <f t="shared" si="9"/>
        <v>[76CBF3FF]赤色破碎者[-]\n被动属性:\n攻击力+120\n生命值+1200\n使用属性:\n攻击力+600\n生命值+6000</v>
      </c>
      <c r="AB20" s="1" t="str">
        <f t="shared" si="10"/>
        <v>[76CBF3FF]赤色破碎者[-]\n被动属性:\n攻击力+120\n防御力+250\n使用属性:\n攻击力+600\n防御力+1250\n</v>
      </c>
      <c r="AC20" s="1" t="str">
        <f>VLOOKUP(T20,[1]CharPropertyConfig!$A:$B,2,FALSE)</f>
        <v>攻击力</v>
      </c>
      <c r="AD20" s="1" t="str">
        <f>VLOOKUP(V20,[1]CharPropertyConfig!$A:$B,2,FALSE)</f>
        <v>防御力</v>
      </c>
      <c r="AE20" s="1" t="str">
        <f>VLOOKUP(X20,[1]CharPropertyConfig!$A:$B,2,FALSE)</f>
        <v>生命值</v>
      </c>
      <c r="AF20" s="1">
        <f t="shared" si="11"/>
        <v>650</v>
      </c>
      <c r="AG20" s="1">
        <f t="shared" si="12"/>
        <v>0.75384615384615383</v>
      </c>
      <c r="AH20" s="1">
        <f t="shared" si="13"/>
        <v>3.7692307692307692</v>
      </c>
      <c r="AI20" s="1" t="e">
        <f>INDEX([2]achievement!$B:$B,MATCH(SUMIFS([3]ItemConfig!$A:$A,[3]ItemConfig!$T:$T,"add_title",[3]ItemConfig!$U:$U,A20),[2]achievement!$H:$H,0))</f>
        <v>#VALUE!</v>
      </c>
      <c r="AK20" s="2" t="str">
        <f>CONCATENATE("[",VLOOKUP(I20,titles!AS$12:AT$21,2,FALSE),"]",IF(AL20="",B20,AL20),"[-]")</f>
        <v>[C776F3FF][76CBF3FF]赤色破碎者[-][-]</v>
      </c>
      <c r="AL20" s="2"/>
      <c r="AM20" s="3"/>
      <c r="AN20" s="7" t="s">
        <v>80</v>
      </c>
      <c r="AO20" s="11" t="s">
        <v>133</v>
      </c>
    </row>
    <row r="21" spans="1:41" s="1" customFormat="1">
      <c r="A21" s="1">
        <v>83</v>
      </c>
      <c r="B21" s="7" t="s">
        <v>81</v>
      </c>
      <c r="C21" s="2" t="str">
        <f t="shared" si="0"/>
        <v>特殊活动产出</v>
      </c>
      <c r="D21" s="1" t="s">
        <v>10</v>
      </c>
      <c r="E21" s="1" t="str">
        <f t="shared" ca="1" si="1"/>
        <v>102:1250|104:6000</v>
      </c>
      <c r="F21" s="1" t="str">
        <f t="shared" ca="1" si="2"/>
        <v>102:250|104:1200</v>
      </c>
      <c r="G21" s="1">
        <f t="shared" si="3"/>
        <v>2450</v>
      </c>
      <c r="H21" s="1">
        <f t="shared" si="4"/>
        <v>490</v>
      </c>
      <c r="I21" s="6">
        <v>5</v>
      </c>
      <c r="J21" s="1">
        <v>1</v>
      </c>
      <c r="K21" s="1">
        <v>1</v>
      </c>
      <c r="L21" s="2" t="s">
        <v>101</v>
      </c>
      <c r="M21" s="2" t="s">
        <v>102</v>
      </c>
      <c r="N21" s="1" t="str">
        <f>CONCATENATE(V21,titles!AS$2,W21,titles!AT$2,X21,titles!AS$2,Y21)</f>
        <v>102:250|104:1200</v>
      </c>
      <c r="O21" s="1" t="str">
        <f>CONCATENATE(T21,titles!AS$2,U21,titles!AT$2,X21,titles!AS$2,Y21)</f>
        <v>101:120|104:1200</v>
      </c>
      <c r="P21" s="1" t="str">
        <f>CONCATENATE(T21,titles!AS$2,U21,titles!AT$2,V21,titles!AS$2,W21)</f>
        <v>101:120|102:250</v>
      </c>
      <c r="Q21" s="1" t="str">
        <f>CONCATENATE(V21,titles!AS$2,W21*5,titles!AT$2,X21,titles!AS$2,Y21*5)</f>
        <v>102:1250|104:6000</v>
      </c>
      <c r="R21" s="1" t="str">
        <f>CONCATENATE(T21,titles!AS$2,U21*5,titles!AT$2,X21,titles!AS$2,Y21*5)</f>
        <v>101:600|104:6000</v>
      </c>
      <c r="S21" s="1" t="str">
        <f>CONCATENATE(T21,titles!AS$2,U21*5,titles!AT$2,V21,titles!AS$2,W21*5)</f>
        <v>101:600|102:1250</v>
      </c>
      <c r="T21" s="1">
        <v>101</v>
      </c>
      <c r="U21" s="1">
        <f t="shared" si="5"/>
        <v>120</v>
      </c>
      <c r="V21" s="1">
        <v>102</v>
      </c>
      <c r="W21" s="1">
        <f t="shared" si="6"/>
        <v>250</v>
      </c>
      <c r="X21" s="1">
        <v>104</v>
      </c>
      <c r="Y21" s="1">
        <f t="shared" si="7"/>
        <v>1200</v>
      </c>
      <c r="Z21" s="1" t="str">
        <f t="shared" si="8"/>
        <v>[76CBF3FF]残忍角斗士[-]\n被动属性:\n防御力+250\n生命值+1200\n使用属性:\n防御力+1250\n生命值+6000</v>
      </c>
      <c r="AA21" s="1" t="str">
        <f t="shared" si="9"/>
        <v>[76CBF3FF]残忍角斗士[-]\n被动属性:\n攻击力+120\n生命值+1200\n使用属性:\n攻击力+600\n生命值+6000</v>
      </c>
      <c r="AB21" s="1" t="str">
        <f t="shared" si="10"/>
        <v>[76CBF3FF]残忍角斗士[-]\n被动属性:\n攻击力+120\n防御力+250\n使用属性:\n攻击力+600\n防御力+1250\n</v>
      </c>
      <c r="AC21" s="1" t="str">
        <f>VLOOKUP(T21,[1]CharPropertyConfig!$A:$B,2,FALSE)</f>
        <v>攻击力</v>
      </c>
      <c r="AD21" s="1" t="str">
        <f>VLOOKUP(V21,[1]CharPropertyConfig!$A:$B,2,FALSE)</f>
        <v>防御力</v>
      </c>
      <c r="AE21" s="1" t="str">
        <f>VLOOKUP(X21,[1]CharPropertyConfig!$A:$B,2,FALSE)</f>
        <v>生命值</v>
      </c>
      <c r="AF21" s="1">
        <f t="shared" si="11"/>
        <v>650</v>
      </c>
      <c r="AG21" s="1">
        <f t="shared" si="12"/>
        <v>0.75384615384615383</v>
      </c>
      <c r="AH21" s="1">
        <f t="shared" si="13"/>
        <v>3.7692307692307692</v>
      </c>
      <c r="AI21" s="1" t="e">
        <f>INDEX([2]achievement!$B:$B,MATCH(SUMIFS([3]ItemConfig!$A:$A,[3]ItemConfig!$T:$T,"add_title",[3]ItemConfig!$U:$U,A21),[2]achievement!$H:$H,0))</f>
        <v>#VALUE!</v>
      </c>
      <c r="AK21" s="2" t="str">
        <f>CONCATENATE("[",VLOOKUP(I21,titles!AS$12:AT$21,2,FALSE),"]",IF(AL21="",B21,AL21),"[-]")</f>
        <v>[C776F3FF][76CBF3FF]残忍角斗士[-][-]</v>
      </c>
      <c r="AL21" s="2"/>
      <c r="AM21" s="3"/>
      <c r="AN21" s="7" t="s">
        <v>81</v>
      </c>
      <c r="AO21" s="11" t="s">
        <v>134</v>
      </c>
    </row>
    <row r="22" spans="1:41" s="1" customFormat="1">
      <c r="A22" s="30" t="s">
        <v>221</v>
      </c>
      <c r="B22" s="7" t="s">
        <v>82</v>
      </c>
      <c r="C22" s="2" t="str">
        <f t="shared" si="0"/>
        <v>特殊活动产出</v>
      </c>
      <c r="D22" s="1" t="s">
        <v>10</v>
      </c>
      <c r="E22" s="1" t="str">
        <f t="shared" ca="1" si="1"/>
        <v>102:5000|104:16000</v>
      </c>
      <c r="F22" s="1" t="str">
        <f t="shared" ca="1" si="2"/>
        <v>102:1000|104:3200</v>
      </c>
      <c r="G22" s="1">
        <f t="shared" si="3"/>
        <v>8200</v>
      </c>
      <c r="H22" s="1">
        <f t="shared" si="4"/>
        <v>1640</v>
      </c>
      <c r="I22" s="6">
        <v>10</v>
      </c>
      <c r="J22" s="1">
        <v>1</v>
      </c>
      <c r="K22" s="1">
        <v>1</v>
      </c>
      <c r="L22" s="2" t="s">
        <v>101</v>
      </c>
      <c r="M22" s="2" t="s">
        <v>102</v>
      </c>
      <c r="N22" s="1" t="str">
        <f>CONCATENATE(V22,titles!AS$2,W22,titles!AT$2,X22,titles!AS$2,Y22)</f>
        <v>102:1000|104:3200</v>
      </c>
      <c r="O22" s="1" t="str">
        <f>CONCATENATE(T22,titles!AS$2,U22,titles!AT$2,X22,titles!AS$2,Y22)</f>
        <v>101:320|104:3200</v>
      </c>
      <c r="P22" s="1" t="str">
        <f>CONCATENATE(T22,titles!AS$2,U22,titles!AT$2,V22,titles!AS$2,W22)</f>
        <v>101:320|102:1000</v>
      </c>
      <c r="Q22" s="1" t="str">
        <f>CONCATENATE(V22,titles!AS$2,W22*5,titles!AT$2,X22,titles!AS$2,Y22*5)</f>
        <v>102:5000|104:16000</v>
      </c>
      <c r="R22" s="1" t="str">
        <f>CONCATENATE(T22,titles!AS$2,U22*5,titles!AT$2,X22,titles!AS$2,Y22*5)</f>
        <v>101:1600|104:16000</v>
      </c>
      <c r="S22" s="1" t="str">
        <f>CONCATENATE(T22,titles!AS$2,U22*5,titles!AT$2,V22,titles!AS$2,W22*5)</f>
        <v>101:1600|102:5000</v>
      </c>
      <c r="T22" s="1">
        <v>101</v>
      </c>
      <c r="U22" s="1">
        <f t="shared" si="5"/>
        <v>320</v>
      </c>
      <c r="V22" s="1">
        <v>102</v>
      </c>
      <c r="W22" s="1">
        <f t="shared" si="6"/>
        <v>1000</v>
      </c>
      <c r="X22" s="1">
        <v>104</v>
      </c>
      <c r="Y22" s="1">
        <f t="shared" si="7"/>
        <v>3200</v>
      </c>
      <c r="Z22" s="1" t="str">
        <f t="shared" si="8"/>
        <v>[ff7800FF]天界保卫者[-]\n被动属性:\n防御力+1000\n生命值+3200\n使用属性:\n防御力+5000\n生命值+16000</v>
      </c>
      <c r="AA22" s="1" t="str">
        <f t="shared" si="9"/>
        <v>[ff7800FF]天界保卫者[-]\n被动属性:\n攻击力+320\n生命值+3200\n使用属性:\n攻击力+1600\n生命值+16000</v>
      </c>
      <c r="AB22" s="1" t="str">
        <f t="shared" si="10"/>
        <v>[ff7800FF]天界保卫者[-]\n被动属性:\n攻击力+320\n防御力+1000\n使用属性:\n攻击力+1600\n防御力+5000\n</v>
      </c>
      <c r="AC22" s="1" t="str">
        <f>VLOOKUP(T22,[1]CharPropertyConfig!$A:$B,2,FALSE)</f>
        <v>攻击力</v>
      </c>
      <c r="AD22" s="1" t="str">
        <f>VLOOKUP(V22,[1]CharPropertyConfig!$A:$B,2,FALSE)</f>
        <v>防御力</v>
      </c>
      <c r="AE22" s="1" t="str">
        <f>VLOOKUP(X22,[1]CharPropertyConfig!$A:$B,2,FALSE)</f>
        <v>生命值</v>
      </c>
      <c r="AF22" s="1">
        <f t="shared" si="11"/>
        <v>5000</v>
      </c>
      <c r="AG22" s="1">
        <f t="shared" si="12"/>
        <v>0.32800000000000001</v>
      </c>
      <c r="AH22" s="1">
        <f t="shared" si="13"/>
        <v>1.64</v>
      </c>
      <c r="AI22" s="1" t="e">
        <f>INDEX([2]achievement!$B:$B,MATCH(SUMIFS([3]ItemConfig!$A:$A,[3]ItemConfig!$T:$T,"add_title",[3]ItemConfig!$U:$U,A22),[2]achievement!$H:$H,0))</f>
        <v>#VALUE!</v>
      </c>
      <c r="AJ22" s="2"/>
      <c r="AK22" s="2" t="str">
        <f>CONCATENATE("[",VLOOKUP(I22,titles!AS$12:AT$21,2,FALSE),"]",IF(AL22="",B22,AL22),"[-]")</f>
        <v>[ffffffFF][ff7800FF]天界保卫者[-][-]</v>
      </c>
      <c r="AL22" s="2"/>
      <c r="AM22" s="3"/>
      <c r="AN22" s="7" t="s">
        <v>82</v>
      </c>
      <c r="AO22" s="11" t="s">
        <v>135</v>
      </c>
    </row>
    <row r="23" spans="1:41" s="1" customFormat="1">
      <c r="A23" s="1">
        <v>85</v>
      </c>
      <c r="B23" s="7" t="s">
        <v>83</v>
      </c>
      <c r="C23" s="2" t="str">
        <f t="shared" si="0"/>
        <v>特殊活动产出</v>
      </c>
      <c r="D23" s="1" t="s">
        <v>10</v>
      </c>
      <c r="E23" s="1" t="str">
        <f t="shared" ca="1" si="1"/>
        <v>102:4050|104:13500</v>
      </c>
      <c r="F23" s="1" t="str">
        <f t="shared" ca="1" si="2"/>
        <v>102:810|104:2700</v>
      </c>
      <c r="G23" s="1">
        <f t="shared" si="3"/>
        <v>6750</v>
      </c>
      <c r="H23" s="1">
        <f t="shared" si="4"/>
        <v>1350</v>
      </c>
      <c r="I23" s="6">
        <v>9</v>
      </c>
      <c r="J23" s="1">
        <v>1</v>
      </c>
      <c r="K23" s="1">
        <v>1</v>
      </c>
      <c r="L23" s="2" t="s">
        <v>101</v>
      </c>
      <c r="M23" s="2" t="s">
        <v>102</v>
      </c>
      <c r="N23" s="1" t="str">
        <f>CONCATENATE(V23,titles!AS$2,W23,titles!AT$2,X23,titles!AS$2,Y23)</f>
        <v>102:810|104:2700</v>
      </c>
      <c r="O23" s="1" t="str">
        <f>CONCATENATE(T23,titles!AS$2,U23,titles!AT$2,X23,titles!AS$2,Y23)</f>
        <v>101:270|104:2700</v>
      </c>
      <c r="P23" s="1" t="str">
        <f>CONCATENATE(T23,titles!AS$2,U23,titles!AT$2,V23,titles!AS$2,W23)</f>
        <v>101:270|102:810</v>
      </c>
      <c r="Q23" s="1" t="str">
        <f>CONCATENATE(V23,titles!AS$2,W23*5,titles!AT$2,X23,titles!AS$2,Y23*5)</f>
        <v>102:4050|104:13500</v>
      </c>
      <c r="R23" s="1" t="str">
        <f>CONCATENATE(T23,titles!AS$2,U23*5,titles!AT$2,X23,titles!AS$2,Y23*5)</f>
        <v>101:1350|104:13500</v>
      </c>
      <c r="S23" s="1" t="str">
        <f>CONCATENATE(T23,titles!AS$2,U23*5,titles!AT$2,V23,titles!AS$2,W23*5)</f>
        <v>101:1350|102:4050</v>
      </c>
      <c r="T23" s="1">
        <v>101</v>
      </c>
      <c r="U23" s="1">
        <f t="shared" si="5"/>
        <v>270</v>
      </c>
      <c r="V23" s="1">
        <v>102</v>
      </c>
      <c r="W23" s="1">
        <f t="shared" si="6"/>
        <v>810</v>
      </c>
      <c r="X23" s="1">
        <v>104</v>
      </c>
      <c r="Y23" s="1">
        <f t="shared" si="7"/>
        <v>2700</v>
      </c>
      <c r="Z23" s="1" t="str">
        <f t="shared" si="8"/>
        <v>[ff7800FF]死亡终结者[-]\n被动属性:\n防御力+810\n生命值+2700\n使用属性:\n防御力+4050\n生命值+13500</v>
      </c>
      <c r="AA23" s="1" t="str">
        <f t="shared" si="9"/>
        <v>[ff7800FF]死亡终结者[-]\n被动属性:\n攻击力+270\n生命值+2700\n使用属性:\n攻击力+1350\n生命值+13500</v>
      </c>
      <c r="AB23" s="1" t="str">
        <f t="shared" si="10"/>
        <v>[ff7800FF]死亡终结者[-]\n被动属性:\n攻击力+270\n防御力+810\n使用属性:\n攻击力+1350\n防御力+4050\n</v>
      </c>
      <c r="AC23" s="1" t="str">
        <f>VLOOKUP(T23,[1]CharPropertyConfig!$A:$B,2,FALSE)</f>
        <v>攻击力</v>
      </c>
      <c r="AD23" s="1" t="str">
        <f>VLOOKUP(V23,[1]CharPropertyConfig!$A:$B,2,FALSE)</f>
        <v>防御力</v>
      </c>
      <c r="AE23" s="1" t="str">
        <f>VLOOKUP(X23,[1]CharPropertyConfig!$A:$B,2,FALSE)</f>
        <v>生命值</v>
      </c>
      <c r="AF23" s="1">
        <f t="shared" si="11"/>
        <v>3650</v>
      </c>
      <c r="AG23" s="1">
        <f t="shared" si="12"/>
        <v>0.36986301369863012</v>
      </c>
      <c r="AH23" s="1">
        <f t="shared" si="13"/>
        <v>1.8493150684931507</v>
      </c>
      <c r="AI23" s="1" t="e">
        <f>INDEX([2]achievement!$B:$B,MATCH(SUMIFS([3]ItemConfig!$A:$A,[3]ItemConfig!$T:$T,"add_title",[3]ItemConfig!$U:$U,A23),[2]achievement!$H:$H,0))</f>
        <v>#VALUE!</v>
      </c>
      <c r="AK23" s="2" t="str">
        <f>CONCATENATE("[",VLOOKUP(I23,titles!AS$12:AT$21,2,FALSE),"]",IF(AL23="",B23,AL23),"[-]")</f>
        <v>[ffffffFF][ff7800FF]死亡终结者[-][-]</v>
      </c>
      <c r="AL23" s="2"/>
      <c r="AM23" s="3"/>
      <c r="AN23" s="7" t="s">
        <v>83</v>
      </c>
      <c r="AO23" s="11" t="s">
        <v>136</v>
      </c>
    </row>
    <row r="24" spans="1:41" s="1" customFormat="1">
      <c r="A24" s="1">
        <v>88</v>
      </c>
      <c r="B24" s="7" t="s">
        <v>59</v>
      </c>
      <c r="C24" s="2" t="str">
        <f t="shared" si="0"/>
        <v>特殊活动产出</v>
      </c>
      <c r="D24" s="1" t="s">
        <v>10</v>
      </c>
      <c r="E24" s="1" t="str">
        <f t="shared" ca="1" si="1"/>
        <v>102:3200|104:11500</v>
      </c>
      <c r="F24" s="1" t="str">
        <f t="shared" ca="1" si="2"/>
        <v>102:640|104:2300</v>
      </c>
      <c r="G24" s="1">
        <f t="shared" si="3"/>
        <v>5500</v>
      </c>
      <c r="H24" s="1">
        <f t="shared" si="4"/>
        <v>1100</v>
      </c>
      <c r="I24" s="6">
        <v>8</v>
      </c>
      <c r="J24" s="1">
        <v>1</v>
      </c>
      <c r="K24" s="1">
        <v>1</v>
      </c>
      <c r="L24" s="2" t="s">
        <v>101</v>
      </c>
      <c r="M24" s="2" t="s">
        <v>102</v>
      </c>
      <c r="N24" s="1" t="str">
        <f>CONCATENATE(V24,titles!AS$2,W24,titles!AT$2,X24,titles!AS$2,Y24)</f>
        <v>102:640|104:2300</v>
      </c>
      <c r="O24" s="1" t="str">
        <f>CONCATENATE(T24,titles!AS$2,U24,titles!AT$2,X24,titles!AS$2,Y24)</f>
        <v>101:230|104:2300</v>
      </c>
      <c r="P24" s="1" t="str">
        <f>CONCATENATE(T24,titles!AS$2,U24,titles!AT$2,V24,titles!AS$2,W24)</f>
        <v>101:230|102:640</v>
      </c>
      <c r="Q24" s="1" t="str">
        <f>CONCATENATE(V24,titles!AS$2,W24*5,titles!AT$2,X24,titles!AS$2,Y24*5)</f>
        <v>102:3200|104:11500</v>
      </c>
      <c r="R24" s="1" t="str">
        <f>CONCATENATE(T24,titles!AS$2,U24*5,titles!AT$2,X24,titles!AS$2,Y24*5)</f>
        <v>101:1150|104:11500</v>
      </c>
      <c r="S24" s="1" t="str">
        <f>CONCATENATE(T24,titles!AS$2,U24*5,titles!AT$2,V24,titles!AS$2,W24*5)</f>
        <v>101:1150|102:3200</v>
      </c>
      <c r="T24" s="1">
        <v>101</v>
      </c>
      <c r="U24" s="1">
        <f t="shared" si="5"/>
        <v>230</v>
      </c>
      <c r="V24" s="1">
        <v>102</v>
      </c>
      <c r="W24" s="1">
        <f t="shared" si="6"/>
        <v>640</v>
      </c>
      <c r="X24" s="1">
        <v>104</v>
      </c>
      <c r="Y24" s="1">
        <f t="shared" si="7"/>
        <v>2300</v>
      </c>
      <c r="Z24" s="1" t="str">
        <f t="shared" si="8"/>
        <v>[C776F3FF]圣光使者[-]\n被动属性:\n防御力+640\n生命值+2300\n使用属性:\n防御力+3200\n生命值+11500</v>
      </c>
      <c r="AA24" s="1" t="str">
        <f t="shared" si="9"/>
        <v>[C776F3FF]圣光使者[-]\n被动属性:\n攻击力+230\n生命值+2300\n使用属性:\n攻击力+1150\n生命值+11500</v>
      </c>
      <c r="AB24" s="1" t="str">
        <f t="shared" si="10"/>
        <v>[C776F3FF]圣光使者[-]\n被动属性:\n攻击力+230\n防御力+640\n使用属性:\n攻击力+1150\n防御力+3200\n</v>
      </c>
      <c r="AC24" s="1" t="str">
        <f>VLOOKUP(T24,[1]CharPropertyConfig!$A:$B,2,FALSE)</f>
        <v>攻击力</v>
      </c>
      <c r="AD24" s="1" t="str">
        <f>VLOOKUP(V24,[1]CharPropertyConfig!$A:$B,2,FALSE)</f>
        <v>防御力</v>
      </c>
      <c r="AE24" s="1" t="str">
        <f>VLOOKUP(X24,[1]CharPropertyConfig!$A:$B,2,FALSE)</f>
        <v>生命值</v>
      </c>
      <c r="AF24" s="1">
        <f t="shared" si="11"/>
        <v>2600</v>
      </c>
      <c r="AG24" s="1">
        <f t="shared" si="12"/>
        <v>0.42307692307692307</v>
      </c>
      <c r="AH24" s="1">
        <f t="shared" si="13"/>
        <v>2.1153846153846154</v>
      </c>
      <c r="AI24" s="1" t="e">
        <f>INDEX([2]achievement!$B:$B,MATCH(SUMIFS([3]ItemConfig!$A:$A,[3]ItemConfig!$T:$T,"add_title",[3]ItemConfig!$U:$U,A24),[2]achievement!$H:$H,0))</f>
        <v>#VALUE!</v>
      </c>
      <c r="AK24" s="2" t="str">
        <f>CONCATENATE("[",VLOOKUP(I24,titles!AS$12:AT$21,2,FALSE),"]",IF(AL24="",B24,AL24),"[-]")</f>
        <v>[ff7800FF][C776F3FF]圣光使者[-][-]</v>
      </c>
      <c r="AL24" s="3"/>
      <c r="AM24" s="3"/>
      <c r="AN24" s="7" t="s">
        <v>59</v>
      </c>
      <c r="AO24" s="11" t="s">
        <v>137</v>
      </c>
    </row>
    <row r="25" spans="1:41" s="1" customFormat="1">
      <c r="A25" s="1">
        <v>89</v>
      </c>
      <c r="B25" s="10" t="s">
        <v>60</v>
      </c>
      <c r="C25" s="2" t="str">
        <f t="shared" si="0"/>
        <v>特殊活动产出</v>
      </c>
      <c r="D25" s="1" t="s">
        <v>10</v>
      </c>
      <c r="E25" s="1" t="str">
        <f t="shared" ca="1" si="1"/>
        <v>102:3200|104:11500</v>
      </c>
      <c r="F25" s="1" t="str">
        <f t="shared" ca="1" si="2"/>
        <v>102:640|104:2300</v>
      </c>
      <c r="G25" s="1">
        <f t="shared" si="3"/>
        <v>5500</v>
      </c>
      <c r="H25" s="1">
        <f t="shared" si="4"/>
        <v>1100</v>
      </c>
      <c r="I25" s="6">
        <v>8</v>
      </c>
      <c r="J25" s="1">
        <v>1</v>
      </c>
      <c r="K25" s="1">
        <v>1</v>
      </c>
      <c r="L25" s="2" t="s">
        <v>101</v>
      </c>
      <c r="M25" s="2" t="s">
        <v>102</v>
      </c>
      <c r="N25" s="1" t="str">
        <f>CONCATENATE(V25,titles!AS$2,W25,titles!AT$2,X25,titles!AS$2,Y25)</f>
        <v>102:640|104:2300</v>
      </c>
      <c r="O25" s="1" t="str">
        <f>CONCATENATE(T25,titles!AS$2,U25,titles!AT$2,X25,titles!AS$2,Y25)</f>
        <v>101:230|104:2300</v>
      </c>
      <c r="P25" s="1" t="str">
        <f>CONCATENATE(T25,titles!AS$2,U25,titles!AT$2,V25,titles!AS$2,W25)</f>
        <v>101:230|102:640</v>
      </c>
      <c r="Q25" s="1" t="str">
        <f>CONCATENATE(V25,titles!AS$2,W25*5,titles!AT$2,X25,titles!AS$2,Y25*5)</f>
        <v>102:3200|104:11500</v>
      </c>
      <c r="R25" s="1" t="str">
        <f>CONCATENATE(T25,titles!AS$2,U25*5,titles!AT$2,X25,titles!AS$2,Y25*5)</f>
        <v>101:1150|104:11500</v>
      </c>
      <c r="S25" s="1" t="str">
        <f>CONCATENATE(T25,titles!AS$2,U25*5,titles!AT$2,V25,titles!AS$2,W25*5)</f>
        <v>101:1150|102:3200</v>
      </c>
      <c r="T25" s="1">
        <v>101</v>
      </c>
      <c r="U25" s="1">
        <f t="shared" si="5"/>
        <v>230</v>
      </c>
      <c r="V25" s="1">
        <v>102</v>
      </c>
      <c r="W25" s="1">
        <f t="shared" si="6"/>
        <v>640</v>
      </c>
      <c r="X25" s="1">
        <v>104</v>
      </c>
      <c r="Y25" s="1">
        <f t="shared" si="7"/>
        <v>2300</v>
      </c>
      <c r="Z25" s="1" t="str">
        <f t="shared" si="8"/>
        <v>[C776F3FF]魔网守护者[-]\n被动属性:\n防御力+640\n生命值+2300\n使用属性:\n防御力+3200\n生命值+11500</v>
      </c>
      <c r="AA25" s="1" t="str">
        <f t="shared" si="9"/>
        <v>[C776F3FF]魔网守护者[-]\n被动属性:\n攻击力+230\n生命值+2300\n使用属性:\n攻击力+1150\n生命值+11500</v>
      </c>
      <c r="AB25" s="1" t="str">
        <f t="shared" si="10"/>
        <v>[C776F3FF]魔网守护者[-]\n被动属性:\n攻击力+230\n防御力+640\n使用属性:\n攻击力+1150\n防御力+3200\n</v>
      </c>
      <c r="AC25" s="1" t="str">
        <f>VLOOKUP(T25,[1]CharPropertyConfig!$A:$B,2,FALSE)</f>
        <v>攻击力</v>
      </c>
      <c r="AD25" s="1" t="str">
        <f>VLOOKUP(V25,[1]CharPropertyConfig!$A:$B,2,FALSE)</f>
        <v>防御力</v>
      </c>
      <c r="AE25" s="1" t="str">
        <f>VLOOKUP(X25,[1]CharPropertyConfig!$A:$B,2,FALSE)</f>
        <v>生命值</v>
      </c>
      <c r="AF25" s="1">
        <f t="shared" si="11"/>
        <v>2600</v>
      </c>
      <c r="AG25" s="1">
        <f t="shared" si="12"/>
        <v>0.42307692307692307</v>
      </c>
      <c r="AH25" s="1">
        <f t="shared" si="13"/>
        <v>2.1153846153846154</v>
      </c>
      <c r="AI25" s="1" t="e">
        <f>INDEX([2]achievement!$B:$B,MATCH(SUMIFS([3]ItemConfig!$A:$A,[3]ItemConfig!$T:$T,"add_title",[3]ItemConfig!$U:$U,A25),[2]achievement!$H:$H,0))</f>
        <v>#VALUE!</v>
      </c>
      <c r="AJ25" s="2"/>
      <c r="AK25" s="2" t="str">
        <f>CONCATENATE("[",VLOOKUP(I25,titles!AS$12:AT$21,2,FALSE),"]",IF(AL25="",B25,AL25),"[-]")</f>
        <v>[ff7800FF][C776F3FF]魔网守护者[-][-]</v>
      </c>
      <c r="AL25" s="3"/>
      <c r="AM25" s="3"/>
      <c r="AN25" s="10" t="s">
        <v>60</v>
      </c>
      <c r="AO25" s="11" t="s">
        <v>138</v>
      </c>
    </row>
    <row r="26" spans="1:41" s="1" customFormat="1">
      <c r="A26" s="1">
        <v>90</v>
      </c>
      <c r="B26" s="9" t="s">
        <v>57</v>
      </c>
      <c r="C26" s="2" t="str">
        <f t="shared" si="0"/>
        <v>特殊活动产出</v>
      </c>
      <c r="D26" s="1" t="s">
        <v>10</v>
      </c>
      <c r="E26" s="1" t="str">
        <f t="shared" ca="1" si="1"/>
        <v>102:5000|104:16000</v>
      </c>
      <c r="F26" s="1" t="str">
        <f t="shared" ca="1" si="2"/>
        <v>102:1000|104:3200</v>
      </c>
      <c r="G26" s="1">
        <f t="shared" si="3"/>
        <v>8200</v>
      </c>
      <c r="H26" s="1">
        <f t="shared" si="4"/>
        <v>1640</v>
      </c>
      <c r="I26" s="6">
        <v>10</v>
      </c>
      <c r="J26" s="1">
        <v>1</v>
      </c>
      <c r="K26" s="1">
        <v>1</v>
      </c>
      <c r="L26" s="2" t="s">
        <v>101</v>
      </c>
      <c r="M26" s="2" t="s">
        <v>102</v>
      </c>
      <c r="N26" s="1" t="str">
        <f>CONCATENATE(V26,titles!AS$2,W26,titles!AT$2,X26,titles!AS$2,Y26)</f>
        <v>102:1000|104:3200</v>
      </c>
      <c r="O26" s="1" t="str">
        <f>CONCATENATE(T26,titles!AS$2,U26,titles!AT$2,X26,titles!AS$2,Y26)</f>
        <v>101:320|104:3200</v>
      </c>
      <c r="P26" s="1" t="str">
        <f>CONCATENATE(T26,titles!AS$2,U26,titles!AT$2,V26,titles!AS$2,W26)</f>
        <v>101:320|102:1000</v>
      </c>
      <c r="Q26" s="1" t="str">
        <f>CONCATENATE(V26,titles!AS$2,W26*5,titles!AT$2,X26,titles!AS$2,Y26*5)</f>
        <v>102:5000|104:16000</v>
      </c>
      <c r="R26" s="1" t="str">
        <f>CONCATENATE(T26,titles!AS$2,U26*5,titles!AT$2,X26,titles!AS$2,Y26*5)</f>
        <v>101:1600|104:16000</v>
      </c>
      <c r="S26" s="1" t="str">
        <f>CONCATENATE(T26,titles!AS$2,U26*5,titles!AT$2,V26,titles!AS$2,W26*5)</f>
        <v>101:1600|102:5000</v>
      </c>
      <c r="T26" s="1">
        <v>101</v>
      </c>
      <c r="U26" s="1">
        <f t="shared" si="5"/>
        <v>320</v>
      </c>
      <c r="V26" s="1">
        <v>102</v>
      </c>
      <c r="W26" s="1">
        <f t="shared" si="6"/>
        <v>1000</v>
      </c>
      <c r="X26" s="1">
        <v>104</v>
      </c>
      <c r="Y26" s="1">
        <f t="shared" si="7"/>
        <v>3200</v>
      </c>
      <c r="Z26" s="1" t="str">
        <f t="shared" si="8"/>
        <v>[ff7800FF]不朽者[-]\n被动属性:\n防御力+1000\n生命值+3200\n使用属性:\n防御力+5000\n生命值+16000</v>
      </c>
      <c r="AA26" s="1" t="str">
        <f t="shared" si="9"/>
        <v>[ff7800FF]不朽者[-]\n被动属性:\n攻击力+320\n生命值+3200\n使用属性:\n攻击力+1600\n生命值+16000</v>
      </c>
      <c r="AB26" s="1" t="str">
        <f t="shared" si="10"/>
        <v>[ff7800FF]不朽者[-]\n被动属性:\n攻击力+320\n防御力+1000\n使用属性:\n攻击力+1600\n防御力+5000\n</v>
      </c>
      <c r="AC26" s="1" t="str">
        <f>VLOOKUP(T26,[1]CharPropertyConfig!$A:$B,2,FALSE)</f>
        <v>攻击力</v>
      </c>
      <c r="AD26" s="1" t="str">
        <f>VLOOKUP(V26,[1]CharPropertyConfig!$A:$B,2,FALSE)</f>
        <v>防御力</v>
      </c>
      <c r="AE26" s="1" t="str">
        <f>VLOOKUP(X26,[1]CharPropertyConfig!$A:$B,2,FALSE)</f>
        <v>生命值</v>
      </c>
      <c r="AF26" s="1">
        <f t="shared" si="11"/>
        <v>5000</v>
      </c>
      <c r="AG26" s="1">
        <f t="shared" si="12"/>
        <v>0.32800000000000001</v>
      </c>
      <c r="AH26" s="1">
        <f t="shared" si="13"/>
        <v>1.64</v>
      </c>
      <c r="AI26" s="1" t="e">
        <f>INDEX([2]achievement!$B:$B,MATCH(SUMIFS([3]ItemConfig!$A:$A,[3]ItemConfig!$T:$T,"add_title",[3]ItemConfig!$U:$U,A26),[2]achievement!$H:$H,0))</f>
        <v>#VALUE!</v>
      </c>
      <c r="AK26" s="2" t="str">
        <f>CONCATENATE("[",VLOOKUP(I26,titles!AS$12:AT$21,2,FALSE),"]",IF(AL26="",B26,AL26),"[-]")</f>
        <v>[ffffffFF][ff7800FF]不朽者[-][-]</v>
      </c>
      <c r="AL26" s="3"/>
      <c r="AM26" s="3"/>
      <c r="AN26" s="9" t="s">
        <v>57</v>
      </c>
      <c r="AO26" s="11" t="s">
        <v>139</v>
      </c>
    </row>
    <row r="27" spans="1:41" s="1" customFormat="1">
      <c r="A27" s="1">
        <v>91</v>
      </c>
      <c r="B27" s="7" t="s">
        <v>58</v>
      </c>
      <c r="C27" s="2" t="str">
        <f t="shared" si="0"/>
        <v>特殊活动产出</v>
      </c>
      <c r="D27" s="1" t="s">
        <v>10</v>
      </c>
      <c r="E27" s="1" t="str">
        <f t="shared" ca="1" si="1"/>
        <v>102:5000|104:16000</v>
      </c>
      <c r="F27" s="1" t="str">
        <f t="shared" ca="1" si="2"/>
        <v>102:1000|104:3200</v>
      </c>
      <c r="G27" s="1">
        <f t="shared" si="3"/>
        <v>8200</v>
      </c>
      <c r="H27" s="1">
        <f t="shared" si="4"/>
        <v>1640</v>
      </c>
      <c r="I27" s="6">
        <v>10</v>
      </c>
      <c r="J27" s="1">
        <v>1</v>
      </c>
      <c r="K27" s="1">
        <v>1</v>
      </c>
      <c r="L27" s="2" t="s">
        <v>101</v>
      </c>
      <c r="M27" s="2" t="s">
        <v>102</v>
      </c>
      <c r="N27" s="1" t="str">
        <f>CONCATENATE(V27,titles!AS$2,W27,titles!AT$2,X27,titles!AS$2,Y27)</f>
        <v>102:1000|104:3200</v>
      </c>
      <c r="O27" s="1" t="str">
        <f>CONCATENATE(T27,titles!AS$2,U27,titles!AT$2,X27,titles!AS$2,Y27)</f>
        <v>101:320|104:3200</v>
      </c>
      <c r="P27" s="1" t="str">
        <f>CONCATENATE(T27,titles!AS$2,U27,titles!AT$2,V27,titles!AS$2,W27)</f>
        <v>101:320|102:1000</v>
      </c>
      <c r="Q27" s="1" t="str">
        <f>CONCATENATE(V27,titles!AS$2,W27*5,titles!AT$2,X27,titles!AS$2,Y27*5)</f>
        <v>102:5000|104:16000</v>
      </c>
      <c r="R27" s="1" t="str">
        <f>CONCATENATE(T27,titles!AS$2,U27*5,titles!AT$2,X27,titles!AS$2,Y27*5)</f>
        <v>101:1600|104:16000</v>
      </c>
      <c r="S27" s="1" t="str">
        <f>CONCATENATE(T27,titles!AS$2,U27*5,titles!AT$2,V27,titles!AS$2,W27*5)</f>
        <v>101:1600|102:5000</v>
      </c>
      <c r="T27" s="1">
        <v>101</v>
      </c>
      <c r="U27" s="1">
        <f t="shared" si="5"/>
        <v>320</v>
      </c>
      <c r="V27" s="1">
        <v>102</v>
      </c>
      <c r="W27" s="1">
        <f t="shared" si="6"/>
        <v>1000</v>
      </c>
      <c r="X27" s="1">
        <v>104</v>
      </c>
      <c r="Y27" s="1">
        <f t="shared" si="7"/>
        <v>3200</v>
      </c>
      <c r="Z27" s="1" t="str">
        <f t="shared" si="8"/>
        <v>[ff7800FF]灭神者[-]\n被动属性:\n防御力+1000\n生命值+3200\n使用属性:\n防御力+5000\n生命值+16000</v>
      </c>
      <c r="AA27" s="1" t="str">
        <f t="shared" si="9"/>
        <v>[ff7800FF]灭神者[-]\n被动属性:\n攻击力+320\n生命值+3200\n使用属性:\n攻击力+1600\n生命值+16000</v>
      </c>
      <c r="AB27" s="1" t="str">
        <f t="shared" si="10"/>
        <v>[ff7800FF]灭神者[-]\n被动属性:\n攻击力+320\n防御力+1000\n使用属性:\n攻击力+1600\n防御力+5000\n</v>
      </c>
      <c r="AC27" s="1" t="str">
        <f>VLOOKUP(T27,[1]CharPropertyConfig!$A:$B,2,FALSE)</f>
        <v>攻击力</v>
      </c>
      <c r="AD27" s="1" t="str">
        <f>VLOOKUP(V27,[1]CharPropertyConfig!$A:$B,2,FALSE)</f>
        <v>防御力</v>
      </c>
      <c r="AE27" s="1" t="str">
        <f>VLOOKUP(X27,[1]CharPropertyConfig!$A:$B,2,FALSE)</f>
        <v>生命值</v>
      </c>
      <c r="AF27" s="1">
        <f t="shared" si="11"/>
        <v>5000</v>
      </c>
      <c r="AG27" s="1">
        <f t="shared" si="12"/>
        <v>0.32800000000000001</v>
      </c>
      <c r="AH27" s="1">
        <f t="shared" si="13"/>
        <v>1.64</v>
      </c>
      <c r="AI27" s="1" t="e">
        <f>INDEX([2]achievement!$B:$B,MATCH(SUMIFS([3]ItemConfig!$A:$A,[3]ItemConfig!$T:$T,"add_title",[3]ItemConfig!$U:$U,A27),[2]achievement!$H:$H,0))</f>
        <v>#VALUE!</v>
      </c>
      <c r="AK27" s="2" t="str">
        <f>CONCATENATE("[",VLOOKUP(I27,titles!AS$12:AT$21,2,FALSE),"]",IF(AL27="",B27,AL27),"[-]")</f>
        <v>[ffffffFF][ff7800FF]灭神者[-][-]</v>
      </c>
      <c r="AL27" s="3"/>
      <c r="AM27" s="3"/>
      <c r="AN27" s="7" t="s">
        <v>58</v>
      </c>
      <c r="AO27" s="11" t="s">
        <v>140</v>
      </c>
    </row>
    <row r="28" spans="1:41" s="1" customFormat="1">
      <c r="A28" s="1">
        <v>93</v>
      </c>
      <c r="B28" s="9" t="s">
        <v>56</v>
      </c>
      <c r="C28" s="2" t="str">
        <f t="shared" si="0"/>
        <v>特殊活动产出</v>
      </c>
      <c r="D28" s="1" t="s">
        <v>10</v>
      </c>
      <c r="E28" s="1" t="str">
        <f t="shared" ca="1" si="1"/>
        <v>102:5000|104:16000</v>
      </c>
      <c r="F28" s="1" t="str">
        <f t="shared" ca="1" si="2"/>
        <v>102:1000|104:3200</v>
      </c>
      <c r="G28" s="1">
        <f t="shared" si="3"/>
        <v>8200</v>
      </c>
      <c r="H28" s="1">
        <f t="shared" si="4"/>
        <v>1640</v>
      </c>
      <c r="I28" s="6">
        <v>10</v>
      </c>
      <c r="J28" s="1">
        <v>1</v>
      </c>
      <c r="K28" s="1">
        <v>1</v>
      </c>
      <c r="L28" s="2" t="s">
        <v>101</v>
      </c>
      <c r="M28" s="2" t="s">
        <v>102</v>
      </c>
      <c r="N28" s="1" t="str">
        <f>CONCATENATE(V28,titles!AS$2,W28,titles!AT$2,X28,titles!AS$2,Y28)</f>
        <v>102:1000|104:3200</v>
      </c>
      <c r="O28" s="1" t="str">
        <f>CONCATENATE(T28,titles!AS$2,U28,titles!AT$2,X28,titles!AS$2,Y28)</f>
        <v>101:320|104:3200</v>
      </c>
      <c r="P28" s="1" t="str">
        <f>CONCATENATE(T28,titles!AS$2,U28,titles!AT$2,V28,titles!AS$2,W28)</f>
        <v>101:320|102:1000</v>
      </c>
      <c r="Q28" s="1" t="str">
        <f>CONCATENATE(V28,titles!AS$2,W28*5,titles!AT$2,X28,titles!AS$2,Y28*5)</f>
        <v>102:5000|104:16000</v>
      </c>
      <c r="R28" s="1" t="str">
        <f>CONCATENATE(T28,titles!AS$2,U28*5,titles!AT$2,X28,titles!AS$2,Y28*5)</f>
        <v>101:1600|104:16000</v>
      </c>
      <c r="S28" s="1" t="str">
        <f>CONCATENATE(T28,titles!AS$2,U28*5,titles!AT$2,V28,titles!AS$2,W28*5)</f>
        <v>101:1600|102:5000</v>
      </c>
      <c r="T28" s="1">
        <v>101</v>
      </c>
      <c r="U28" s="1">
        <f t="shared" si="5"/>
        <v>320</v>
      </c>
      <c r="V28" s="1">
        <v>102</v>
      </c>
      <c r="W28" s="1">
        <f t="shared" si="6"/>
        <v>1000</v>
      </c>
      <c r="X28" s="1">
        <v>104</v>
      </c>
      <c r="Y28" s="1">
        <f t="shared" si="7"/>
        <v>3200</v>
      </c>
      <c r="Z28" s="1" t="str">
        <f t="shared" si="8"/>
        <v>[ff7800FF]VIP大元帅[-]\n被动属性:\n防御力+1000\n生命值+3200\n使用属性:\n防御力+5000\n生命值+16000</v>
      </c>
      <c r="AA28" s="1" t="str">
        <f t="shared" si="9"/>
        <v>[ff7800FF]VIP大元帅[-]\n被动属性:\n攻击力+320\n生命值+3200\n使用属性:\n攻击力+1600\n生命值+16000</v>
      </c>
      <c r="AB28" s="1" t="str">
        <f t="shared" si="10"/>
        <v>[ff7800FF]VIP大元帅[-]\n被动属性:\n攻击力+320\n防御力+1000\n使用属性:\n攻击力+1600\n防御力+5000\n</v>
      </c>
      <c r="AC28" s="1" t="str">
        <f>VLOOKUP(T28,[1]CharPropertyConfig!$A:$B,2,FALSE)</f>
        <v>攻击力</v>
      </c>
      <c r="AD28" s="1" t="str">
        <f>VLOOKUP(V28,[1]CharPropertyConfig!$A:$B,2,FALSE)</f>
        <v>防御力</v>
      </c>
      <c r="AE28" s="1" t="str">
        <f>VLOOKUP(X28,[1]CharPropertyConfig!$A:$B,2,FALSE)</f>
        <v>生命值</v>
      </c>
      <c r="AF28" s="1">
        <f t="shared" si="11"/>
        <v>5000</v>
      </c>
      <c r="AG28" s="1">
        <f t="shared" si="12"/>
        <v>0.32800000000000001</v>
      </c>
      <c r="AH28" s="1">
        <f t="shared" si="13"/>
        <v>1.64</v>
      </c>
      <c r="AI28" s="1" t="e">
        <f>INDEX([2]achievement!$B:$B,MATCH(SUMIFS([3]ItemConfig!$A:$A,[3]ItemConfig!$T:$T,"add_title",[3]ItemConfig!$U:$U,A28),[2]achievement!$H:$H,0))</f>
        <v>#VALUE!</v>
      </c>
      <c r="AK28" s="2" t="str">
        <f>CONCATENATE("[",VLOOKUP(I28,titles!AS$12:AT$21,2,FALSE),"]",IF(AL28="",B28,AL28),"[-]")</f>
        <v>[ffffffFF][ff7800FF]VIP大元帅[-][-]</v>
      </c>
      <c r="AL28" s="3"/>
      <c r="AM28" s="3"/>
      <c r="AN28" s="9" t="s">
        <v>56</v>
      </c>
      <c r="AO28" s="11" t="s">
        <v>141</v>
      </c>
    </row>
    <row r="29" spans="1:41" s="1" customFormat="1">
      <c r="A29" s="1">
        <v>95</v>
      </c>
      <c r="B29" s="9" t="s">
        <v>49</v>
      </c>
      <c r="C29" s="2" t="str">
        <f t="shared" si="0"/>
        <v>特殊活动产出</v>
      </c>
      <c r="D29" s="1" t="s">
        <v>10</v>
      </c>
      <c r="E29" s="1" t="str">
        <f t="shared" ca="1" si="1"/>
        <v>102:3200|104:11500</v>
      </c>
      <c r="F29" s="1" t="str">
        <f t="shared" ca="1" si="2"/>
        <v>102:640|104:2300</v>
      </c>
      <c r="G29" s="1">
        <f t="shared" si="3"/>
        <v>5500</v>
      </c>
      <c r="H29" s="1">
        <f t="shared" si="4"/>
        <v>1100</v>
      </c>
      <c r="I29" s="6">
        <v>8</v>
      </c>
      <c r="J29" s="1">
        <v>1</v>
      </c>
      <c r="K29" s="1">
        <v>1</v>
      </c>
      <c r="L29" s="2" t="s">
        <v>101</v>
      </c>
      <c r="M29" s="2" t="s">
        <v>102</v>
      </c>
      <c r="N29" s="1" t="str">
        <f>CONCATENATE(V29,titles!AS$2,W29,titles!AT$2,X29,titles!AS$2,Y29)</f>
        <v>102:640|104:2300</v>
      </c>
      <c r="O29" s="1" t="str">
        <f>CONCATENATE(T29,titles!AS$2,U29,titles!AT$2,X29,titles!AS$2,Y29)</f>
        <v>101:230|104:2300</v>
      </c>
      <c r="P29" s="1" t="str">
        <f>CONCATENATE(T29,titles!AS$2,U29,titles!AT$2,V29,titles!AS$2,W29)</f>
        <v>101:230|102:640</v>
      </c>
      <c r="Q29" s="1" t="str">
        <f>CONCATENATE(V29,titles!AS$2,W29*5,titles!AT$2,X29,titles!AS$2,Y29*5)</f>
        <v>102:3200|104:11500</v>
      </c>
      <c r="R29" s="1" t="str">
        <f>CONCATENATE(T29,titles!AS$2,U29*5,titles!AT$2,X29,titles!AS$2,Y29*5)</f>
        <v>101:1150|104:11500</v>
      </c>
      <c r="S29" s="1" t="str">
        <f>CONCATENATE(T29,titles!AS$2,U29*5,titles!AT$2,V29,titles!AS$2,W29*5)</f>
        <v>101:1150|102:3200</v>
      </c>
      <c r="T29" s="1">
        <v>101</v>
      </c>
      <c r="U29" s="1">
        <f t="shared" si="5"/>
        <v>230</v>
      </c>
      <c r="V29" s="1">
        <v>102</v>
      </c>
      <c r="W29" s="1">
        <f t="shared" si="6"/>
        <v>640</v>
      </c>
      <c r="X29" s="1">
        <v>104</v>
      </c>
      <c r="Y29" s="1">
        <f t="shared" si="7"/>
        <v>2300</v>
      </c>
      <c r="Z29" s="1" t="str">
        <f t="shared" si="8"/>
        <v>[C776F3FF]逐风者[-]\n被动属性:\n防御力+640\n生命值+2300\n使用属性:\n防御力+3200\n生命值+11500</v>
      </c>
      <c r="AA29" s="1" t="str">
        <f t="shared" si="9"/>
        <v>[C776F3FF]逐风者[-]\n被动属性:\n攻击力+230\n生命值+2300\n使用属性:\n攻击力+1150\n生命值+11500</v>
      </c>
      <c r="AB29" s="1" t="str">
        <f t="shared" si="10"/>
        <v>[C776F3FF]逐风者[-]\n被动属性:\n攻击力+230\n防御力+640\n使用属性:\n攻击力+1150\n防御力+3200\n</v>
      </c>
      <c r="AC29" s="1" t="str">
        <f>VLOOKUP(T29,[1]CharPropertyConfig!$A:$B,2,FALSE)</f>
        <v>攻击力</v>
      </c>
      <c r="AD29" s="1" t="str">
        <f>VLOOKUP(V29,[1]CharPropertyConfig!$A:$B,2,FALSE)</f>
        <v>防御力</v>
      </c>
      <c r="AE29" s="1" t="str">
        <f>VLOOKUP(X29,[1]CharPropertyConfig!$A:$B,2,FALSE)</f>
        <v>生命值</v>
      </c>
      <c r="AF29" s="1">
        <f t="shared" si="11"/>
        <v>2600</v>
      </c>
      <c r="AG29" s="1">
        <f t="shared" si="12"/>
        <v>0.42307692307692307</v>
      </c>
      <c r="AH29" s="1">
        <f t="shared" si="13"/>
        <v>2.1153846153846154</v>
      </c>
      <c r="AI29" s="1" t="e">
        <f>INDEX([2]achievement!$B:$B,MATCH(SUMIFS([3]ItemConfig!$A:$A,[3]ItemConfig!$T:$T,"add_title",[3]ItemConfig!$U:$U,A29),[2]achievement!$H:$H,0))</f>
        <v>#VALUE!</v>
      </c>
      <c r="AK29" s="2" t="str">
        <f>CONCATENATE("[",VLOOKUP(I29,titles!AS$12:AT$21,2,FALSE),"]",IF(AL29="",B29,AL29),"[-]")</f>
        <v>[ff7800FF][C776F3FF]逐风者[-][-]</v>
      </c>
      <c r="AL29" s="2"/>
      <c r="AM29" s="3"/>
      <c r="AN29" s="9" t="s">
        <v>49</v>
      </c>
      <c r="AO29" s="11" t="s">
        <v>142</v>
      </c>
    </row>
    <row r="30" spans="1:41" s="1" customFormat="1">
      <c r="A30" s="1">
        <v>96</v>
      </c>
      <c r="B30" s="10" t="s">
        <v>50</v>
      </c>
      <c r="C30" s="2" t="str">
        <f t="shared" si="0"/>
        <v>特殊活动产出</v>
      </c>
      <c r="D30" s="1" t="s">
        <v>10</v>
      </c>
      <c r="E30" s="1" t="str">
        <f t="shared" ca="1" si="1"/>
        <v>102:3200|104:11500</v>
      </c>
      <c r="F30" s="1" t="str">
        <f t="shared" ca="1" si="2"/>
        <v>102:640|104:2300</v>
      </c>
      <c r="G30" s="1">
        <f t="shared" si="3"/>
        <v>5500</v>
      </c>
      <c r="H30" s="1">
        <f t="shared" si="4"/>
        <v>1100</v>
      </c>
      <c r="I30" s="6">
        <v>8</v>
      </c>
      <c r="J30" s="1">
        <v>1</v>
      </c>
      <c r="K30" s="1">
        <v>1</v>
      </c>
      <c r="L30" s="2" t="s">
        <v>101</v>
      </c>
      <c r="M30" s="2" t="s">
        <v>102</v>
      </c>
      <c r="N30" s="1" t="str">
        <f>CONCATENATE(V30,titles!AS$2,W30,titles!AT$2,X30,titles!AS$2,Y30)</f>
        <v>102:640|104:2300</v>
      </c>
      <c r="O30" s="1" t="str">
        <f>CONCATENATE(T30,titles!AS$2,U30,titles!AT$2,X30,titles!AS$2,Y30)</f>
        <v>101:230|104:2300</v>
      </c>
      <c r="P30" s="1" t="str">
        <f>CONCATENATE(T30,titles!AS$2,U30,titles!AT$2,V30,titles!AS$2,W30)</f>
        <v>101:230|102:640</v>
      </c>
      <c r="Q30" s="1" t="str">
        <f>CONCATENATE(V30,titles!AS$2,W30*5,titles!AT$2,X30,titles!AS$2,Y30*5)</f>
        <v>102:3200|104:11500</v>
      </c>
      <c r="R30" s="1" t="str">
        <f>CONCATENATE(T30,titles!AS$2,U30*5,titles!AT$2,X30,titles!AS$2,Y30*5)</f>
        <v>101:1150|104:11500</v>
      </c>
      <c r="S30" s="1" t="str">
        <f>CONCATENATE(T30,titles!AS$2,U30*5,titles!AT$2,V30,titles!AS$2,W30*5)</f>
        <v>101:1150|102:3200</v>
      </c>
      <c r="T30" s="1">
        <v>101</v>
      </c>
      <c r="U30" s="1">
        <f t="shared" si="5"/>
        <v>230</v>
      </c>
      <c r="V30" s="1">
        <v>102</v>
      </c>
      <c r="W30" s="1">
        <f t="shared" si="6"/>
        <v>640</v>
      </c>
      <c r="X30" s="1">
        <v>104</v>
      </c>
      <c r="Y30" s="1">
        <f t="shared" si="7"/>
        <v>2300</v>
      </c>
      <c r="Z30" s="1" t="str">
        <f t="shared" si="8"/>
        <v>[C776F3FF]炎魔之王[-]\n被动属性:\n防御力+640\n生命值+2300\n使用属性:\n防御力+3200\n生命值+11500</v>
      </c>
      <c r="AA30" s="1" t="str">
        <f t="shared" si="9"/>
        <v>[C776F3FF]炎魔之王[-]\n被动属性:\n攻击力+230\n生命值+2300\n使用属性:\n攻击力+1150\n生命值+11500</v>
      </c>
      <c r="AB30" s="1" t="str">
        <f t="shared" si="10"/>
        <v>[C776F3FF]炎魔之王[-]\n被动属性:\n攻击力+230\n防御力+640\n使用属性:\n攻击力+1150\n防御力+3200\n</v>
      </c>
      <c r="AC30" s="1" t="str">
        <f>VLOOKUP(T30,[1]CharPropertyConfig!$A:$B,2,FALSE)</f>
        <v>攻击力</v>
      </c>
      <c r="AD30" s="1" t="str">
        <f>VLOOKUP(V30,[1]CharPropertyConfig!$A:$B,2,FALSE)</f>
        <v>防御力</v>
      </c>
      <c r="AE30" s="1" t="str">
        <f>VLOOKUP(X30,[1]CharPropertyConfig!$A:$B,2,FALSE)</f>
        <v>生命值</v>
      </c>
      <c r="AF30" s="1">
        <f t="shared" si="11"/>
        <v>2600</v>
      </c>
      <c r="AG30" s="1">
        <f t="shared" si="12"/>
        <v>0.42307692307692307</v>
      </c>
      <c r="AH30" s="1">
        <f t="shared" si="13"/>
        <v>2.1153846153846154</v>
      </c>
      <c r="AI30" s="1" t="e">
        <f>INDEX([2]achievement!$B:$B,MATCH(SUMIFS([3]ItemConfig!$A:$A,[3]ItemConfig!$T:$T,"add_title",[3]ItemConfig!$U:$U,A30),[2]achievement!$H:$H,0))</f>
        <v>#VALUE!</v>
      </c>
      <c r="AK30" s="2" t="str">
        <f>CONCATENATE("[",VLOOKUP(I30,titles!AS$12:AT$21,2,FALSE),"]",IF(AL30="",B30,AL30),"[-]")</f>
        <v>[ff7800FF][C776F3FF]炎魔之王[-][-]</v>
      </c>
      <c r="AL30" s="2"/>
      <c r="AM30" s="3"/>
      <c r="AN30" s="10" t="s">
        <v>50</v>
      </c>
      <c r="AO30" s="11" t="s">
        <v>143</v>
      </c>
    </row>
    <row r="31" spans="1:41" s="1" customFormat="1">
      <c r="A31" s="1">
        <v>97</v>
      </c>
      <c r="B31" s="8" t="s">
        <v>51</v>
      </c>
      <c r="C31" s="2" t="str">
        <f t="shared" si="0"/>
        <v>特殊活动产出</v>
      </c>
      <c r="D31" s="1" t="s">
        <v>10</v>
      </c>
      <c r="E31" s="1" t="str">
        <f t="shared" ca="1" si="1"/>
        <v>102:3200|104:11500</v>
      </c>
      <c r="F31" s="1" t="str">
        <f t="shared" ca="1" si="2"/>
        <v>102:640|104:2300</v>
      </c>
      <c r="G31" s="1">
        <f t="shared" si="3"/>
        <v>5500</v>
      </c>
      <c r="H31" s="1">
        <f t="shared" si="4"/>
        <v>1100</v>
      </c>
      <c r="I31" s="6">
        <v>8</v>
      </c>
      <c r="J31" s="1">
        <v>1</v>
      </c>
      <c r="K31" s="1">
        <v>1</v>
      </c>
      <c r="L31" s="2" t="s">
        <v>101</v>
      </c>
      <c r="M31" s="2" t="s">
        <v>102</v>
      </c>
      <c r="N31" s="1" t="str">
        <f>CONCATENATE(V31,titles!AS$2,W31,titles!AT$2,X31,titles!AS$2,Y31)</f>
        <v>102:640|104:2300</v>
      </c>
      <c r="O31" s="1" t="str">
        <f>CONCATENATE(T31,titles!AS$2,U31,titles!AT$2,X31,titles!AS$2,Y31)</f>
        <v>101:230|104:2300</v>
      </c>
      <c r="P31" s="1" t="str">
        <f>CONCATENATE(T31,titles!AS$2,U31,titles!AT$2,V31,titles!AS$2,W31)</f>
        <v>101:230|102:640</v>
      </c>
      <c r="Q31" s="1" t="str">
        <f>CONCATENATE(V31,titles!AS$2,W31*5,titles!AT$2,X31,titles!AS$2,Y31*5)</f>
        <v>102:3200|104:11500</v>
      </c>
      <c r="R31" s="1" t="str">
        <f>CONCATENATE(T31,titles!AS$2,U31*5,titles!AT$2,X31,titles!AS$2,Y31*5)</f>
        <v>101:1150|104:11500</v>
      </c>
      <c r="S31" s="1" t="str">
        <f>CONCATENATE(T31,titles!AS$2,U31*5,titles!AT$2,V31,titles!AS$2,W31*5)</f>
        <v>101:1150|102:3200</v>
      </c>
      <c r="T31" s="1">
        <v>101</v>
      </c>
      <c r="U31" s="1">
        <f t="shared" si="5"/>
        <v>230</v>
      </c>
      <c r="V31" s="1">
        <v>102</v>
      </c>
      <c r="W31" s="1">
        <f t="shared" si="6"/>
        <v>640</v>
      </c>
      <c r="X31" s="1">
        <v>104</v>
      </c>
      <c r="Y31" s="1">
        <f t="shared" si="7"/>
        <v>2300</v>
      </c>
      <c r="Z31" s="1" t="str">
        <f t="shared" si="8"/>
        <v>[C776F3FF]灵魂收割者[-]\n被动属性:\n防御力+640\n生命值+2300\n使用属性:\n防御力+3200\n生命值+11500</v>
      </c>
      <c r="AA31" s="1" t="str">
        <f t="shared" si="9"/>
        <v>[C776F3FF]灵魂收割者[-]\n被动属性:\n攻击力+230\n生命值+2300\n使用属性:\n攻击力+1150\n生命值+11500</v>
      </c>
      <c r="AB31" s="1" t="str">
        <f t="shared" si="10"/>
        <v>[C776F3FF]灵魂收割者[-]\n被动属性:\n攻击力+230\n防御力+640\n使用属性:\n攻击力+1150\n防御力+3200\n</v>
      </c>
      <c r="AC31" s="1" t="str">
        <f>VLOOKUP(T31,[1]CharPropertyConfig!$A:$B,2,FALSE)</f>
        <v>攻击力</v>
      </c>
      <c r="AD31" s="1" t="str">
        <f>VLOOKUP(V31,[1]CharPropertyConfig!$A:$B,2,FALSE)</f>
        <v>防御力</v>
      </c>
      <c r="AE31" s="1" t="str">
        <f>VLOOKUP(X31,[1]CharPropertyConfig!$A:$B,2,FALSE)</f>
        <v>生命值</v>
      </c>
      <c r="AF31" s="1">
        <f t="shared" si="11"/>
        <v>2600</v>
      </c>
      <c r="AG31" s="1">
        <f t="shared" si="12"/>
        <v>0.42307692307692307</v>
      </c>
      <c r="AH31" s="1">
        <f t="shared" si="13"/>
        <v>2.1153846153846154</v>
      </c>
      <c r="AI31" s="1" t="e">
        <f>INDEX([2]achievement!$B:$B,MATCH(SUMIFS([3]ItemConfig!$A:$A,[3]ItemConfig!$T:$T,"add_title",[3]ItemConfig!$U:$U,A31),[2]achievement!$H:$H,0))</f>
        <v>#VALUE!</v>
      </c>
      <c r="AK31" s="2" t="str">
        <f>CONCATENATE("[",VLOOKUP(I31,titles!AS$12:AT$21,2,FALSE),"]",IF(AL31="",B31,AL31),"[-]")</f>
        <v>[ff7800FF][C776F3FF]灵魂收割者[-][-]</v>
      </c>
      <c r="AL31" s="2"/>
      <c r="AM31" s="3"/>
      <c r="AN31" s="8" t="s">
        <v>51</v>
      </c>
      <c r="AO31" s="11" t="s">
        <v>144</v>
      </c>
    </row>
    <row r="32" spans="1:41" s="1" customFormat="1">
      <c r="A32" s="30">
        <v>98</v>
      </c>
      <c r="B32" s="10" t="s">
        <v>52</v>
      </c>
      <c r="C32" s="2" t="str">
        <f t="shared" si="0"/>
        <v>特殊活动产出</v>
      </c>
      <c r="D32" s="1" t="s">
        <v>10</v>
      </c>
      <c r="E32" s="1" t="str">
        <f t="shared" ca="1" si="1"/>
        <v>102:4050|104:13500</v>
      </c>
      <c r="F32" s="1" t="str">
        <f t="shared" ca="1" si="2"/>
        <v>102:810|104:2700</v>
      </c>
      <c r="G32" s="1">
        <f t="shared" si="3"/>
        <v>6750</v>
      </c>
      <c r="H32" s="1">
        <f t="shared" si="4"/>
        <v>1350</v>
      </c>
      <c r="I32" s="6">
        <v>9</v>
      </c>
      <c r="J32" s="1">
        <v>1</v>
      </c>
      <c r="K32" s="1">
        <v>1</v>
      </c>
      <c r="L32" s="2" t="s">
        <v>101</v>
      </c>
      <c r="M32" s="2" t="s">
        <v>102</v>
      </c>
      <c r="N32" s="1" t="str">
        <f>CONCATENATE(V32,titles!AS$2,W32,titles!AT$2,X32,titles!AS$2,Y32)</f>
        <v>102:810|104:2700</v>
      </c>
      <c r="O32" s="1" t="str">
        <f>CONCATENATE(T32,titles!AS$2,U32,titles!AT$2,X32,titles!AS$2,Y32)</f>
        <v>101:270|104:2700</v>
      </c>
      <c r="P32" s="1" t="str">
        <f>CONCATENATE(T32,titles!AS$2,U32,titles!AT$2,V32,titles!AS$2,W32)</f>
        <v>101:270|102:810</v>
      </c>
      <c r="Q32" s="1" t="str">
        <f>CONCATENATE(V32,titles!AS$2,W32*5,titles!AT$2,X32,titles!AS$2,Y32*5)</f>
        <v>102:4050|104:13500</v>
      </c>
      <c r="R32" s="1" t="str">
        <f>CONCATENATE(T32,titles!AS$2,U32*5,titles!AT$2,X32,titles!AS$2,Y32*5)</f>
        <v>101:1350|104:13500</v>
      </c>
      <c r="S32" s="1" t="str">
        <f>CONCATENATE(T32,titles!AS$2,U32*5,titles!AT$2,V32,titles!AS$2,W32*5)</f>
        <v>101:1350|102:4050</v>
      </c>
      <c r="T32" s="1">
        <v>101</v>
      </c>
      <c r="U32" s="1">
        <f t="shared" si="5"/>
        <v>270</v>
      </c>
      <c r="V32" s="1">
        <v>102</v>
      </c>
      <c r="W32" s="1">
        <f t="shared" si="6"/>
        <v>810</v>
      </c>
      <c r="X32" s="1">
        <v>104</v>
      </c>
      <c r="Y32" s="1">
        <f t="shared" si="7"/>
        <v>2700</v>
      </c>
      <c r="Z32" s="1" t="str">
        <f t="shared" si="8"/>
        <v>[ff7800FF]远古王者[-]\n被动属性:\n防御力+810\n生命值+2700\n使用属性:\n防御力+4050\n生命值+13500</v>
      </c>
      <c r="AA32" s="1" t="str">
        <f t="shared" si="9"/>
        <v>[ff7800FF]远古王者[-]\n被动属性:\n攻击力+270\n生命值+2700\n使用属性:\n攻击力+1350\n生命值+13500</v>
      </c>
      <c r="AB32" s="1" t="str">
        <f t="shared" si="10"/>
        <v>[ff7800FF]远古王者[-]\n被动属性:\n攻击力+270\n防御力+810\n使用属性:\n攻击力+1350\n防御力+4050\n</v>
      </c>
      <c r="AC32" s="1" t="str">
        <f>VLOOKUP(T32,[1]CharPropertyConfig!$A:$B,2,FALSE)</f>
        <v>攻击力</v>
      </c>
      <c r="AD32" s="1" t="str">
        <f>VLOOKUP(V32,[1]CharPropertyConfig!$A:$B,2,FALSE)</f>
        <v>防御力</v>
      </c>
      <c r="AE32" s="1" t="str">
        <f>VLOOKUP(X32,[1]CharPropertyConfig!$A:$B,2,FALSE)</f>
        <v>生命值</v>
      </c>
      <c r="AF32" s="1">
        <f t="shared" si="11"/>
        <v>3650</v>
      </c>
      <c r="AG32" s="1">
        <f t="shared" si="12"/>
        <v>0.36986301369863012</v>
      </c>
      <c r="AH32" s="1">
        <f t="shared" si="13"/>
        <v>1.8493150684931507</v>
      </c>
      <c r="AI32" s="1" t="e">
        <f>INDEX([2]achievement!$B:$B,MATCH(SUMIFS([3]ItemConfig!$A:$A,[3]ItemConfig!$T:$T,"add_title",[3]ItemConfig!$U:$U,A32),[2]achievement!$H:$H,0))</f>
        <v>#VALUE!</v>
      </c>
      <c r="AK32" s="2" t="str">
        <f>CONCATENATE("[",VLOOKUP(I32,titles!AS$12:AT$21,2,FALSE),"]",IF(AL32="",B32,AL32),"[-]")</f>
        <v>[ffffffFF][ff7800FF]远古王者[-][-]</v>
      </c>
      <c r="AL32" s="2"/>
      <c r="AM32" s="10"/>
      <c r="AN32" s="10" t="s">
        <v>52</v>
      </c>
      <c r="AO32" s="11" t="s">
        <v>145</v>
      </c>
    </row>
    <row r="33" spans="1:41" s="1" customFormat="1">
      <c r="A33" s="1">
        <v>99</v>
      </c>
      <c r="B33" s="10" t="s">
        <v>53</v>
      </c>
      <c r="C33" s="2" t="str">
        <f t="shared" si="0"/>
        <v>特殊活动产出</v>
      </c>
      <c r="D33" s="1" t="s">
        <v>10</v>
      </c>
      <c r="E33" s="1" t="str">
        <f t="shared" ca="1" si="1"/>
        <v>102:3200|104:11500</v>
      </c>
      <c r="F33" s="1" t="str">
        <f t="shared" ca="1" si="2"/>
        <v>102:640|104:2300</v>
      </c>
      <c r="G33" s="1">
        <f t="shared" si="3"/>
        <v>5500</v>
      </c>
      <c r="H33" s="1">
        <f t="shared" si="4"/>
        <v>1100</v>
      </c>
      <c r="I33" s="6">
        <v>8</v>
      </c>
      <c r="J33" s="1">
        <v>1</v>
      </c>
      <c r="K33" s="1">
        <v>1</v>
      </c>
      <c r="L33" s="2" t="s">
        <v>101</v>
      </c>
      <c r="M33" s="2" t="s">
        <v>102</v>
      </c>
      <c r="N33" s="1" t="str">
        <f>CONCATENATE(V33,titles!AS$2,W33,titles!AT$2,X33,titles!AS$2,Y33)</f>
        <v>102:640|104:2300</v>
      </c>
      <c r="O33" s="1" t="str">
        <f>CONCATENATE(T33,titles!AS$2,U33,titles!AT$2,X33,titles!AS$2,Y33)</f>
        <v>101:230|104:2300</v>
      </c>
      <c r="P33" s="1" t="str">
        <f>CONCATENATE(T33,titles!AS$2,U33,titles!AT$2,V33,titles!AS$2,W33)</f>
        <v>101:230|102:640</v>
      </c>
      <c r="Q33" s="1" t="str">
        <f>CONCATENATE(V33,titles!AS$2,W33*5,titles!AT$2,X33,titles!AS$2,Y33*5)</f>
        <v>102:3200|104:11500</v>
      </c>
      <c r="R33" s="1" t="str">
        <f>CONCATENATE(T33,titles!AS$2,U33*5,titles!AT$2,X33,titles!AS$2,Y33*5)</f>
        <v>101:1150|104:11500</v>
      </c>
      <c r="S33" s="1" t="str">
        <f>CONCATENATE(T33,titles!AS$2,U33*5,titles!AT$2,V33,titles!AS$2,W33*5)</f>
        <v>101:1150|102:3200</v>
      </c>
      <c r="T33" s="1">
        <v>101</v>
      </c>
      <c r="U33" s="1">
        <f t="shared" si="5"/>
        <v>230</v>
      </c>
      <c r="V33" s="1">
        <v>102</v>
      </c>
      <c r="W33" s="1">
        <f t="shared" si="6"/>
        <v>640</v>
      </c>
      <c r="X33" s="1">
        <v>104</v>
      </c>
      <c r="Y33" s="1">
        <f t="shared" si="7"/>
        <v>2300</v>
      </c>
      <c r="Z33" s="1" t="str">
        <f t="shared" si="8"/>
        <v>[C776F3FF]影之哀伤[-]\n被动属性:\n防御力+640\n生命值+2300\n使用属性:\n防御力+3200\n生命值+11500</v>
      </c>
      <c r="AA33" s="1" t="str">
        <f t="shared" si="9"/>
        <v>[C776F3FF]影之哀伤[-]\n被动属性:\n攻击力+230\n生命值+2300\n使用属性:\n攻击力+1150\n生命值+11500</v>
      </c>
      <c r="AB33" s="1" t="str">
        <f t="shared" si="10"/>
        <v>[C776F3FF]影之哀伤[-]\n被动属性:\n攻击力+230\n防御力+640\n使用属性:\n攻击力+1150\n防御力+3200\n</v>
      </c>
      <c r="AC33" s="1" t="str">
        <f>VLOOKUP(T33,[1]CharPropertyConfig!$A:$B,2,FALSE)</f>
        <v>攻击力</v>
      </c>
      <c r="AD33" s="1" t="str">
        <f>VLOOKUP(V33,[1]CharPropertyConfig!$A:$B,2,FALSE)</f>
        <v>防御力</v>
      </c>
      <c r="AE33" s="1" t="str">
        <f>VLOOKUP(X33,[1]CharPropertyConfig!$A:$B,2,FALSE)</f>
        <v>生命值</v>
      </c>
      <c r="AF33" s="1">
        <f t="shared" si="11"/>
        <v>2600</v>
      </c>
      <c r="AG33" s="1">
        <f t="shared" si="12"/>
        <v>0.42307692307692307</v>
      </c>
      <c r="AH33" s="1">
        <f t="shared" si="13"/>
        <v>2.1153846153846154</v>
      </c>
      <c r="AI33" s="1" t="e">
        <f>INDEX([2]achievement!$B:$B,MATCH(SUMIFS([3]ItemConfig!$A:$A,[3]ItemConfig!$T:$T,"add_title",[3]ItemConfig!$U:$U,A33),[2]achievement!$H:$H,0))</f>
        <v>#VALUE!</v>
      </c>
      <c r="AK33" s="2" t="str">
        <f>CONCATENATE("[",VLOOKUP(I33,titles!AS$12:AT$21,2,FALSE),"]",IF(AL33="",B33,AL33),"[-]")</f>
        <v>[ff7800FF][C776F3FF]影之哀伤[-][-]</v>
      </c>
      <c r="AL33" s="2"/>
      <c r="AM33" s="3"/>
      <c r="AN33" s="10" t="s">
        <v>53</v>
      </c>
      <c r="AO33" s="11" t="s">
        <v>146</v>
      </c>
    </row>
    <row r="34" spans="1:41" s="1" customFormat="1">
      <c r="A34" s="1">
        <v>100</v>
      </c>
      <c r="B34" s="10" t="s">
        <v>54</v>
      </c>
      <c r="C34" s="2" t="str">
        <f t="shared" si="0"/>
        <v>特殊活动产出</v>
      </c>
      <c r="D34" s="1" t="s">
        <v>10</v>
      </c>
      <c r="E34" s="1" t="str">
        <f t="shared" ca="1" si="1"/>
        <v>102:4050|104:13500</v>
      </c>
      <c r="F34" s="1" t="str">
        <f t="shared" ca="1" si="2"/>
        <v>102:810|104:2700</v>
      </c>
      <c r="G34" s="1">
        <f t="shared" si="3"/>
        <v>6750</v>
      </c>
      <c r="H34" s="1">
        <f t="shared" si="4"/>
        <v>1350</v>
      </c>
      <c r="I34" s="6">
        <v>9</v>
      </c>
      <c r="J34" s="1">
        <v>1</v>
      </c>
      <c r="K34" s="1">
        <v>1</v>
      </c>
      <c r="L34" s="2" t="s">
        <v>101</v>
      </c>
      <c r="M34" s="2" t="s">
        <v>102</v>
      </c>
      <c r="N34" s="1" t="str">
        <f>CONCATENATE(V34,titles!AS$2,W34,titles!AT$2,X34,titles!AS$2,Y34)</f>
        <v>102:810|104:2700</v>
      </c>
      <c r="O34" s="1" t="str">
        <f>CONCATENATE(T34,titles!AS$2,U34,titles!AT$2,X34,titles!AS$2,Y34)</f>
        <v>101:270|104:2700</v>
      </c>
      <c r="P34" s="1" t="str">
        <f>CONCATENATE(T34,titles!AS$2,U34,titles!AT$2,V34,titles!AS$2,W34)</f>
        <v>101:270|102:810</v>
      </c>
      <c r="Q34" s="1" t="str">
        <f>CONCATENATE(V34,titles!AS$2,W34*5,titles!AT$2,X34,titles!AS$2,Y34*5)</f>
        <v>102:4050|104:13500</v>
      </c>
      <c r="R34" s="1" t="str">
        <f>CONCATENATE(T34,titles!AS$2,U34*5,titles!AT$2,X34,titles!AS$2,Y34*5)</f>
        <v>101:1350|104:13500</v>
      </c>
      <c r="S34" s="1" t="str">
        <f>CONCATENATE(T34,titles!AS$2,U34*5,titles!AT$2,V34,titles!AS$2,W34*5)</f>
        <v>101:1350|102:4050</v>
      </c>
      <c r="T34" s="1">
        <v>101</v>
      </c>
      <c r="U34" s="1">
        <f t="shared" si="5"/>
        <v>270</v>
      </c>
      <c r="V34" s="1">
        <v>102</v>
      </c>
      <c r="W34" s="1">
        <f t="shared" si="6"/>
        <v>810</v>
      </c>
      <c r="X34" s="1">
        <v>104</v>
      </c>
      <c r="Y34" s="1">
        <f t="shared" si="7"/>
        <v>2700</v>
      </c>
      <c r="Z34" s="1" t="str">
        <f t="shared" si="8"/>
        <v>[ff7800FF]巨龙之暮[-]\n被动属性:\n防御力+810\n生命值+2700\n使用属性:\n防御力+4050\n生命值+13500</v>
      </c>
      <c r="AA34" s="1" t="str">
        <f t="shared" si="9"/>
        <v>[ff7800FF]巨龙之暮[-]\n被动属性:\n攻击力+270\n生命值+2700\n使用属性:\n攻击力+1350\n生命值+13500</v>
      </c>
      <c r="AB34" s="1" t="str">
        <f t="shared" si="10"/>
        <v>[ff7800FF]巨龙之暮[-]\n被动属性:\n攻击力+270\n防御力+810\n使用属性:\n攻击力+1350\n防御力+4050\n</v>
      </c>
      <c r="AC34" s="1" t="str">
        <f>VLOOKUP(T34,[1]CharPropertyConfig!$A:$B,2,FALSE)</f>
        <v>攻击力</v>
      </c>
      <c r="AD34" s="1" t="str">
        <f>VLOOKUP(V34,[1]CharPropertyConfig!$A:$B,2,FALSE)</f>
        <v>防御力</v>
      </c>
      <c r="AE34" s="1" t="str">
        <f>VLOOKUP(X34,[1]CharPropertyConfig!$A:$B,2,FALSE)</f>
        <v>生命值</v>
      </c>
      <c r="AF34" s="1">
        <f t="shared" si="11"/>
        <v>3650</v>
      </c>
      <c r="AG34" s="1">
        <f t="shared" si="12"/>
        <v>0.36986301369863012</v>
      </c>
      <c r="AH34" s="1">
        <f t="shared" si="13"/>
        <v>1.8493150684931507</v>
      </c>
      <c r="AI34" s="1" t="e">
        <f>INDEX([2]achievement!$B:$B,MATCH(SUMIFS([3]ItemConfig!$A:$A,[3]ItemConfig!$T:$T,"add_title",[3]ItemConfig!$U:$U,A34),[2]achievement!$H:$H,0))</f>
        <v>#VALUE!</v>
      </c>
      <c r="AK34" s="2" t="str">
        <f>CONCATENATE("[",VLOOKUP(I34,titles!AS$12:AT$21,2,FALSE),"]",IF(AL34="",B34,AL34),"[-]")</f>
        <v>[ffffffFF][ff7800FF]巨龙之暮[-][-]</v>
      </c>
      <c r="AL34" s="2"/>
      <c r="AM34" s="3"/>
      <c r="AN34" s="10" t="s">
        <v>54</v>
      </c>
      <c r="AO34" s="11" t="s">
        <v>147</v>
      </c>
    </row>
    <row r="35" spans="1:41" s="1" customFormat="1">
      <c r="A35" s="1">
        <v>101</v>
      </c>
      <c r="B35" s="10" t="s">
        <v>55</v>
      </c>
      <c r="C35" s="2" t="str">
        <f t="shared" si="0"/>
        <v>特殊活动产出</v>
      </c>
      <c r="D35" s="1" t="s">
        <v>10</v>
      </c>
      <c r="E35" s="1" t="str">
        <f t="shared" ca="1" si="1"/>
        <v>102:4050|104:13500</v>
      </c>
      <c r="F35" s="1" t="str">
        <f t="shared" ca="1" si="2"/>
        <v>102:810|104:2700</v>
      </c>
      <c r="G35" s="1">
        <f t="shared" si="3"/>
        <v>6750</v>
      </c>
      <c r="H35" s="1">
        <f t="shared" si="4"/>
        <v>1350</v>
      </c>
      <c r="I35" s="6">
        <v>9</v>
      </c>
      <c r="J35" s="1">
        <v>1</v>
      </c>
      <c r="K35" s="1">
        <v>1</v>
      </c>
      <c r="L35" s="2" t="s">
        <v>101</v>
      </c>
      <c r="M35" s="2" t="s">
        <v>102</v>
      </c>
      <c r="N35" s="1" t="str">
        <f>CONCATENATE(V35,titles!AS$2,W35,titles!AT$2,X35,titles!AS$2,Y35)</f>
        <v>102:810|104:2700</v>
      </c>
      <c r="O35" s="1" t="str">
        <f>CONCATENATE(T35,titles!AS$2,U35,titles!AT$2,X35,titles!AS$2,Y35)</f>
        <v>101:270|104:2700</v>
      </c>
      <c r="P35" s="1" t="str">
        <f>CONCATENATE(T35,titles!AS$2,U35,titles!AT$2,V35,titles!AS$2,W35)</f>
        <v>101:270|102:810</v>
      </c>
      <c r="Q35" s="1" t="str">
        <f>CONCATENATE(V35,titles!AS$2,W35*5,titles!AT$2,X35,titles!AS$2,Y35*5)</f>
        <v>102:4050|104:13500</v>
      </c>
      <c r="R35" s="1" t="str">
        <f>CONCATENATE(T35,titles!AS$2,U35*5,titles!AT$2,X35,titles!AS$2,Y35*5)</f>
        <v>101:1350|104:13500</v>
      </c>
      <c r="S35" s="1" t="str">
        <f>CONCATENATE(T35,titles!AS$2,U35*5,titles!AT$2,V35,titles!AS$2,W35*5)</f>
        <v>101:1350|102:4050</v>
      </c>
      <c r="T35" s="1">
        <v>101</v>
      </c>
      <c r="U35" s="1">
        <f t="shared" si="5"/>
        <v>270</v>
      </c>
      <c r="V35" s="1">
        <v>102</v>
      </c>
      <c r="W35" s="1">
        <f t="shared" si="6"/>
        <v>810</v>
      </c>
      <c r="X35" s="1">
        <v>104</v>
      </c>
      <c r="Y35" s="1">
        <f t="shared" si="7"/>
        <v>2700</v>
      </c>
      <c r="Z35" s="1" t="str">
        <f t="shared" si="8"/>
        <v>[ff7800FF]死亡之翼[-]\n被动属性:\n防御力+810\n生命值+2700\n使用属性:\n防御力+4050\n生命值+13500</v>
      </c>
      <c r="AA35" s="1" t="str">
        <f t="shared" si="9"/>
        <v>[ff7800FF]死亡之翼[-]\n被动属性:\n攻击力+270\n生命值+2700\n使用属性:\n攻击力+1350\n生命值+13500</v>
      </c>
      <c r="AB35" s="1" t="str">
        <f t="shared" si="10"/>
        <v>[ff7800FF]死亡之翼[-]\n被动属性:\n攻击力+270\n防御力+810\n使用属性:\n攻击力+1350\n防御力+4050\n</v>
      </c>
      <c r="AC35" s="1" t="str">
        <f>VLOOKUP(T35,[1]CharPropertyConfig!$A:$B,2,FALSE)</f>
        <v>攻击力</v>
      </c>
      <c r="AD35" s="1" t="str">
        <f>VLOOKUP(V35,[1]CharPropertyConfig!$A:$B,2,FALSE)</f>
        <v>防御力</v>
      </c>
      <c r="AE35" s="1" t="str">
        <f>VLOOKUP(X35,[1]CharPropertyConfig!$A:$B,2,FALSE)</f>
        <v>生命值</v>
      </c>
      <c r="AF35" s="1">
        <f t="shared" si="11"/>
        <v>3650</v>
      </c>
      <c r="AG35" s="1">
        <f t="shared" si="12"/>
        <v>0.36986301369863012</v>
      </c>
      <c r="AH35" s="1">
        <f t="shared" si="13"/>
        <v>1.8493150684931507</v>
      </c>
      <c r="AI35" s="1" t="e">
        <f>INDEX([2]achievement!$B:$B,MATCH(SUMIFS([3]ItemConfig!$A:$A,[3]ItemConfig!$T:$T,"add_title",[3]ItemConfig!$U:$U,A35),[2]achievement!$H:$H,0))</f>
        <v>#VALUE!</v>
      </c>
      <c r="AK35" s="2" t="str">
        <f>CONCATENATE("[",VLOOKUP(I35,titles!AS$12:AT$21,2,FALSE),"]",IF(AL35="",B35,AL35),"[-]")</f>
        <v>[ffffffFF][ff7800FF]死亡之翼[-][-]</v>
      </c>
      <c r="AL35" s="2"/>
      <c r="AM35" s="3"/>
      <c r="AN35" s="10" t="s">
        <v>55</v>
      </c>
      <c r="AO35" s="11" t="s">
        <v>148</v>
      </c>
    </row>
    <row r="36" spans="1:41" s="1" customFormat="1">
      <c r="A36" s="29">
        <v>108</v>
      </c>
      <c r="B36" s="10" t="s">
        <v>45</v>
      </c>
      <c r="C36" s="2" t="str">
        <f t="shared" si="0"/>
        <v>特殊活动产出</v>
      </c>
      <c r="D36" s="1" t="s">
        <v>10</v>
      </c>
      <c r="E36" s="1" t="str">
        <f t="shared" ca="1" si="1"/>
        <v>102:4050|104:13500</v>
      </c>
      <c r="F36" s="1" t="str">
        <f t="shared" ca="1" si="2"/>
        <v>102:810|104:2700</v>
      </c>
      <c r="G36" s="1">
        <f t="shared" si="3"/>
        <v>6750</v>
      </c>
      <c r="H36" s="1">
        <f t="shared" si="4"/>
        <v>1350</v>
      </c>
      <c r="I36" s="6">
        <v>9</v>
      </c>
      <c r="J36" s="1">
        <v>1</v>
      </c>
      <c r="K36" s="1">
        <v>1</v>
      </c>
      <c r="L36" s="2" t="s">
        <v>101</v>
      </c>
      <c r="M36" s="2" t="s">
        <v>102</v>
      </c>
      <c r="N36" s="1" t="str">
        <f>CONCATENATE(V36,titles!AS$2,W36,titles!AT$2,X36,titles!AS$2,Y36)</f>
        <v>102:810|104:2700</v>
      </c>
      <c r="O36" s="1" t="str">
        <f>CONCATENATE(T36,titles!AS$2,U36,titles!AT$2,X36,titles!AS$2,Y36)</f>
        <v>101:270|104:2700</v>
      </c>
      <c r="P36" s="1" t="str">
        <f>CONCATENATE(T36,titles!AS$2,U36,titles!AT$2,V36,titles!AS$2,W36)</f>
        <v>101:270|102:810</v>
      </c>
      <c r="Q36" s="1" t="str">
        <f>CONCATENATE(V36,titles!AS$2,W36*5,titles!AT$2,X36,titles!AS$2,Y36*5)</f>
        <v>102:4050|104:13500</v>
      </c>
      <c r="R36" s="1" t="str">
        <f>CONCATENATE(T36,titles!AS$2,U36*5,titles!AT$2,X36,titles!AS$2,Y36*5)</f>
        <v>101:1350|104:13500</v>
      </c>
      <c r="S36" s="1" t="str">
        <f>CONCATENATE(T36,titles!AS$2,U36*5,titles!AT$2,V36,titles!AS$2,W36*5)</f>
        <v>101:1350|102:4050</v>
      </c>
      <c r="T36" s="1">
        <v>101</v>
      </c>
      <c r="U36" s="1">
        <f t="shared" si="5"/>
        <v>270</v>
      </c>
      <c r="V36" s="1">
        <v>102</v>
      </c>
      <c r="W36" s="1">
        <f t="shared" si="6"/>
        <v>810</v>
      </c>
      <c r="X36" s="1">
        <v>104</v>
      </c>
      <c r="Y36" s="1">
        <f t="shared" si="7"/>
        <v>2700</v>
      </c>
      <c r="Z36" s="1" t="str">
        <f t="shared" si="8"/>
        <v>[ff7800FF]威震八方[-]\n被动属性:\n防御力+810\n生命值+2700\n使用属性:\n防御力+4050\n生命值+13500</v>
      </c>
      <c r="AA36" s="1" t="str">
        <f t="shared" si="9"/>
        <v>[ff7800FF]威震八方[-]\n被动属性:\n攻击力+270\n生命值+2700\n使用属性:\n攻击力+1350\n生命值+13500</v>
      </c>
      <c r="AB36" s="1" t="str">
        <f t="shared" si="10"/>
        <v>[ff7800FF]威震八方[-]\n被动属性:\n攻击力+270\n防御力+810\n使用属性:\n攻击力+1350\n防御力+4050\n</v>
      </c>
      <c r="AC36" s="1" t="str">
        <f>VLOOKUP(T36,[1]CharPropertyConfig!$A:$B,2,FALSE)</f>
        <v>攻击力</v>
      </c>
      <c r="AD36" s="1" t="str">
        <f>VLOOKUP(V36,[1]CharPropertyConfig!$A:$B,2,FALSE)</f>
        <v>防御力</v>
      </c>
      <c r="AE36" s="1" t="str">
        <f>VLOOKUP(X36,[1]CharPropertyConfig!$A:$B,2,FALSE)</f>
        <v>生命值</v>
      </c>
      <c r="AF36" s="1">
        <f t="shared" si="11"/>
        <v>3650</v>
      </c>
      <c r="AG36" s="1">
        <f t="shared" si="12"/>
        <v>0.36986301369863012</v>
      </c>
      <c r="AH36" s="1">
        <f t="shared" si="13"/>
        <v>1.8493150684931507</v>
      </c>
      <c r="AI36" s="1" t="e">
        <f>INDEX([2]achievement!$B:$B,MATCH(SUMIFS([3]ItemConfig!$A:$A,[3]ItemConfig!$T:$T,"add_title",[3]ItemConfig!$U:$U,A36),[2]achievement!$H:$H,0))</f>
        <v>#VALUE!</v>
      </c>
      <c r="AK36" s="2" t="str">
        <f>CONCATENATE("[",VLOOKUP(I36,titles!AS$12:AT$21,2,FALSE),"]",IF(AL36="",B36,AL36),"[-]")</f>
        <v>[ffffffFF][ff7800FF]威震八方[-][-]</v>
      </c>
      <c r="AL36" s="2"/>
      <c r="AM36" s="3"/>
      <c r="AN36" s="10" t="s">
        <v>45</v>
      </c>
      <c r="AO36" s="11" t="s">
        <v>149</v>
      </c>
    </row>
    <row r="37" spans="1:41" s="1" customFormat="1">
      <c r="A37" s="1">
        <v>109</v>
      </c>
      <c r="B37" s="10" t="s">
        <v>46</v>
      </c>
      <c r="C37" s="2" t="str">
        <f t="shared" si="0"/>
        <v>特殊活动产出</v>
      </c>
      <c r="D37" s="1" t="s">
        <v>10</v>
      </c>
      <c r="E37" s="1" t="str">
        <f t="shared" ca="1" si="1"/>
        <v>102:4050|104:13500</v>
      </c>
      <c r="F37" s="1" t="str">
        <f t="shared" ca="1" si="2"/>
        <v>102:810|104:2700</v>
      </c>
      <c r="G37" s="1">
        <f t="shared" si="3"/>
        <v>6750</v>
      </c>
      <c r="H37" s="1">
        <f t="shared" si="4"/>
        <v>1350</v>
      </c>
      <c r="I37" s="6">
        <v>9</v>
      </c>
      <c r="J37" s="1">
        <v>1</v>
      </c>
      <c r="K37" s="1">
        <v>1</v>
      </c>
      <c r="L37" s="2" t="s">
        <v>101</v>
      </c>
      <c r="M37" s="2" t="s">
        <v>102</v>
      </c>
      <c r="N37" s="1" t="str">
        <f>CONCATENATE(V37,titles!AS$2,W37,titles!AT$2,X37,titles!AS$2,Y37)</f>
        <v>102:810|104:2700</v>
      </c>
      <c r="O37" s="1" t="str">
        <f>CONCATENATE(T37,titles!AS$2,U37,titles!AT$2,X37,titles!AS$2,Y37)</f>
        <v>101:270|104:2700</v>
      </c>
      <c r="P37" s="1" t="str">
        <f>CONCATENATE(T37,titles!AS$2,U37,titles!AT$2,V37,titles!AS$2,W37)</f>
        <v>101:270|102:810</v>
      </c>
      <c r="Q37" s="1" t="str">
        <f>CONCATENATE(V37,titles!AS$2,W37*5,titles!AT$2,X37,titles!AS$2,Y37*5)</f>
        <v>102:4050|104:13500</v>
      </c>
      <c r="R37" s="1" t="str">
        <f>CONCATENATE(T37,titles!AS$2,U37*5,titles!AT$2,X37,titles!AS$2,Y37*5)</f>
        <v>101:1350|104:13500</v>
      </c>
      <c r="S37" s="1" t="str">
        <f>CONCATENATE(T37,titles!AS$2,U37*5,titles!AT$2,V37,titles!AS$2,W37*5)</f>
        <v>101:1350|102:4050</v>
      </c>
      <c r="T37" s="1">
        <v>101</v>
      </c>
      <c r="U37" s="1">
        <f t="shared" si="5"/>
        <v>270</v>
      </c>
      <c r="V37" s="1">
        <v>102</v>
      </c>
      <c r="W37" s="1">
        <f t="shared" si="6"/>
        <v>810</v>
      </c>
      <c r="X37" s="1">
        <v>104</v>
      </c>
      <c r="Y37" s="1">
        <f t="shared" si="7"/>
        <v>2700</v>
      </c>
      <c r="Z37" s="1" t="str">
        <f t="shared" si="8"/>
        <v>[ff7800FF]黎明之光[-]\n被动属性:\n防御力+810\n生命值+2700\n使用属性:\n防御力+4050\n生命值+13500</v>
      </c>
      <c r="AA37" s="1" t="str">
        <f t="shared" si="9"/>
        <v>[ff7800FF]黎明之光[-]\n被动属性:\n攻击力+270\n生命值+2700\n使用属性:\n攻击力+1350\n生命值+13500</v>
      </c>
      <c r="AB37" s="1" t="str">
        <f t="shared" si="10"/>
        <v>[ff7800FF]黎明之光[-]\n被动属性:\n攻击力+270\n防御力+810\n使用属性:\n攻击力+1350\n防御力+4050\n</v>
      </c>
      <c r="AC37" s="1" t="str">
        <f>VLOOKUP(T37,[1]CharPropertyConfig!$A:$B,2,FALSE)</f>
        <v>攻击力</v>
      </c>
      <c r="AD37" s="1" t="str">
        <f>VLOOKUP(V37,[1]CharPropertyConfig!$A:$B,2,FALSE)</f>
        <v>防御力</v>
      </c>
      <c r="AE37" s="1" t="str">
        <f>VLOOKUP(X37,[1]CharPropertyConfig!$A:$B,2,FALSE)</f>
        <v>生命值</v>
      </c>
      <c r="AF37" s="1">
        <f t="shared" si="11"/>
        <v>3650</v>
      </c>
      <c r="AG37" s="1">
        <f t="shared" si="12"/>
        <v>0.36986301369863012</v>
      </c>
      <c r="AH37" s="1">
        <f t="shared" si="13"/>
        <v>1.8493150684931507</v>
      </c>
      <c r="AI37" s="1" t="e">
        <f>INDEX([2]achievement!$B:$B,MATCH(SUMIFS([3]ItemConfig!$A:$A,[3]ItemConfig!$T:$T,"add_title",[3]ItemConfig!$U:$U,A37),[2]achievement!$H:$H,0))</f>
        <v>#VALUE!</v>
      </c>
      <c r="AK37" s="2" t="str">
        <f>CONCATENATE("[",VLOOKUP(I37,titles!AS$12:AT$21,2,FALSE),"]",IF(AL37="",B37,AL37),"[-]")</f>
        <v>[ffffffFF][ff7800FF]黎明之光[-][-]</v>
      </c>
      <c r="AL37" s="2"/>
      <c r="AM37" s="3"/>
      <c r="AN37" s="10" t="s">
        <v>46</v>
      </c>
      <c r="AO37" s="11" t="s">
        <v>150</v>
      </c>
    </row>
    <row r="38" spans="1:41" s="1" customFormat="1">
      <c r="A38" s="29">
        <v>110</v>
      </c>
      <c r="B38" s="10" t="s">
        <v>47</v>
      </c>
      <c r="C38" s="2" t="str">
        <f t="shared" si="0"/>
        <v>特殊活动产出</v>
      </c>
      <c r="D38" s="1" t="s">
        <v>10</v>
      </c>
      <c r="E38" s="1" t="str">
        <f t="shared" ca="1" si="1"/>
        <v>102:3200|104:11500</v>
      </c>
      <c r="F38" s="1" t="str">
        <f t="shared" ca="1" si="2"/>
        <v>102:640|104:2300</v>
      </c>
      <c r="G38" s="1">
        <f t="shared" si="3"/>
        <v>5500</v>
      </c>
      <c r="H38" s="1">
        <f t="shared" si="4"/>
        <v>1100</v>
      </c>
      <c r="I38" s="6">
        <v>8</v>
      </c>
      <c r="J38" s="1">
        <v>1</v>
      </c>
      <c r="K38" s="1">
        <v>1</v>
      </c>
      <c r="L38" s="2" t="s">
        <v>101</v>
      </c>
      <c r="M38" s="2" t="s">
        <v>102</v>
      </c>
      <c r="N38" s="1" t="str">
        <f>CONCATENATE(V38,titles!AS$2,W38,titles!AT$2,X38,titles!AS$2,Y38)</f>
        <v>102:640|104:2300</v>
      </c>
      <c r="O38" s="1" t="str">
        <f>CONCATENATE(T38,titles!AS$2,U38,titles!AT$2,X38,titles!AS$2,Y38)</f>
        <v>101:230|104:2300</v>
      </c>
      <c r="P38" s="1" t="str">
        <f>CONCATENATE(T38,titles!AS$2,U38,titles!AT$2,V38,titles!AS$2,W38)</f>
        <v>101:230|102:640</v>
      </c>
      <c r="Q38" s="1" t="str">
        <f>CONCATENATE(V38,titles!AS$2,W38*5,titles!AT$2,X38,titles!AS$2,Y38*5)</f>
        <v>102:3200|104:11500</v>
      </c>
      <c r="R38" s="1" t="str">
        <f>CONCATENATE(T38,titles!AS$2,U38*5,titles!AT$2,X38,titles!AS$2,Y38*5)</f>
        <v>101:1150|104:11500</v>
      </c>
      <c r="S38" s="1" t="str">
        <f>CONCATENATE(T38,titles!AS$2,U38*5,titles!AT$2,V38,titles!AS$2,W38*5)</f>
        <v>101:1150|102:3200</v>
      </c>
      <c r="T38" s="1">
        <v>101</v>
      </c>
      <c r="U38" s="1">
        <f t="shared" si="5"/>
        <v>230</v>
      </c>
      <c r="V38" s="1">
        <v>102</v>
      </c>
      <c r="W38" s="1">
        <f t="shared" si="6"/>
        <v>640</v>
      </c>
      <c r="X38" s="1">
        <v>104</v>
      </c>
      <c r="Y38" s="1">
        <f t="shared" si="7"/>
        <v>2300</v>
      </c>
      <c r="Z38" s="1" t="str">
        <f t="shared" si="8"/>
        <v>[C776F3FF]身经百战[-]\n被动属性:\n防御力+640\n生命值+2300\n使用属性:\n防御力+3200\n生命值+11500</v>
      </c>
      <c r="AA38" s="1" t="str">
        <f t="shared" si="9"/>
        <v>[C776F3FF]身经百战[-]\n被动属性:\n攻击力+230\n生命值+2300\n使用属性:\n攻击力+1150\n生命值+11500</v>
      </c>
      <c r="AB38" s="1" t="str">
        <f t="shared" si="10"/>
        <v>[C776F3FF]身经百战[-]\n被动属性:\n攻击力+230\n防御力+640\n使用属性:\n攻击力+1150\n防御力+3200\n</v>
      </c>
      <c r="AC38" s="1" t="str">
        <f>VLOOKUP(T38,[1]CharPropertyConfig!$A:$B,2,FALSE)</f>
        <v>攻击力</v>
      </c>
      <c r="AD38" s="1" t="str">
        <f>VLOOKUP(V38,[1]CharPropertyConfig!$A:$B,2,FALSE)</f>
        <v>防御力</v>
      </c>
      <c r="AE38" s="1" t="str">
        <f>VLOOKUP(X38,[1]CharPropertyConfig!$A:$B,2,FALSE)</f>
        <v>生命值</v>
      </c>
      <c r="AF38" s="1">
        <f t="shared" si="11"/>
        <v>2600</v>
      </c>
      <c r="AG38" s="1">
        <f t="shared" si="12"/>
        <v>0.42307692307692307</v>
      </c>
      <c r="AH38" s="1">
        <f t="shared" si="13"/>
        <v>2.1153846153846154</v>
      </c>
      <c r="AI38" s="1" t="e">
        <f>INDEX([2]achievement!$B:$B,MATCH(SUMIFS([3]ItemConfig!$A:$A,[3]ItemConfig!$T:$T,"add_title",[3]ItemConfig!$U:$U,A38),[2]achievement!$H:$H,0))</f>
        <v>#VALUE!</v>
      </c>
      <c r="AK38" s="2" t="str">
        <f>CONCATENATE("[",VLOOKUP(I38,titles!AS$12:AT$21,2,FALSE),"]",IF(AL38="",B38,AL38),"[-]")</f>
        <v>[ff7800FF][C776F3FF]身经百战[-][-]</v>
      </c>
      <c r="AL38" s="2"/>
      <c r="AM38" s="3"/>
      <c r="AN38" s="10" t="s">
        <v>47</v>
      </c>
      <c r="AO38" s="11" t="s">
        <v>151</v>
      </c>
    </row>
    <row r="39" spans="1:41" s="1" customFormat="1">
      <c r="A39" s="29">
        <v>111</v>
      </c>
      <c r="B39" s="10" t="s">
        <v>48</v>
      </c>
      <c r="C39" s="2" t="str">
        <f t="shared" si="0"/>
        <v>特殊活动产出</v>
      </c>
      <c r="D39" s="1" t="s">
        <v>10</v>
      </c>
      <c r="E39" s="1" t="str">
        <f t="shared" ca="1" si="1"/>
        <v>102:3200|104:11500</v>
      </c>
      <c r="F39" s="1" t="str">
        <f t="shared" ca="1" si="2"/>
        <v>102:640|104:2300</v>
      </c>
      <c r="G39" s="1">
        <f t="shared" si="3"/>
        <v>5500</v>
      </c>
      <c r="H39" s="1">
        <f t="shared" si="4"/>
        <v>1100</v>
      </c>
      <c r="I39" s="6">
        <v>8</v>
      </c>
      <c r="J39" s="1">
        <v>1</v>
      </c>
      <c r="K39" s="1">
        <v>1</v>
      </c>
      <c r="L39" s="2" t="s">
        <v>101</v>
      </c>
      <c r="M39" s="2" t="s">
        <v>102</v>
      </c>
      <c r="N39" s="1" t="str">
        <f>CONCATENATE(V39,titles!AS$2,W39,titles!AT$2,X39,titles!AS$2,Y39)</f>
        <v>102:640|104:2300</v>
      </c>
      <c r="O39" s="1" t="str">
        <f>CONCATENATE(T39,titles!AS$2,U39,titles!AT$2,X39,titles!AS$2,Y39)</f>
        <v>101:230|104:2300</v>
      </c>
      <c r="P39" s="1" t="str">
        <f>CONCATENATE(T39,titles!AS$2,U39,titles!AT$2,V39,titles!AS$2,W39)</f>
        <v>101:230|102:640</v>
      </c>
      <c r="Q39" s="1" t="str">
        <f>CONCATENATE(V39,titles!AS$2,W39*5,titles!AT$2,X39,titles!AS$2,Y39*5)</f>
        <v>102:3200|104:11500</v>
      </c>
      <c r="R39" s="1" t="str">
        <f>CONCATENATE(T39,titles!AS$2,U39*5,titles!AT$2,X39,titles!AS$2,Y39*5)</f>
        <v>101:1150|104:11500</v>
      </c>
      <c r="S39" s="1" t="str">
        <f>CONCATENATE(T39,titles!AS$2,U39*5,titles!AT$2,V39,titles!AS$2,W39*5)</f>
        <v>101:1150|102:3200</v>
      </c>
      <c r="T39" s="1">
        <v>101</v>
      </c>
      <c r="U39" s="1">
        <f t="shared" si="5"/>
        <v>230</v>
      </c>
      <c r="V39" s="1">
        <v>102</v>
      </c>
      <c r="W39" s="1">
        <f t="shared" si="6"/>
        <v>640</v>
      </c>
      <c r="X39" s="1">
        <v>104</v>
      </c>
      <c r="Y39" s="1">
        <f t="shared" si="7"/>
        <v>2300</v>
      </c>
      <c r="Z39" s="1" t="str">
        <f t="shared" si="8"/>
        <v>[C776F3FF]战争狂人[-]\n被动属性:\n防御力+640\n生命值+2300\n使用属性:\n防御力+3200\n生命值+11500</v>
      </c>
      <c r="AA39" s="1" t="str">
        <f t="shared" si="9"/>
        <v>[C776F3FF]战争狂人[-]\n被动属性:\n攻击力+230\n生命值+2300\n使用属性:\n攻击力+1150\n生命值+11500</v>
      </c>
      <c r="AB39" s="1" t="str">
        <f t="shared" si="10"/>
        <v>[C776F3FF]战争狂人[-]\n被动属性:\n攻击力+230\n防御力+640\n使用属性:\n攻击力+1150\n防御力+3200\n</v>
      </c>
      <c r="AC39" s="1" t="str">
        <f>VLOOKUP(T39,[1]CharPropertyConfig!$A:$B,2,FALSE)</f>
        <v>攻击力</v>
      </c>
      <c r="AD39" s="1" t="str">
        <f>VLOOKUP(V39,[1]CharPropertyConfig!$A:$B,2,FALSE)</f>
        <v>防御力</v>
      </c>
      <c r="AE39" s="1" t="str">
        <f>VLOOKUP(X39,[1]CharPropertyConfig!$A:$B,2,FALSE)</f>
        <v>生命值</v>
      </c>
      <c r="AF39" s="1">
        <f t="shared" si="11"/>
        <v>2600</v>
      </c>
      <c r="AG39" s="1">
        <f t="shared" si="12"/>
        <v>0.42307692307692307</v>
      </c>
      <c r="AH39" s="1">
        <f t="shared" si="13"/>
        <v>2.1153846153846154</v>
      </c>
      <c r="AI39" s="1" t="e">
        <f>INDEX([2]achievement!$B:$B,MATCH(SUMIFS([3]ItemConfig!$A:$A,[3]ItemConfig!$T:$T,"add_title",[3]ItemConfig!$U:$U,A39),[2]achievement!$H:$H,0))</f>
        <v>#VALUE!</v>
      </c>
      <c r="AK39" s="2" t="str">
        <f>CONCATENATE("[",VLOOKUP(I39,titles!AS$12:AT$21,2,FALSE),"]",IF(AL39="",B39,AL39),"[-]")</f>
        <v>[ff7800FF][C776F3FF]战争狂人[-][-]</v>
      </c>
      <c r="AL39" s="2"/>
      <c r="AM39" s="3"/>
      <c r="AN39" s="10" t="s">
        <v>48</v>
      </c>
      <c r="AO39" s="11" t="s">
        <v>152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titles</vt:lpstr>
      <vt:lpstr>备份的称号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New User</cp:lastModifiedBy>
  <dcterms:created xsi:type="dcterms:W3CDTF">2006-09-13T11:21:00Z</dcterms:created>
  <dcterms:modified xsi:type="dcterms:W3CDTF">2018-12-07T08:34:04Z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2052-10.1.0.5740</vt:lpwstr>
  </property>
</Properties>
</file>