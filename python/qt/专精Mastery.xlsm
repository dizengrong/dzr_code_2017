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27900" windowHeight="12285"/>
  </bookViews>
  <sheets>
    <sheet name="masteryConfig" sheetId="1" r:id="rId1"/>
    <sheet name="说明" sheetId="2" r:id="rId2"/>
    <sheet name="masteryExpConfig" sheetId="3" r:id="rId3"/>
    <sheet name="masteryExp说明" sheetId="4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B7" i="1" l="1"/>
  <c r="K7" i="1"/>
  <c r="S7" i="1" s="1"/>
  <c r="N7" i="1"/>
  <c r="Q7" i="1"/>
  <c r="Q10" i="1" s="1"/>
  <c r="U10" i="1" s="1"/>
  <c r="Q12" i="1"/>
  <c r="Q13" i="1" s="1"/>
  <c r="U13" i="1" s="1"/>
  <c r="Q6" i="1"/>
  <c r="Q9" i="1" s="1"/>
  <c r="U9" i="1" s="1"/>
  <c r="Q5" i="1"/>
  <c r="Q8" i="1" s="1"/>
  <c r="U8" i="1" s="1"/>
  <c r="N12" i="1"/>
  <c r="N13" i="1" s="1"/>
  <c r="N6" i="1"/>
  <c r="N9" i="1" s="1"/>
  <c r="T9" i="1" s="1"/>
  <c r="N5" i="1"/>
  <c r="N8" i="1" s="1"/>
  <c r="K6" i="1"/>
  <c r="S6" i="1" s="1"/>
  <c r="K12" i="1"/>
  <c r="K13" i="1" s="1"/>
  <c r="K10" i="1"/>
  <c r="S10" i="1" s="1"/>
  <c r="K5" i="1"/>
  <c r="S5" i="1" s="1"/>
  <c r="B9" i="1"/>
  <c r="B10" i="1"/>
  <c r="B13" i="1"/>
  <c r="B8" i="1"/>
  <c r="B6" i="1"/>
  <c r="B12" i="1"/>
  <c r="B5" i="1"/>
  <c r="T6" i="1" l="1"/>
  <c r="I7" i="1"/>
  <c r="C7" i="1"/>
  <c r="U6" i="1"/>
  <c r="S12" i="1"/>
  <c r="U7" i="1"/>
  <c r="I12" i="1"/>
  <c r="K9" i="1"/>
  <c r="S9" i="1" s="1"/>
  <c r="T7" i="1"/>
  <c r="N10" i="1"/>
  <c r="T10" i="1" s="1"/>
  <c r="T5" i="1"/>
  <c r="C5" i="1"/>
  <c r="I5" i="1"/>
  <c r="T12" i="1"/>
  <c r="C13" i="1"/>
  <c r="C12" i="1"/>
  <c r="U5" i="1"/>
  <c r="U12" i="1"/>
  <c r="K8" i="1"/>
  <c r="I8" i="1" s="1"/>
  <c r="S13" i="1"/>
  <c r="C6" i="1"/>
  <c r="T8" i="1"/>
  <c r="T13" i="1"/>
  <c r="I13" i="1"/>
  <c r="I6" i="1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I2" i="1"/>
  <c r="S3" i="1"/>
  <c r="T3" i="1"/>
  <c r="U3" i="1"/>
  <c r="S4" i="1"/>
  <c r="T4" i="1"/>
  <c r="U4" i="1"/>
  <c r="S11" i="1"/>
  <c r="T11" i="1"/>
  <c r="U11" i="1"/>
  <c r="U2" i="1"/>
  <c r="T2" i="1"/>
  <c r="S2" i="1"/>
  <c r="I9" i="1" l="1"/>
  <c r="I10" i="1"/>
  <c r="C10" i="1"/>
  <c r="C9" i="1"/>
  <c r="C8" i="1"/>
  <c r="S8" i="1"/>
  <c r="F3" i="3"/>
  <c r="H3" i="3" s="1"/>
  <c r="F7" i="3"/>
  <c r="H7" i="3" s="1"/>
  <c r="F11" i="3"/>
  <c r="H11" i="3" s="1"/>
  <c r="F15" i="3"/>
  <c r="H15" i="3" s="1"/>
  <c r="F19" i="3"/>
  <c r="H19" i="3" s="1"/>
  <c r="F23" i="3"/>
  <c r="H23" i="3" s="1"/>
  <c r="F27" i="3"/>
  <c r="H27" i="3" s="1"/>
  <c r="F31" i="3"/>
  <c r="H31" i="3" s="1"/>
  <c r="F35" i="3"/>
  <c r="H35" i="3" s="1"/>
  <c r="F39" i="3"/>
  <c r="H39" i="3" s="1"/>
  <c r="F43" i="3"/>
  <c r="H43" i="3" s="1"/>
  <c r="F47" i="3"/>
  <c r="H47" i="3" s="1"/>
  <c r="F51" i="3"/>
  <c r="H51" i="3" s="1"/>
  <c r="F55" i="3"/>
  <c r="H55" i="3" s="1"/>
  <c r="F59" i="3"/>
  <c r="H59" i="3" s="1"/>
  <c r="F63" i="3"/>
  <c r="H63" i="3" s="1"/>
  <c r="F67" i="3"/>
  <c r="H67" i="3" s="1"/>
  <c r="F71" i="3"/>
  <c r="H71" i="3" s="1"/>
  <c r="F75" i="3"/>
  <c r="H75" i="3" s="1"/>
  <c r="F79" i="3"/>
  <c r="H79" i="3" s="1"/>
  <c r="F83" i="3"/>
  <c r="H83" i="3" s="1"/>
  <c r="F4" i="3"/>
  <c r="H4" i="3" s="1"/>
  <c r="F6" i="3"/>
  <c r="H6" i="3" s="1"/>
  <c r="F10" i="3"/>
  <c r="H10" i="3" s="1"/>
  <c r="F14" i="3"/>
  <c r="H14" i="3" s="1"/>
  <c r="F18" i="3"/>
  <c r="H18" i="3" s="1"/>
  <c r="F22" i="3"/>
  <c r="H22" i="3" s="1"/>
  <c r="F26" i="3"/>
  <c r="H26" i="3" s="1"/>
  <c r="F30" i="3"/>
  <c r="H30" i="3" s="1"/>
  <c r="F34" i="3"/>
  <c r="H34" i="3" s="1"/>
  <c r="F38" i="3"/>
  <c r="H38" i="3" s="1"/>
  <c r="F42" i="3"/>
  <c r="H42" i="3" s="1"/>
  <c r="F46" i="3"/>
  <c r="H46" i="3" s="1"/>
  <c r="F50" i="3"/>
  <c r="H50" i="3" s="1"/>
  <c r="F54" i="3"/>
  <c r="H54" i="3" s="1"/>
  <c r="F58" i="3"/>
  <c r="H58" i="3" s="1"/>
  <c r="F62" i="3"/>
  <c r="H62" i="3" s="1"/>
  <c r="F66" i="3"/>
  <c r="H66" i="3" s="1"/>
  <c r="F70" i="3"/>
  <c r="H70" i="3" s="1"/>
  <c r="F74" i="3"/>
  <c r="H74" i="3" s="1"/>
  <c r="F78" i="3"/>
  <c r="H78" i="3" s="1"/>
  <c r="F82" i="3"/>
  <c r="H82" i="3" s="1"/>
  <c r="F86" i="3"/>
  <c r="H86" i="3" s="1"/>
  <c r="F90" i="3"/>
  <c r="H90" i="3" s="1"/>
  <c r="F94" i="3"/>
  <c r="H94" i="3" s="1"/>
  <c r="F98" i="3"/>
  <c r="H98" i="3" s="1"/>
  <c r="F102" i="3"/>
  <c r="F106" i="3"/>
  <c r="F110" i="3"/>
  <c r="F114" i="3"/>
  <c r="F118" i="3"/>
  <c r="F122" i="3"/>
  <c r="F126" i="3"/>
  <c r="F130" i="3"/>
  <c r="F134" i="3"/>
  <c r="F138" i="3"/>
  <c r="F142" i="3"/>
  <c r="F146" i="3"/>
  <c r="F150" i="3"/>
  <c r="F154" i="3"/>
  <c r="F158" i="3"/>
  <c r="F162" i="3"/>
  <c r="F166" i="3"/>
  <c r="F170" i="3"/>
  <c r="F174" i="3"/>
  <c r="F178" i="3"/>
  <c r="F182" i="3"/>
  <c r="F186" i="3"/>
  <c r="F190" i="3"/>
  <c r="F194" i="3"/>
  <c r="F198" i="3"/>
  <c r="F202" i="3"/>
  <c r="F206" i="3"/>
  <c r="F210" i="3"/>
  <c r="F214" i="3"/>
  <c r="F218" i="3"/>
  <c r="F222" i="3"/>
  <c r="F226" i="3"/>
  <c r="F230" i="3"/>
  <c r="F234" i="3"/>
  <c r="F238" i="3"/>
  <c r="F242" i="3"/>
  <c r="F2" i="3"/>
  <c r="H2" i="3" s="1"/>
  <c r="F398" i="3"/>
  <c r="F394" i="3"/>
  <c r="F390" i="3"/>
  <c r="F386" i="3"/>
  <c r="F382" i="3"/>
  <c r="F378" i="3"/>
  <c r="F374" i="3"/>
  <c r="F370" i="3"/>
  <c r="F366" i="3"/>
  <c r="F362" i="3"/>
  <c r="F358" i="3"/>
  <c r="F354" i="3"/>
  <c r="F350" i="3"/>
  <c r="F346" i="3"/>
  <c r="F342" i="3"/>
  <c r="F338" i="3"/>
  <c r="F334" i="3"/>
  <c r="F330" i="3"/>
  <c r="F326" i="3"/>
  <c r="F322" i="3"/>
  <c r="F318" i="3"/>
  <c r="F314" i="3"/>
  <c r="F310" i="3"/>
  <c r="F306" i="3"/>
  <c r="F302" i="3"/>
  <c r="F298" i="3"/>
  <c r="F294" i="3"/>
  <c r="F290" i="3"/>
  <c r="F286" i="3"/>
  <c r="F282" i="3"/>
  <c r="F278" i="3"/>
  <c r="F274" i="3"/>
  <c r="F270" i="3"/>
  <c r="F266" i="3"/>
  <c r="F262" i="3"/>
  <c r="F258" i="3"/>
  <c r="F254" i="3"/>
  <c r="F250" i="3"/>
  <c r="F246" i="3"/>
  <c r="F241" i="3"/>
  <c r="F236" i="3"/>
  <c r="F231" i="3"/>
  <c r="F225" i="3"/>
  <c r="F220" i="3"/>
  <c r="F215" i="3"/>
  <c r="F209" i="3"/>
  <c r="F204" i="3"/>
  <c r="F199" i="3"/>
  <c r="F193" i="3"/>
  <c r="F188" i="3"/>
  <c r="F183" i="3"/>
  <c r="F177" i="3"/>
  <c r="F172" i="3"/>
  <c r="F167" i="3"/>
  <c r="F161" i="3"/>
  <c r="F156" i="3"/>
  <c r="F151" i="3"/>
  <c r="F145" i="3"/>
  <c r="F140" i="3"/>
  <c r="F135" i="3"/>
  <c r="F129" i="3"/>
  <c r="F124" i="3"/>
  <c r="F119" i="3"/>
  <c r="F113" i="3"/>
  <c r="F108" i="3"/>
  <c r="F103" i="3"/>
  <c r="F97" i="3"/>
  <c r="H97" i="3" s="1"/>
  <c r="F92" i="3"/>
  <c r="H92" i="3" s="1"/>
  <c r="F87" i="3"/>
  <c r="H87" i="3" s="1"/>
  <c r="F80" i="3"/>
  <c r="H80" i="3" s="1"/>
  <c r="F72" i="3"/>
  <c r="H72" i="3" s="1"/>
  <c r="F64" i="3"/>
  <c r="H64" i="3" s="1"/>
  <c r="F56" i="3"/>
  <c r="H56" i="3" s="1"/>
  <c r="F48" i="3"/>
  <c r="H48" i="3" s="1"/>
  <c r="F40" i="3"/>
  <c r="H40" i="3" s="1"/>
  <c r="F32" i="3"/>
  <c r="H32" i="3" s="1"/>
  <c r="F24" i="3"/>
  <c r="H24" i="3" s="1"/>
  <c r="F16" i="3"/>
  <c r="H16" i="3" s="1"/>
  <c r="F8" i="3"/>
  <c r="H8" i="3" s="1"/>
  <c r="F401" i="3"/>
  <c r="F397" i="3"/>
  <c r="F393" i="3"/>
  <c r="F389" i="3"/>
  <c r="F385" i="3"/>
  <c r="F381" i="3"/>
  <c r="F377" i="3"/>
  <c r="F373" i="3"/>
  <c r="F369" i="3"/>
  <c r="F365" i="3"/>
  <c r="F361" i="3"/>
  <c r="F357" i="3"/>
  <c r="F353" i="3"/>
  <c r="F349" i="3"/>
  <c r="F345" i="3"/>
  <c r="F341" i="3"/>
  <c r="F337" i="3"/>
  <c r="F333" i="3"/>
  <c r="F329" i="3"/>
  <c r="F325" i="3"/>
  <c r="F321" i="3"/>
  <c r="F317" i="3"/>
  <c r="F313" i="3"/>
  <c r="F309" i="3"/>
  <c r="F305" i="3"/>
  <c r="F301" i="3"/>
  <c r="F297" i="3"/>
  <c r="F293" i="3"/>
  <c r="F289" i="3"/>
  <c r="F285" i="3"/>
  <c r="F281" i="3"/>
  <c r="F277" i="3"/>
  <c r="F273" i="3"/>
  <c r="F269" i="3"/>
  <c r="F265" i="3"/>
  <c r="F261" i="3"/>
  <c r="F257" i="3"/>
  <c r="F253" i="3"/>
  <c r="F249" i="3"/>
  <c r="F245" i="3"/>
  <c r="F240" i="3"/>
  <c r="F235" i="3"/>
  <c r="F229" i="3"/>
  <c r="F224" i="3"/>
  <c r="F219" i="3"/>
  <c r="F213" i="3"/>
  <c r="F208" i="3"/>
  <c r="F203" i="3"/>
  <c r="F197" i="3"/>
  <c r="F192" i="3"/>
  <c r="F187" i="3"/>
  <c r="F181" i="3"/>
  <c r="F176" i="3"/>
  <c r="F171" i="3"/>
  <c r="F165" i="3"/>
  <c r="F160" i="3"/>
  <c r="F155" i="3"/>
  <c r="F149" i="3"/>
  <c r="F144" i="3"/>
  <c r="F139" i="3"/>
  <c r="F133" i="3"/>
  <c r="F128" i="3"/>
  <c r="F123" i="3"/>
  <c r="F117" i="3"/>
  <c r="F112" i="3"/>
  <c r="F107" i="3"/>
  <c r="F101" i="3"/>
  <c r="H101" i="3" s="1"/>
  <c r="F96" i="3"/>
  <c r="H96" i="3" s="1"/>
  <c r="F91" i="3"/>
  <c r="H91" i="3" s="1"/>
  <c r="F85" i="3"/>
  <c r="H85" i="3" s="1"/>
  <c r="F77" i="3"/>
  <c r="H77" i="3" s="1"/>
  <c r="F69" i="3"/>
  <c r="H69" i="3" s="1"/>
  <c r="F61" i="3"/>
  <c r="H61" i="3" s="1"/>
  <c r="F53" i="3"/>
  <c r="H53" i="3" s="1"/>
  <c r="F45" i="3"/>
  <c r="H45" i="3" s="1"/>
  <c r="F37" i="3"/>
  <c r="H37" i="3" s="1"/>
  <c r="F29" i="3"/>
  <c r="H29" i="3" s="1"/>
  <c r="F21" i="3"/>
  <c r="H21" i="3" s="1"/>
  <c r="F13" i="3"/>
  <c r="H13" i="3" s="1"/>
  <c r="F5" i="3"/>
  <c r="H5" i="3" s="1"/>
  <c r="F400" i="3"/>
  <c r="F396" i="3"/>
  <c r="F392" i="3"/>
  <c r="F388" i="3"/>
  <c r="F384" i="3"/>
  <c r="F380" i="3"/>
  <c r="F376" i="3"/>
  <c r="F372" i="3"/>
  <c r="F368" i="3"/>
  <c r="F364" i="3"/>
  <c r="F360" i="3"/>
  <c r="F356" i="3"/>
  <c r="F352" i="3"/>
  <c r="F348" i="3"/>
  <c r="F344" i="3"/>
  <c r="F340" i="3"/>
  <c r="F336" i="3"/>
  <c r="F332" i="3"/>
  <c r="F328" i="3"/>
  <c r="F324" i="3"/>
  <c r="F320" i="3"/>
  <c r="F316" i="3"/>
  <c r="F312" i="3"/>
  <c r="F308" i="3"/>
  <c r="F304" i="3"/>
  <c r="F300" i="3"/>
  <c r="F296" i="3"/>
  <c r="F292" i="3"/>
  <c r="F288" i="3"/>
  <c r="F284" i="3"/>
  <c r="F280" i="3"/>
  <c r="F276" i="3"/>
  <c r="F272" i="3"/>
  <c r="F268" i="3"/>
  <c r="F264" i="3"/>
  <c r="F260" i="3"/>
  <c r="F256" i="3"/>
  <c r="F252" i="3"/>
  <c r="F248" i="3"/>
  <c r="F244" i="3"/>
  <c r="F239" i="3"/>
  <c r="F233" i="3"/>
  <c r="F228" i="3"/>
  <c r="F223" i="3"/>
  <c r="F217" i="3"/>
  <c r="F212" i="3"/>
  <c r="F207" i="3"/>
  <c r="F201" i="3"/>
  <c r="F196" i="3"/>
  <c r="F191" i="3"/>
  <c r="F185" i="3"/>
  <c r="F180" i="3"/>
  <c r="F175" i="3"/>
  <c r="F169" i="3"/>
  <c r="F164" i="3"/>
  <c r="F159" i="3"/>
  <c r="F153" i="3"/>
  <c r="F148" i="3"/>
  <c r="F143" i="3"/>
  <c r="F137" i="3"/>
  <c r="F132" i="3"/>
  <c r="F127" i="3"/>
  <c r="F121" i="3"/>
  <c r="F116" i="3"/>
  <c r="F111" i="3"/>
  <c r="F105" i="3"/>
  <c r="F100" i="3"/>
  <c r="H100" i="3" s="1"/>
  <c r="F95" i="3"/>
  <c r="H95" i="3" s="1"/>
  <c r="F89" i="3"/>
  <c r="H89" i="3" s="1"/>
  <c r="F84" i="3"/>
  <c r="H84" i="3" s="1"/>
  <c r="F76" i="3"/>
  <c r="H76" i="3" s="1"/>
  <c r="F68" i="3"/>
  <c r="H68" i="3" s="1"/>
  <c r="F60" i="3"/>
  <c r="H60" i="3" s="1"/>
  <c r="F52" i="3"/>
  <c r="H52" i="3" s="1"/>
  <c r="F44" i="3"/>
  <c r="H44" i="3" s="1"/>
  <c r="F36" i="3"/>
  <c r="H36" i="3" s="1"/>
  <c r="F28" i="3"/>
  <c r="H28" i="3" s="1"/>
  <c r="F20" i="3"/>
  <c r="H20" i="3" s="1"/>
  <c r="F12" i="3"/>
  <c r="H12" i="3" s="1"/>
  <c r="F399" i="3"/>
  <c r="F395" i="3"/>
  <c r="F391" i="3"/>
  <c r="F387" i="3"/>
  <c r="F383" i="3"/>
  <c r="F379" i="3"/>
  <c r="F375" i="3"/>
  <c r="F371" i="3"/>
  <c r="F367" i="3"/>
  <c r="F363" i="3"/>
  <c r="F359" i="3"/>
  <c r="F355" i="3"/>
  <c r="F351" i="3"/>
  <c r="F347" i="3"/>
  <c r="F343" i="3"/>
  <c r="F339" i="3"/>
  <c r="F335" i="3"/>
  <c r="F331" i="3"/>
  <c r="F327" i="3"/>
  <c r="F323" i="3"/>
  <c r="F319" i="3"/>
  <c r="F315" i="3"/>
  <c r="F311" i="3"/>
  <c r="F307" i="3"/>
  <c r="F303" i="3"/>
  <c r="F299" i="3"/>
  <c r="F295" i="3"/>
  <c r="F291" i="3"/>
  <c r="F287" i="3"/>
  <c r="F283" i="3"/>
  <c r="F279" i="3"/>
  <c r="F275" i="3"/>
  <c r="F271" i="3"/>
  <c r="F267" i="3"/>
  <c r="F263" i="3"/>
  <c r="F259" i="3"/>
  <c r="F255" i="3"/>
  <c r="F251" i="3"/>
  <c r="F247" i="3"/>
  <c r="F243" i="3"/>
  <c r="F237" i="3"/>
  <c r="F232" i="3"/>
  <c r="F227" i="3"/>
  <c r="F221" i="3"/>
  <c r="F216" i="3"/>
  <c r="F211" i="3"/>
  <c r="F205" i="3"/>
  <c r="F200" i="3"/>
  <c r="F195" i="3"/>
  <c r="F189" i="3"/>
  <c r="F184" i="3"/>
  <c r="F179" i="3"/>
  <c r="F173" i="3"/>
  <c r="F168" i="3"/>
  <c r="F163" i="3"/>
  <c r="F157" i="3"/>
  <c r="F152" i="3"/>
  <c r="F147" i="3"/>
  <c r="F141" i="3"/>
  <c r="F136" i="3"/>
  <c r="F131" i="3"/>
  <c r="F125" i="3"/>
  <c r="F120" i="3"/>
  <c r="F115" i="3"/>
  <c r="F109" i="3"/>
  <c r="F104" i="3"/>
  <c r="F99" i="3"/>
  <c r="H99" i="3" s="1"/>
  <c r="F93" i="3"/>
  <c r="H93" i="3" s="1"/>
  <c r="F88" i="3"/>
  <c r="H88" i="3" s="1"/>
  <c r="F81" i="3"/>
  <c r="H81" i="3" s="1"/>
  <c r="F73" i="3"/>
  <c r="H73" i="3" s="1"/>
  <c r="F65" i="3"/>
  <c r="H65" i="3" s="1"/>
  <c r="F57" i="3"/>
  <c r="H57" i="3" s="1"/>
  <c r="F49" i="3"/>
  <c r="H49" i="3" s="1"/>
  <c r="F41" i="3"/>
  <c r="H41" i="3" s="1"/>
  <c r="F33" i="3"/>
  <c r="H33" i="3" s="1"/>
  <c r="F25" i="3"/>
  <c r="H25" i="3" s="1"/>
  <c r="F17" i="3"/>
  <c r="H17" i="3" s="1"/>
  <c r="F9" i="3"/>
  <c r="H9" i="3" s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2" i="3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2" i="3"/>
  <c r="C3" i="1" l="1"/>
  <c r="C4" i="1"/>
  <c r="C11" i="1"/>
  <c r="C2" i="1"/>
  <c r="I3" i="1"/>
  <c r="I4" i="1"/>
  <c r="I11" i="1"/>
  <c r="B5" i="4" l="1"/>
  <c r="M2" i="3" l="1"/>
</calcChain>
</file>

<file path=xl/sharedStrings.xml><?xml version="1.0" encoding="utf-8"?>
<sst xmlns="http://schemas.openxmlformats.org/spreadsheetml/2006/main" count="69" uniqueCount="50">
  <si>
    <t>ID</t>
    <phoneticPr fontId="1" type="noConversion"/>
  </si>
  <si>
    <t>说明</t>
    <phoneticPr fontId="1" type="noConversion"/>
  </si>
  <si>
    <t>天赋ID</t>
    <phoneticPr fontId="3" type="noConversion"/>
  </si>
  <si>
    <t>天赋名字</t>
    <phoneticPr fontId="3" type="noConversion"/>
  </si>
  <si>
    <t>属性</t>
    <phoneticPr fontId="1" type="noConversion"/>
  </si>
  <si>
    <t>三分归元气</t>
    <phoneticPr fontId="1" type="noConversion"/>
  </si>
  <si>
    <t>1:10:0|2:10:20|3:10:40</t>
    <phoneticPr fontId="1" type="noConversion"/>
  </si>
  <si>
    <t>开启玩家等级</t>
    <phoneticPr fontId="1" type="noConversion"/>
  </si>
  <si>
    <t>name</t>
    <phoneticPr fontId="1" type="noConversion"/>
  </si>
  <si>
    <t>propList</t>
    <phoneticPr fontId="1" type="noConversion"/>
  </si>
  <si>
    <t>openPlyLvl</t>
    <phoneticPr fontId="1" type="noConversion"/>
  </si>
  <si>
    <t>lvl</t>
    <phoneticPr fontId="1" type="noConversion"/>
  </si>
  <si>
    <t>resNum</t>
    <phoneticPr fontId="1" type="noConversion"/>
  </si>
  <si>
    <t>resType</t>
    <phoneticPr fontId="1" type="noConversion"/>
  </si>
  <si>
    <t>id</t>
    <phoneticPr fontId="1" type="noConversion"/>
  </si>
  <si>
    <t>字段类型</t>
    <phoneticPr fontId="1" type="noConversion"/>
  </si>
  <si>
    <t>int</t>
    <phoneticPr fontId="1" type="noConversion"/>
  </si>
  <si>
    <t>string</t>
    <phoneticPr fontId="1" type="noConversion"/>
  </si>
  <si>
    <t>数组</t>
    <phoneticPr fontId="1" type="noConversion"/>
  </si>
  <si>
    <t>举例</t>
    <phoneticPr fontId="1" type="noConversion"/>
  </si>
  <si>
    <t>字段名</t>
    <phoneticPr fontId="1" type="noConversion"/>
  </si>
  <si>
    <t>天赋ID</t>
    <phoneticPr fontId="1" type="noConversion"/>
  </si>
  <si>
    <t>天赋等级</t>
    <phoneticPr fontId="1" type="noConversion"/>
  </si>
  <si>
    <t>升级所需资源类型</t>
    <phoneticPr fontId="1" type="noConversion"/>
  </si>
  <si>
    <t>升级所需资源数量</t>
    <phoneticPr fontId="1" type="noConversion"/>
  </si>
  <si>
    <t>类型</t>
    <phoneticPr fontId="1" type="noConversion"/>
  </si>
  <si>
    <t>说明</t>
    <phoneticPr fontId="1" type="noConversion"/>
  </si>
  <si>
    <t>maxLvl</t>
    <phoneticPr fontId="1" type="noConversion"/>
  </si>
  <si>
    <t>maxLvl</t>
    <phoneticPr fontId="1" type="noConversion"/>
  </si>
  <si>
    <t>最大可升级等级</t>
    <phoneticPr fontId="1" type="noConversion"/>
  </si>
  <si>
    <t>int</t>
    <phoneticPr fontId="1" type="noConversion"/>
  </si>
  <si>
    <t>icon</t>
    <phoneticPr fontId="1" type="noConversion"/>
  </si>
  <si>
    <t>i_g_225</t>
  </si>
  <si>
    <t>i_g_226</t>
  </si>
  <si>
    <t>i_g_227</t>
  </si>
  <si>
    <t>i_g_224</t>
    <phoneticPr fontId="1" type="noConversion"/>
  </si>
  <si>
    <t>id</t>
  </si>
  <si>
    <t>lvl</t>
  </si>
  <si>
    <t>resType</t>
  </si>
  <si>
    <t>resNum</t>
  </si>
  <si>
    <t>playerLevel</t>
  </si>
  <si>
    <t>gs</t>
  </si>
  <si>
    <t>生命本能</t>
    <phoneticPr fontId="1" type="noConversion"/>
  </si>
  <si>
    <t>审判怒火</t>
    <phoneticPr fontId="1" type="noConversion"/>
  </si>
  <si>
    <t>圣灵意志</t>
    <phoneticPr fontId="1" type="noConversion"/>
  </si>
  <si>
    <t>正义艺术</t>
    <phoneticPr fontId="1" type="noConversion"/>
  </si>
  <si>
    <t>性价比</t>
    <phoneticPr fontId="1" type="noConversion"/>
  </si>
  <si>
    <t>2月12老数量</t>
    <phoneticPr fontId="1" type="noConversion"/>
  </si>
  <si>
    <t>属性数量</t>
    <phoneticPr fontId="1" type="noConversion"/>
  </si>
  <si>
    <t>preMasteryId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</si>
</sst>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/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Fill="1" applyBorder="1">
      <alignment vertical="center"/>
    </xf>
    <xf numFmtId="0" fontId="4" fillId="0" borderId="0" xfId="0" applyFont="1" applyAlignment="1"/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Border="1">
      <alignment vertical="center"/>
    </xf>
    <xf numFmtId="0" fontId="0" fillId="0" borderId="0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NumberFormat="1" applyBorder="1" applyAlignment="1">
      <alignment horizontal="left" vertical="center"/>
    </xf>
    <xf numFmtId="49" fontId="2" fillId="2" borderId="1" xfId="0" applyNumberFormat="1" applyFont="1" applyFill="1" applyBorder="1">
      <alignment vertical="center"/>
    </xf>
    <xf numFmtId="2" fontId="0" fillId="0" borderId="0" xfId="0" applyNumberFormat="1">
      <alignment vertical="center"/>
    </xf>
    <xf numFmtId="49" fontId="2" fillId="2" borderId="0" xfId="0" applyNumberFormat="1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</xdr:row>
          <xdr:rowOff>85725</xdr:rowOff>
        </xdr:from>
        <xdr:to>
          <xdr:col>23</xdr:col>
          <xdr:colOff>657225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95250</xdr:rowOff>
        </xdr:from>
        <xdr:to>
          <xdr:col>11</xdr:col>
          <xdr:colOff>276225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154;&#29289;&#23646;&#2461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PropertyConfig"/>
      <sheetName val="Sheet2"/>
      <sheetName val="Sheet3"/>
      <sheetName val="Sheet1"/>
    </sheetNames>
    <sheetDataSet>
      <sheetData sheetId="0">
        <row r="1">
          <cell r="A1" t="str">
            <v>ID</v>
          </cell>
          <cell r="B1" t="str">
            <v>Stats</v>
          </cell>
          <cell r="C1" t="str">
            <v>Explain</v>
          </cell>
          <cell r="D1" t="str">
            <v>propType</v>
          </cell>
          <cell r="E1" t="str">
            <v>weight</v>
          </cell>
          <cell r="F1" t="str">
            <v>index</v>
          </cell>
          <cell r="G1" t="str">
            <v>GS</v>
          </cell>
        </row>
        <row r="2">
          <cell r="A2">
            <v>1</v>
          </cell>
          <cell r="B2" t="str">
            <v>力量</v>
          </cell>
          <cell r="C2" t="str">
            <v>提升战士技能的威力，以及对战士技能的免伤</v>
          </cell>
          <cell r="D2">
            <v>0</v>
          </cell>
          <cell r="E2">
            <v>1</v>
          </cell>
          <cell r="F2">
            <v>0</v>
          </cell>
          <cell r="G2">
            <v>0</v>
          </cell>
        </row>
        <row r="3">
          <cell r="A3">
            <v>2</v>
          </cell>
          <cell r="B3" t="str">
            <v>敏捷</v>
          </cell>
          <cell r="C3" t="str">
            <v>提升暴击和闪避</v>
          </cell>
          <cell r="D3">
            <v>0</v>
          </cell>
          <cell r="E3">
            <v>1</v>
          </cell>
          <cell r="F3">
            <v>0</v>
          </cell>
          <cell r="G3">
            <v>0</v>
          </cell>
        </row>
        <row r="4">
          <cell r="A4">
            <v>3</v>
          </cell>
          <cell r="B4" t="str">
            <v>魔石触发几率</v>
          </cell>
          <cell r="C4" t="str">
            <v>魔石触发几率</v>
          </cell>
          <cell r="D4">
            <v>0</v>
          </cell>
          <cell r="E4">
            <v>1</v>
          </cell>
          <cell r="F4">
            <v>0</v>
          </cell>
          <cell r="G4">
            <v>0</v>
          </cell>
        </row>
        <row r="5">
          <cell r="A5">
            <v>4</v>
          </cell>
          <cell r="B5" t="str">
            <v>熔炉之力</v>
          </cell>
          <cell r="C5" t="str">
            <v>赋予不同职业不同的特殊效果</v>
          </cell>
          <cell r="D5">
            <v>0</v>
          </cell>
          <cell r="E5">
            <v>1</v>
          </cell>
          <cell r="F5">
            <v>0</v>
          </cell>
          <cell r="G5">
            <v>0</v>
          </cell>
        </row>
        <row r="6">
          <cell r="A6">
            <v>5</v>
          </cell>
          <cell r="B6" t="str">
            <v>意志</v>
          </cell>
          <cell r="C6" t="str">
            <v>提升骑士技能的威力，以及对骑士技能的免伤</v>
          </cell>
          <cell r="D6">
            <v>0</v>
          </cell>
          <cell r="E6">
            <v>1</v>
          </cell>
          <cell r="F6">
            <v>0</v>
          </cell>
          <cell r="G6">
            <v>0</v>
          </cell>
        </row>
        <row r="7">
          <cell r="A7">
            <v>101</v>
          </cell>
          <cell r="B7" t="str">
            <v>攻击力</v>
          </cell>
          <cell r="C7" t="str">
            <v>对敌人造成伤害的基本属性。</v>
          </cell>
          <cell r="D7">
            <v>1</v>
          </cell>
          <cell r="E7">
            <v>4</v>
          </cell>
          <cell r="F7">
            <v>1</v>
          </cell>
          <cell r="G7">
            <v>25</v>
          </cell>
        </row>
        <row r="8">
          <cell r="A8">
            <v>102</v>
          </cell>
          <cell r="B8" t="str">
            <v>防御力</v>
          </cell>
          <cell r="C8" t="str">
            <v>降低敌人对自己产生的伤害。</v>
          </cell>
          <cell r="D8">
            <v>2</v>
          </cell>
          <cell r="E8">
            <v>4</v>
          </cell>
          <cell r="F8">
            <v>2</v>
          </cell>
          <cell r="G8">
            <v>25</v>
          </cell>
        </row>
        <row r="9">
          <cell r="A9">
            <v>103</v>
          </cell>
          <cell r="B9" t="str">
            <v>穿透等级</v>
          </cell>
          <cell r="C9" t="str">
            <v>造成伤害时忽略目标的防御力。</v>
          </cell>
          <cell r="D9">
            <v>0</v>
          </cell>
          <cell r="E9">
            <v>4</v>
          </cell>
          <cell r="F9">
            <v>109</v>
          </cell>
          <cell r="G9">
            <v>25</v>
          </cell>
        </row>
        <row r="10">
          <cell r="A10">
            <v>104</v>
          </cell>
          <cell r="B10" t="str">
            <v>生命值</v>
          </cell>
          <cell r="C10" t="str">
            <v>生命上限</v>
          </cell>
          <cell r="D10">
            <v>0</v>
          </cell>
          <cell r="E10">
            <v>100</v>
          </cell>
          <cell r="F10">
            <v>3</v>
          </cell>
          <cell r="G10">
            <v>1</v>
          </cell>
        </row>
        <row r="11">
          <cell r="A11">
            <v>105</v>
          </cell>
          <cell r="B11" t="str">
            <v>法力</v>
          </cell>
          <cell r="C11" t="str">
            <v>法力上限</v>
          </cell>
          <cell r="D11">
            <v>0</v>
          </cell>
          <cell r="E11">
            <v>1</v>
          </cell>
          <cell r="F11">
            <v>0</v>
          </cell>
          <cell r="G11">
            <v>0</v>
          </cell>
        </row>
        <row r="12">
          <cell r="A12">
            <v>106</v>
          </cell>
          <cell r="B12" t="str">
            <v>暴击等级</v>
          </cell>
          <cell r="C12" t="str">
            <v>提高造成伤害时产生暴击的几率。</v>
          </cell>
          <cell r="D12">
            <v>1</v>
          </cell>
          <cell r="E12">
            <v>4</v>
          </cell>
          <cell r="F12">
            <v>103</v>
          </cell>
          <cell r="G12">
            <v>25</v>
          </cell>
        </row>
        <row r="13">
          <cell r="A13">
            <v>107</v>
          </cell>
          <cell r="B13" t="str">
            <v>暴击加成</v>
          </cell>
          <cell r="C13" t="str">
            <v>提高暴击攻击所造成的伤害。</v>
          </cell>
          <cell r="D13">
            <v>3</v>
          </cell>
          <cell r="E13">
            <v>4</v>
          </cell>
          <cell r="F13">
            <v>105</v>
          </cell>
          <cell r="G13">
            <v>25</v>
          </cell>
        </row>
        <row r="14">
          <cell r="A14">
            <v>108</v>
          </cell>
          <cell r="B14" t="str">
            <v>暴击抵抗</v>
          </cell>
          <cell r="C14" t="str">
            <v>降低自身受到暴击攻击的几率。</v>
          </cell>
          <cell r="D14">
            <v>2</v>
          </cell>
          <cell r="E14">
            <v>4</v>
          </cell>
          <cell r="F14">
            <v>104</v>
          </cell>
          <cell r="G14">
            <v>25</v>
          </cell>
        </row>
        <row r="15">
          <cell r="A15">
            <v>109</v>
          </cell>
          <cell r="B15" t="str">
            <v>命中等级</v>
          </cell>
          <cell r="C15" t="str">
            <v>提高攻击时命中目标的几率。</v>
          </cell>
          <cell r="D15">
            <v>1</v>
          </cell>
          <cell r="E15">
            <v>4</v>
          </cell>
          <cell r="F15">
            <v>101</v>
          </cell>
          <cell r="G15">
            <v>25</v>
          </cell>
        </row>
        <row r="16">
          <cell r="A16">
            <v>110</v>
          </cell>
          <cell r="B16" t="str">
            <v>闪避等级</v>
          </cell>
          <cell r="C16" t="str">
            <v>降低自身被敌人攻击命中的几率。</v>
          </cell>
          <cell r="D16">
            <v>2</v>
          </cell>
          <cell r="E16">
            <v>4</v>
          </cell>
          <cell r="F16">
            <v>102</v>
          </cell>
          <cell r="G16">
            <v>25</v>
          </cell>
        </row>
        <row r="17">
          <cell r="A17">
            <v>111</v>
          </cell>
          <cell r="B17" t="str">
            <v>CD</v>
          </cell>
          <cell r="C17" t="str">
            <v>降低自己技能冷却时间</v>
          </cell>
          <cell r="D17">
            <v>0</v>
          </cell>
          <cell r="E17">
            <v>1</v>
          </cell>
          <cell r="F17">
            <v>0</v>
          </cell>
          <cell r="G17">
            <v>0</v>
          </cell>
        </row>
        <row r="18">
          <cell r="A18">
            <v>112</v>
          </cell>
          <cell r="B18" t="str">
            <v>伤害加深</v>
          </cell>
          <cell r="C18" t="str">
            <v>提高自身所造成的伤害。</v>
          </cell>
          <cell r="D18">
            <v>0</v>
          </cell>
          <cell r="E18">
            <v>4</v>
          </cell>
          <cell r="F18">
            <v>107</v>
          </cell>
          <cell r="G18">
            <v>25</v>
          </cell>
        </row>
        <row r="19">
          <cell r="A19">
            <v>113</v>
          </cell>
          <cell r="B19" t="str">
            <v>伤害减免</v>
          </cell>
          <cell r="C19" t="str">
            <v>降低自身所受到的伤害。</v>
          </cell>
          <cell r="D19">
            <v>0</v>
          </cell>
          <cell r="E19">
            <v>4</v>
          </cell>
          <cell r="F19">
            <v>108</v>
          </cell>
          <cell r="G19">
            <v>25</v>
          </cell>
        </row>
        <row r="20">
          <cell r="A20">
            <v>114</v>
          </cell>
          <cell r="B20" t="str">
            <v>格挡等级</v>
          </cell>
          <cell r="C20" t="str">
            <v>提高格挡概率，使受到的伤害大幅度降低。</v>
          </cell>
          <cell r="D20">
            <v>3</v>
          </cell>
          <cell r="E20">
            <v>4</v>
          </cell>
          <cell r="F20">
            <v>106</v>
          </cell>
          <cell r="G20">
            <v>25</v>
          </cell>
        </row>
        <row r="21">
          <cell r="A21">
            <v>115</v>
          </cell>
          <cell r="B21" t="str">
            <v>护甲值</v>
          </cell>
          <cell r="C21" t="str">
            <v>提高护甲值可以抵消敌人的攻击力。</v>
          </cell>
          <cell r="D21">
            <v>3</v>
          </cell>
          <cell r="E21">
            <v>20</v>
          </cell>
          <cell r="F21">
            <v>4</v>
          </cell>
          <cell r="G21">
            <v>5</v>
          </cell>
        </row>
        <row r="22">
          <cell r="A22">
            <v>116</v>
          </cell>
          <cell r="B22" t="str">
            <v>真实伤害</v>
          </cell>
          <cell r="C22" t="str">
            <v>将造成伤害的一部分转化为无视防御、护甲、减免且无法格挡的伤害。</v>
          </cell>
          <cell r="D22">
            <v>0</v>
          </cell>
          <cell r="E22">
            <v>4</v>
          </cell>
          <cell r="F22">
            <v>110</v>
          </cell>
          <cell r="G22">
            <v>25</v>
          </cell>
        </row>
        <row r="23">
          <cell r="A23">
            <v>117</v>
          </cell>
          <cell r="B23" t="str">
            <v>击倒等级</v>
          </cell>
          <cell r="C23" t="str">
            <v>提升击倒、击退技能对目标的生效几率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>
            <v>118</v>
          </cell>
          <cell r="B24" t="str">
            <v>抵抗等级</v>
          </cell>
          <cell r="C24" t="str">
            <v>降低敌人的击倒、击退技能对自己的生效几率</v>
          </cell>
          <cell r="D24">
            <v>0</v>
          </cell>
          <cell r="E24">
            <v>1</v>
          </cell>
          <cell r="F24">
            <v>0</v>
          </cell>
          <cell r="G24">
            <v>0</v>
          </cell>
        </row>
        <row r="25">
          <cell r="A25">
            <v>119</v>
          </cell>
          <cell r="B25" t="str">
            <v>移动速度</v>
          </cell>
          <cell r="C25" t="str">
            <v>每点移动速度提供1%的移动速度加成</v>
          </cell>
          <cell r="D25">
            <v>0</v>
          </cell>
          <cell r="E25">
            <v>1</v>
          </cell>
          <cell r="F25">
            <v>0</v>
          </cell>
          <cell r="G25">
            <v>0</v>
          </cell>
        </row>
        <row r="26">
          <cell r="A26">
            <v>120</v>
          </cell>
          <cell r="B26" t="str">
            <v>治疗加成</v>
          </cell>
          <cell r="C26" t="str">
            <v>提升急救术恢复生命值</v>
          </cell>
          <cell r="D26">
            <v>0</v>
          </cell>
          <cell r="E26">
            <v>20</v>
          </cell>
          <cell r="F26">
            <v>111</v>
          </cell>
          <cell r="G26">
            <v>5</v>
          </cell>
        </row>
        <row r="27">
          <cell r="A27">
            <v>201</v>
          </cell>
          <cell r="B27" t="str">
            <v>等级</v>
          </cell>
          <cell r="C27" t="str">
            <v>等级</v>
          </cell>
          <cell r="D27">
            <v>0</v>
          </cell>
          <cell r="E27">
            <v>1</v>
          </cell>
          <cell r="F27">
            <v>0</v>
          </cell>
          <cell r="G27">
            <v>0</v>
          </cell>
        </row>
        <row r="28">
          <cell r="A28">
            <v>202</v>
          </cell>
          <cell r="B28" t="str">
            <v>生命</v>
          </cell>
          <cell r="C28" t="str">
            <v>生命</v>
          </cell>
          <cell r="D28">
            <v>0</v>
          </cell>
          <cell r="E28">
            <v>1</v>
          </cell>
          <cell r="F28">
            <v>0</v>
          </cell>
          <cell r="G28">
            <v>0</v>
          </cell>
        </row>
        <row r="29">
          <cell r="A29">
            <v>203</v>
          </cell>
          <cell r="B29" t="str">
            <v>法力</v>
          </cell>
          <cell r="C29" t="str">
            <v>法力</v>
          </cell>
          <cell r="D29">
            <v>0</v>
          </cell>
          <cell r="E29">
            <v>1</v>
          </cell>
          <cell r="F29">
            <v>0</v>
          </cell>
          <cell r="G29">
            <v>0</v>
          </cell>
        </row>
        <row r="30">
          <cell r="A30">
            <v>204</v>
          </cell>
          <cell r="B30" t="str">
            <v>经验</v>
          </cell>
          <cell r="C30" t="str">
            <v>经验</v>
          </cell>
          <cell r="D30">
            <v>0</v>
          </cell>
          <cell r="E30">
            <v>1</v>
          </cell>
          <cell r="F30">
            <v>0</v>
          </cell>
          <cell r="G30">
            <v>0</v>
          </cell>
        </row>
        <row r="31">
          <cell r="A31">
            <v>205</v>
          </cell>
          <cell r="B31" t="str">
            <v>金钱</v>
          </cell>
          <cell r="C31" t="str">
            <v>金钱</v>
          </cell>
          <cell r="D31">
            <v>0</v>
          </cell>
          <cell r="E31">
            <v>1</v>
          </cell>
          <cell r="F31">
            <v>0</v>
          </cell>
          <cell r="G31">
            <v>0</v>
          </cell>
        </row>
        <row r="32">
          <cell r="A32">
            <v>206</v>
          </cell>
          <cell r="B32" t="str">
            <v>付费货币（白金币）</v>
          </cell>
          <cell r="C32" t="str">
            <v>付费货币（白金币）</v>
          </cell>
          <cell r="D32">
            <v>0</v>
          </cell>
          <cell r="E32">
            <v>1</v>
          </cell>
          <cell r="F32">
            <v>0</v>
          </cell>
          <cell r="G32">
            <v>0</v>
          </cell>
        </row>
        <row r="33">
          <cell r="A33">
            <v>207</v>
          </cell>
          <cell r="B33" t="str">
            <v>当日获取经验</v>
          </cell>
          <cell r="C33" t="str">
            <v>当日获取经验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208</v>
          </cell>
          <cell r="B34" t="str">
            <v>当日获取金钱</v>
          </cell>
          <cell r="C34" t="str">
            <v>当日获取金钱</v>
          </cell>
          <cell r="D34">
            <v>0</v>
          </cell>
          <cell r="E34">
            <v>1</v>
          </cell>
          <cell r="F34">
            <v>0</v>
          </cell>
          <cell r="G34">
            <v>0</v>
          </cell>
        </row>
        <row r="35">
          <cell r="A35">
            <v>209</v>
          </cell>
          <cell r="B35" t="str">
            <v>绑定货币</v>
          </cell>
          <cell r="C35" t="str">
            <v>绑定货币</v>
          </cell>
          <cell r="D35">
            <v>0</v>
          </cell>
          <cell r="E35">
            <v>1</v>
          </cell>
          <cell r="F35">
            <v>0</v>
          </cell>
          <cell r="G35">
            <v>0</v>
          </cell>
        </row>
        <row r="36">
          <cell r="A36">
            <v>214</v>
          </cell>
          <cell r="B36" t="str">
            <v>巅峰等级</v>
          </cell>
          <cell r="C36" t="str">
            <v>巅峰等级</v>
          </cell>
          <cell r="D36">
            <v>0</v>
          </cell>
          <cell r="E36">
            <v>1</v>
          </cell>
          <cell r="F36">
            <v>0</v>
          </cell>
          <cell r="G36">
            <v>0</v>
          </cell>
        </row>
        <row r="37">
          <cell r="A37">
            <v>215</v>
          </cell>
          <cell r="B37" t="str">
            <v>VIP等级</v>
          </cell>
          <cell r="C37" t="str">
            <v>VIP等级</v>
          </cell>
          <cell r="D37">
            <v>0</v>
          </cell>
          <cell r="E37">
            <v>1</v>
          </cell>
          <cell r="F37">
            <v>0</v>
          </cell>
          <cell r="G37">
            <v>0</v>
          </cell>
        </row>
        <row r="38">
          <cell r="A38">
            <v>301</v>
          </cell>
          <cell r="B38" t="str">
            <v>等级上限</v>
          </cell>
          <cell r="C38" t="str">
            <v>等级上限</v>
          </cell>
          <cell r="D38">
            <v>0</v>
          </cell>
          <cell r="E38">
            <v>1</v>
          </cell>
          <cell r="F38">
            <v>0</v>
          </cell>
          <cell r="G38">
            <v>0</v>
          </cell>
        </row>
        <row r="39">
          <cell r="A39">
            <v>304</v>
          </cell>
          <cell r="B39" t="str">
            <v>经验上限</v>
          </cell>
          <cell r="C39" t="str">
            <v>经验上限</v>
          </cell>
          <cell r="D39">
            <v>0</v>
          </cell>
          <cell r="E39">
            <v>1</v>
          </cell>
          <cell r="F39">
            <v>0</v>
          </cell>
          <cell r="G39">
            <v>0</v>
          </cell>
        </row>
        <row r="40">
          <cell r="A40">
            <v>305</v>
          </cell>
          <cell r="B40" t="str">
            <v>金钱上限</v>
          </cell>
          <cell r="C40" t="str">
            <v>金钱上限</v>
          </cell>
          <cell r="D40">
            <v>0</v>
          </cell>
          <cell r="E40">
            <v>1</v>
          </cell>
          <cell r="F40">
            <v>0</v>
          </cell>
          <cell r="G40">
            <v>0</v>
          </cell>
        </row>
        <row r="41">
          <cell r="A41">
            <v>306</v>
          </cell>
          <cell r="B41" t="str">
            <v>付费货币上限（白金币）</v>
          </cell>
          <cell r="C41" t="str">
            <v>付费货币上限（白金币）</v>
          </cell>
          <cell r="D41">
            <v>0</v>
          </cell>
          <cell r="E41">
            <v>1</v>
          </cell>
          <cell r="F41">
            <v>0</v>
          </cell>
          <cell r="G41">
            <v>0</v>
          </cell>
        </row>
        <row r="42">
          <cell r="A42">
            <v>307</v>
          </cell>
          <cell r="B42" t="str">
            <v>当日获取经验上限</v>
          </cell>
          <cell r="C42" t="str">
            <v>当日获取经验上限</v>
          </cell>
          <cell r="D42">
            <v>0</v>
          </cell>
          <cell r="E42">
            <v>1</v>
          </cell>
          <cell r="F42">
            <v>0</v>
          </cell>
          <cell r="G42">
            <v>0</v>
          </cell>
        </row>
        <row r="43">
          <cell r="A43">
            <v>308</v>
          </cell>
          <cell r="B43" t="str">
            <v>当日获取金钱上限</v>
          </cell>
          <cell r="C43" t="str">
            <v>当日获取金钱上限</v>
          </cell>
          <cell r="D43">
            <v>0</v>
          </cell>
          <cell r="E43">
            <v>1</v>
          </cell>
          <cell r="F43">
            <v>0</v>
          </cell>
          <cell r="G43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3"/>
  <sheetViews>
    <sheetView tabSelected="1" workbookViewId="0">
      <selection activeCell="K21" sqref="K21"/>
    </sheetView>
  </sheetViews>
  <sheetFormatPr defaultRowHeight="13.5" x14ac:dyDescent="0.15"/>
  <cols>
    <col min="1" max="1" width="4" style="10" bestFit="1" customWidth="1"/>
    <col min="2" max="2" width="13" style="10" bestFit="1" customWidth="1"/>
    <col min="3" max="3" width="30.5" style="10" bestFit="1" customWidth="1"/>
    <col min="4" max="4" width="13.25" style="10" bestFit="1" customWidth="1"/>
    <col min="5" max="6" width="8.5" style="10" bestFit="1" customWidth="1"/>
    <col min="7" max="7" width="15.75" style="10" bestFit="1" customWidth="1"/>
    <col min="8" max="8" width="14.5" style="10" bestFit="1" customWidth="1"/>
    <col min="9" max="9" width="5.5" style="10" bestFit="1" customWidth="1"/>
    <col min="10" max="10" width="4.5" style="10" bestFit="1" customWidth="1"/>
    <col min="11" max="11" width="5.5" style="10" bestFit="1" customWidth="1"/>
    <col min="12" max="12" width="2.5" style="10" bestFit="1" customWidth="1"/>
    <col min="13" max="13" width="4.5" style="10" bestFit="1" customWidth="1"/>
    <col min="14" max="15" width="3.5" style="10" bestFit="1" customWidth="1"/>
    <col min="16" max="16" width="4.5" style="10" bestFit="1" customWidth="1"/>
    <col min="17" max="18" width="3.5" style="10" bestFit="1" customWidth="1"/>
    <col min="19" max="19" width="5.5" style="10" bestFit="1" customWidth="1"/>
    <col min="20" max="21" width="4.5" style="10" bestFit="1" customWidth="1"/>
    <col min="22" max="16384" width="9" style="10"/>
  </cols>
  <sheetData>
    <row r="1" spans="1:21" x14ac:dyDescent="0.15">
      <c r="A1" s="17" t="s">
        <v>0</v>
      </c>
      <c r="B1" s="17" t="s">
        <v>8</v>
      </c>
      <c r="C1" s="17" t="s">
        <v>9</v>
      </c>
      <c r="D1" s="17" t="s">
        <v>10</v>
      </c>
      <c r="E1" s="17" t="s">
        <v>27</v>
      </c>
      <c r="F1" s="17" t="s">
        <v>31</v>
      </c>
      <c r="G1" s="19" t="s">
        <v>49</v>
      </c>
      <c r="H1" s="19"/>
    </row>
    <row r="2" spans="1:21" x14ac:dyDescent="0.15">
      <c r="A2" s="14">
        <v>1</v>
      </c>
      <c r="B2" s="14" t="s">
        <v>42</v>
      </c>
      <c r="C2" s="15" t="str">
        <f>CONCATENATE(J2,",",K2,",",L2,"|",M2,",",N2,",",O2,"|",P2,",",Q2,",",R2)</f>
        <v>104,300,0|109,8,25|114,8,50</v>
      </c>
      <c r="D2" s="15">
        <v>1</v>
      </c>
      <c r="E2" s="15">
        <v>100</v>
      </c>
      <c r="F2" s="14" t="s">
        <v>35</v>
      </c>
      <c r="G2" s="12">
        <v>0</v>
      </c>
      <c r="H2" s="13"/>
      <c r="I2" s="10">
        <f>VLOOKUP(J2,[1]CharPropertyConfig!$A:$G,7,FALSE)*K2+VLOOKUP(M2,[1]CharPropertyConfig!$A:$G,7,FALSE)*N2+VLOOKUP(P2,[1]CharPropertyConfig!$A:$G,7,FALSE)*Q2</f>
        <v>700</v>
      </c>
      <c r="J2" s="15">
        <v>104</v>
      </c>
      <c r="K2" s="11">
        <v>300</v>
      </c>
      <c r="L2" s="11">
        <v>0</v>
      </c>
      <c r="M2" s="12">
        <v>109</v>
      </c>
      <c r="N2" s="12">
        <v>8</v>
      </c>
      <c r="O2" s="12">
        <v>25</v>
      </c>
      <c r="P2" s="10">
        <v>114</v>
      </c>
      <c r="Q2" s="11">
        <v>8</v>
      </c>
      <c r="R2" s="10">
        <v>50</v>
      </c>
      <c r="S2" s="11">
        <f>VLOOKUP(J2,[1]CharPropertyConfig!$A:$G,7,FALSE)*K2</f>
        <v>300</v>
      </c>
      <c r="T2" s="11">
        <f>VLOOKUP(M2,[1]CharPropertyConfig!$A:$G,7,FALSE)*N2</f>
        <v>200</v>
      </c>
      <c r="U2" s="11">
        <f>VLOOKUP(P2,[1]CharPropertyConfig!$A:$G,7,FALSE)*Q2</f>
        <v>200</v>
      </c>
    </row>
    <row r="3" spans="1:21" x14ac:dyDescent="0.15">
      <c r="A3" s="14">
        <v>2</v>
      </c>
      <c r="B3" s="14" t="s">
        <v>44</v>
      </c>
      <c r="C3" s="15" t="str">
        <f t="shared" ref="C3:C10" si="0">CONCATENATE(J3,",",K3,",",L3,"|",M3,",",N3,",",O3,"|",P3,",",Q3,",",R3)</f>
        <v>102,12,0|108,8,25|113,8,50</v>
      </c>
      <c r="D3" s="15">
        <v>100</v>
      </c>
      <c r="E3" s="15">
        <v>100</v>
      </c>
      <c r="F3" s="14" t="s">
        <v>32</v>
      </c>
      <c r="G3" s="12">
        <v>0</v>
      </c>
      <c r="H3" s="13"/>
      <c r="I3" s="10">
        <f>VLOOKUP(J3,[1]CharPropertyConfig!$A:$G,7,FALSE)*K3+VLOOKUP(M3,[1]CharPropertyConfig!$A:$G,7,FALSE)*N3+VLOOKUP(P3,[1]CharPropertyConfig!$A:$G,7,FALSE)*Q3</f>
        <v>700</v>
      </c>
      <c r="J3" s="15">
        <v>102</v>
      </c>
      <c r="K3" s="11">
        <v>12</v>
      </c>
      <c r="L3" s="11">
        <v>0</v>
      </c>
      <c r="M3" s="12">
        <v>108</v>
      </c>
      <c r="N3" s="12">
        <v>8</v>
      </c>
      <c r="O3" s="12">
        <v>25</v>
      </c>
      <c r="P3" s="10">
        <v>113</v>
      </c>
      <c r="Q3" s="11">
        <v>8</v>
      </c>
      <c r="R3" s="10">
        <v>50</v>
      </c>
      <c r="S3" s="11">
        <f>VLOOKUP(J3,[1]CharPropertyConfig!$A:$G,7,FALSE)*K3</f>
        <v>300</v>
      </c>
      <c r="T3" s="11">
        <f>VLOOKUP(M3,[1]CharPropertyConfig!$A:$G,7,FALSE)*N3</f>
        <v>200</v>
      </c>
      <c r="U3" s="11">
        <f>VLOOKUP(P3,[1]CharPropertyConfig!$A:$G,7,FALSE)*Q3</f>
        <v>200</v>
      </c>
    </row>
    <row r="4" spans="1:21" x14ac:dyDescent="0.15">
      <c r="A4" s="14">
        <v>3</v>
      </c>
      <c r="B4" s="14" t="s">
        <v>45</v>
      </c>
      <c r="C4" s="15" t="str">
        <f t="shared" si="0"/>
        <v>115,60,0|110,8,25|112,8,50</v>
      </c>
      <c r="D4" s="15">
        <v>200</v>
      </c>
      <c r="E4" s="15">
        <v>100</v>
      </c>
      <c r="F4" s="14" t="s">
        <v>33</v>
      </c>
      <c r="G4" s="12">
        <v>0</v>
      </c>
      <c r="H4" s="13"/>
      <c r="I4" s="10">
        <f>VLOOKUP(J4,[1]CharPropertyConfig!$A:$G,7,FALSE)*K4+VLOOKUP(M4,[1]CharPropertyConfig!$A:$G,7,FALSE)*N4+VLOOKUP(P4,[1]CharPropertyConfig!$A:$G,7,FALSE)*Q4</f>
        <v>700</v>
      </c>
      <c r="J4" s="15">
        <v>115</v>
      </c>
      <c r="K4" s="11">
        <v>60</v>
      </c>
      <c r="L4" s="11">
        <v>0</v>
      </c>
      <c r="M4" s="12">
        <v>110</v>
      </c>
      <c r="N4" s="12">
        <v>8</v>
      </c>
      <c r="O4" s="12">
        <v>25</v>
      </c>
      <c r="P4" s="10">
        <v>112</v>
      </c>
      <c r="Q4" s="11">
        <v>8</v>
      </c>
      <c r="R4" s="10">
        <v>50</v>
      </c>
      <c r="S4" s="11">
        <f>VLOOKUP(J4,[1]CharPropertyConfig!$A:$G,7,FALSE)*K4</f>
        <v>300</v>
      </c>
      <c r="T4" s="11">
        <f>VLOOKUP(M4,[1]CharPropertyConfig!$A:$G,7,FALSE)*N4</f>
        <v>200</v>
      </c>
      <c r="U4" s="11">
        <f>VLOOKUP(P4,[1]CharPropertyConfig!$A:$G,7,FALSE)*Q4</f>
        <v>200</v>
      </c>
    </row>
    <row r="5" spans="1:21" x14ac:dyDescent="0.15">
      <c r="A5" s="14">
        <v>4</v>
      </c>
      <c r="B5" s="11" t="str">
        <f>CONCATENATE("高级",B2)</f>
        <v>高级生命本能</v>
      </c>
      <c r="C5" s="15" t="str">
        <f t="shared" si="0"/>
        <v>104,600,0|109,16,25|114,16,50</v>
      </c>
      <c r="D5" s="15">
        <v>1</v>
      </c>
      <c r="E5" s="15">
        <v>100</v>
      </c>
      <c r="F5" s="14" t="s">
        <v>35</v>
      </c>
      <c r="G5" s="11">
        <v>1</v>
      </c>
      <c r="H5" s="13"/>
      <c r="I5" s="10">
        <f>VLOOKUP(J5,[1]CharPropertyConfig!$A:$G,7,FALSE)*K5+VLOOKUP(M5,[1]CharPropertyConfig!$A:$G,7,FALSE)*N5+VLOOKUP(P5,[1]CharPropertyConfig!$A:$G,7,FALSE)*Q5</f>
        <v>1400</v>
      </c>
      <c r="J5" s="15">
        <v>104</v>
      </c>
      <c r="K5" s="11">
        <f>K2*2</f>
        <v>600</v>
      </c>
      <c r="L5" s="11">
        <v>0</v>
      </c>
      <c r="M5" s="12">
        <v>109</v>
      </c>
      <c r="N5" s="11">
        <f>N2*2</f>
        <v>16</v>
      </c>
      <c r="O5" s="12">
        <v>25</v>
      </c>
      <c r="P5" s="10">
        <v>114</v>
      </c>
      <c r="Q5" s="11">
        <f>Q2*2</f>
        <v>16</v>
      </c>
      <c r="R5" s="10">
        <v>50</v>
      </c>
      <c r="S5" s="11">
        <f>VLOOKUP(J5,[1]CharPropertyConfig!$A:$G,7,FALSE)*K5</f>
        <v>600</v>
      </c>
      <c r="T5" s="11">
        <f>VLOOKUP(M5,[1]CharPropertyConfig!$A:$G,7,FALSE)*N5</f>
        <v>400</v>
      </c>
      <c r="U5" s="11">
        <f>VLOOKUP(P5,[1]CharPropertyConfig!$A:$G,7,FALSE)*Q5</f>
        <v>400</v>
      </c>
    </row>
    <row r="6" spans="1:21" x14ac:dyDescent="0.15">
      <c r="A6" s="14">
        <v>5</v>
      </c>
      <c r="B6" s="11" t="str">
        <f>CONCATENATE("高级",B3)</f>
        <v>高级圣灵意志</v>
      </c>
      <c r="C6" s="15" t="str">
        <f t="shared" si="0"/>
        <v>102,24,0|108,16,25|113,16,50</v>
      </c>
      <c r="D6" s="15">
        <v>100</v>
      </c>
      <c r="E6" s="15">
        <v>100</v>
      </c>
      <c r="F6" s="14" t="s">
        <v>32</v>
      </c>
      <c r="G6" s="11">
        <v>2</v>
      </c>
      <c r="H6" s="13"/>
      <c r="I6" s="10">
        <f>VLOOKUP(J6,[1]CharPropertyConfig!$A:$G,7,FALSE)*K6+VLOOKUP(M6,[1]CharPropertyConfig!$A:$G,7,FALSE)*N6+VLOOKUP(P6,[1]CharPropertyConfig!$A:$G,7,FALSE)*Q6</f>
        <v>1400</v>
      </c>
      <c r="J6" s="15">
        <v>102</v>
      </c>
      <c r="K6" s="11">
        <f>K3*2</f>
        <v>24</v>
      </c>
      <c r="L6" s="11">
        <v>0</v>
      </c>
      <c r="M6" s="12">
        <v>108</v>
      </c>
      <c r="N6" s="11">
        <f>N3*2</f>
        <v>16</v>
      </c>
      <c r="O6" s="12">
        <v>25</v>
      </c>
      <c r="P6" s="10">
        <v>113</v>
      </c>
      <c r="Q6" s="11">
        <f>Q3*2</f>
        <v>16</v>
      </c>
      <c r="R6" s="10">
        <v>50</v>
      </c>
      <c r="S6" s="11">
        <f>VLOOKUP(J6,[1]CharPropertyConfig!$A:$G,7,FALSE)*K6</f>
        <v>600</v>
      </c>
      <c r="T6" s="11">
        <f>VLOOKUP(M6,[1]CharPropertyConfig!$A:$G,7,FALSE)*N6</f>
        <v>400</v>
      </c>
      <c r="U6" s="11">
        <f>VLOOKUP(P6,[1]CharPropertyConfig!$A:$G,7,FALSE)*Q6</f>
        <v>400</v>
      </c>
    </row>
    <row r="7" spans="1:21" x14ac:dyDescent="0.15">
      <c r="A7" s="14">
        <v>6</v>
      </c>
      <c r="B7" s="11" t="str">
        <f>CONCATENATE("高级",B4)</f>
        <v>高级正义艺术</v>
      </c>
      <c r="C7" s="15" t="str">
        <f t="shared" si="0"/>
        <v>115,120,0|110,16,25|112,16,50</v>
      </c>
      <c r="D7" s="15">
        <v>200</v>
      </c>
      <c r="E7" s="15">
        <v>100</v>
      </c>
      <c r="F7" s="14" t="s">
        <v>33</v>
      </c>
      <c r="G7" s="11">
        <v>3</v>
      </c>
      <c r="H7" s="13"/>
      <c r="I7" s="10">
        <f>VLOOKUP(J7,[1]CharPropertyConfig!$A:$G,7,FALSE)*K7+VLOOKUP(M7,[1]CharPropertyConfig!$A:$G,7,FALSE)*N7+VLOOKUP(P7,[1]CharPropertyConfig!$A:$G,7,FALSE)*Q7</f>
        <v>1400</v>
      </c>
      <c r="J7" s="15">
        <v>115</v>
      </c>
      <c r="K7" s="11">
        <f>K4*2</f>
        <v>120</v>
      </c>
      <c r="L7" s="11">
        <v>0</v>
      </c>
      <c r="M7" s="12">
        <v>110</v>
      </c>
      <c r="N7" s="11">
        <f>N4*2</f>
        <v>16</v>
      </c>
      <c r="O7" s="12">
        <v>25</v>
      </c>
      <c r="P7" s="10">
        <v>112</v>
      </c>
      <c r="Q7" s="11">
        <f>Q4*2</f>
        <v>16</v>
      </c>
      <c r="R7" s="10">
        <v>50</v>
      </c>
      <c r="S7" s="11">
        <f>VLOOKUP(J7,[1]CharPropertyConfig!$A:$G,7,FALSE)*K7</f>
        <v>600</v>
      </c>
      <c r="T7" s="11">
        <f>VLOOKUP(M7,[1]CharPropertyConfig!$A:$G,7,FALSE)*N7</f>
        <v>400</v>
      </c>
      <c r="U7" s="11">
        <f>VLOOKUP(P7,[1]CharPropertyConfig!$A:$G,7,FALSE)*Q7</f>
        <v>400</v>
      </c>
    </row>
    <row r="8" spans="1:21" x14ac:dyDescent="0.15">
      <c r="A8" s="14">
        <v>7</v>
      </c>
      <c r="B8" s="11" t="str">
        <f>CONCATENATE("顶级",B2)</f>
        <v>顶级生命本能</v>
      </c>
      <c r="C8" s="15" t="str">
        <f t="shared" si="0"/>
        <v>104,1200,0|109,32,25|114,32,50</v>
      </c>
      <c r="D8" s="15">
        <v>1</v>
      </c>
      <c r="E8" s="15">
        <v>100</v>
      </c>
      <c r="F8" s="14" t="s">
        <v>35</v>
      </c>
      <c r="G8" s="11">
        <v>4</v>
      </c>
      <c r="H8" s="13"/>
      <c r="I8" s="10">
        <f>VLOOKUP(J8,[1]CharPropertyConfig!$A:$G,7,FALSE)*K8+VLOOKUP(M8,[1]CharPropertyConfig!$A:$G,7,FALSE)*N8+VLOOKUP(P8,[1]CharPropertyConfig!$A:$G,7,FALSE)*Q8</f>
        <v>2800</v>
      </c>
      <c r="J8" s="15">
        <v>104</v>
      </c>
      <c r="K8" s="11">
        <f>K5*2</f>
        <v>1200</v>
      </c>
      <c r="L8" s="11">
        <v>0</v>
      </c>
      <c r="M8" s="12">
        <v>109</v>
      </c>
      <c r="N8" s="11">
        <f>N5*2</f>
        <v>32</v>
      </c>
      <c r="O8" s="12">
        <v>25</v>
      </c>
      <c r="P8" s="10">
        <v>114</v>
      </c>
      <c r="Q8" s="11">
        <f>Q5*2</f>
        <v>32</v>
      </c>
      <c r="R8" s="10">
        <v>50</v>
      </c>
      <c r="S8" s="11">
        <f>VLOOKUP(J8,[1]CharPropertyConfig!$A:$G,7,FALSE)*K8</f>
        <v>1200</v>
      </c>
      <c r="T8" s="11">
        <f>VLOOKUP(M8,[1]CharPropertyConfig!$A:$G,7,FALSE)*N8</f>
        <v>800</v>
      </c>
      <c r="U8" s="11">
        <f>VLOOKUP(P8,[1]CharPropertyConfig!$A:$G,7,FALSE)*Q8</f>
        <v>800</v>
      </c>
    </row>
    <row r="9" spans="1:21" x14ac:dyDescent="0.15">
      <c r="A9" s="14">
        <v>8</v>
      </c>
      <c r="B9" s="11" t="str">
        <f>CONCATENATE("顶级",B3)</f>
        <v>顶级圣灵意志</v>
      </c>
      <c r="C9" s="15" t="str">
        <f t="shared" si="0"/>
        <v>102,48,0|108,32,25|113,32,50</v>
      </c>
      <c r="D9" s="15">
        <v>100</v>
      </c>
      <c r="E9" s="15">
        <v>100</v>
      </c>
      <c r="F9" s="14" t="s">
        <v>32</v>
      </c>
      <c r="G9" s="11">
        <v>5</v>
      </c>
      <c r="H9" s="13"/>
      <c r="I9" s="10">
        <f>VLOOKUP(J9,[1]CharPropertyConfig!$A:$G,7,FALSE)*K9+VLOOKUP(M9,[1]CharPropertyConfig!$A:$G,7,FALSE)*N9+VLOOKUP(P9,[1]CharPropertyConfig!$A:$G,7,FALSE)*Q9</f>
        <v>2800</v>
      </c>
      <c r="J9" s="15">
        <v>102</v>
      </c>
      <c r="K9" s="11">
        <f>K6*2</f>
        <v>48</v>
      </c>
      <c r="L9" s="11">
        <v>0</v>
      </c>
      <c r="M9" s="12">
        <v>108</v>
      </c>
      <c r="N9" s="11">
        <f>N6*2</f>
        <v>32</v>
      </c>
      <c r="O9" s="12">
        <v>25</v>
      </c>
      <c r="P9" s="10">
        <v>113</v>
      </c>
      <c r="Q9" s="11">
        <f>Q6*2</f>
        <v>32</v>
      </c>
      <c r="R9" s="10">
        <v>50</v>
      </c>
      <c r="S9" s="11">
        <f>VLOOKUP(J9,[1]CharPropertyConfig!$A:$G,7,FALSE)*K9</f>
        <v>1200</v>
      </c>
      <c r="T9" s="11">
        <f>VLOOKUP(M9,[1]CharPropertyConfig!$A:$G,7,FALSE)*N9</f>
        <v>800</v>
      </c>
      <c r="U9" s="11">
        <f>VLOOKUP(P9,[1]CharPropertyConfig!$A:$G,7,FALSE)*Q9</f>
        <v>800</v>
      </c>
    </row>
    <row r="10" spans="1:21" x14ac:dyDescent="0.15">
      <c r="A10" s="14">
        <v>9</v>
      </c>
      <c r="B10" s="11" t="str">
        <f>CONCATENATE("顶级",B4)</f>
        <v>顶级正义艺术</v>
      </c>
      <c r="C10" s="15" t="str">
        <f t="shared" si="0"/>
        <v>115,240,0|110,32,25|112,32,50</v>
      </c>
      <c r="D10" s="15">
        <v>200</v>
      </c>
      <c r="E10" s="15">
        <v>100</v>
      </c>
      <c r="F10" s="14" t="s">
        <v>33</v>
      </c>
      <c r="G10" s="11">
        <v>6</v>
      </c>
      <c r="H10" s="13"/>
      <c r="I10" s="10">
        <f>VLOOKUP(J10,[1]CharPropertyConfig!$A:$G,7,FALSE)*K10+VLOOKUP(M10,[1]CharPropertyConfig!$A:$G,7,FALSE)*N10+VLOOKUP(P10,[1]CharPropertyConfig!$A:$G,7,FALSE)*Q10</f>
        <v>2800</v>
      </c>
      <c r="J10" s="15">
        <v>115</v>
      </c>
      <c r="K10" s="11">
        <f>K7*2</f>
        <v>240</v>
      </c>
      <c r="L10" s="11">
        <v>0</v>
      </c>
      <c r="M10" s="12">
        <v>110</v>
      </c>
      <c r="N10" s="11">
        <f>N7*2</f>
        <v>32</v>
      </c>
      <c r="O10" s="12">
        <v>25</v>
      </c>
      <c r="P10" s="10">
        <v>112</v>
      </c>
      <c r="Q10" s="11">
        <f>Q7*2</f>
        <v>32</v>
      </c>
      <c r="R10" s="10">
        <v>50</v>
      </c>
      <c r="S10" s="11">
        <f>VLOOKUP(J10,[1]CharPropertyConfig!$A:$G,7,FALSE)*K10</f>
        <v>1200</v>
      </c>
      <c r="T10" s="11">
        <f>VLOOKUP(M10,[1]CharPropertyConfig!$A:$G,7,FALSE)*N10</f>
        <v>800</v>
      </c>
      <c r="U10" s="11">
        <f>VLOOKUP(P10,[1]CharPropertyConfig!$A:$G,7,FALSE)*Q10</f>
        <v>800</v>
      </c>
    </row>
    <row r="11" spans="1:21" x14ac:dyDescent="0.15">
      <c r="A11" s="14">
        <v>10</v>
      </c>
      <c r="B11" s="14" t="s">
        <v>43</v>
      </c>
      <c r="C11" s="15" t="str">
        <f>CONCATENATE(J11,",",K11,",",L11,"|",M11,",",N11,",",O11,"|",P11,",",Q11,",",R11)</f>
        <v>101,12,0|106,8,25|107,8,50</v>
      </c>
      <c r="D11" s="15">
        <v>300</v>
      </c>
      <c r="E11" s="15">
        <v>100</v>
      </c>
      <c r="F11" s="14" t="s">
        <v>34</v>
      </c>
      <c r="G11" s="11">
        <v>7</v>
      </c>
      <c r="H11" s="13"/>
      <c r="I11" s="10">
        <f>VLOOKUP(J11,[1]CharPropertyConfig!$A:$G,7,FALSE)*K11+VLOOKUP(M11,[1]CharPropertyConfig!$A:$G,7,FALSE)*N11+VLOOKUP(P11,[1]CharPropertyConfig!$A:$G,7,FALSE)*Q11</f>
        <v>700</v>
      </c>
      <c r="J11" s="15">
        <v>101</v>
      </c>
      <c r="K11" s="11">
        <v>12</v>
      </c>
      <c r="L11" s="11">
        <v>0</v>
      </c>
      <c r="M11" s="13">
        <v>106</v>
      </c>
      <c r="N11" s="13">
        <v>8</v>
      </c>
      <c r="O11" s="13">
        <v>25</v>
      </c>
      <c r="P11" s="10">
        <v>107</v>
      </c>
      <c r="Q11" s="11">
        <v>8</v>
      </c>
      <c r="R11" s="10">
        <v>50</v>
      </c>
      <c r="S11" s="11">
        <f>VLOOKUP(J11,[1]CharPropertyConfig!$A:$G,7,FALSE)*K11</f>
        <v>300</v>
      </c>
      <c r="T11" s="11">
        <f>VLOOKUP(M11,[1]CharPropertyConfig!$A:$G,7,FALSE)*N11</f>
        <v>200</v>
      </c>
      <c r="U11" s="11">
        <f>VLOOKUP(P11,[1]CharPropertyConfig!$A:$G,7,FALSE)*Q11</f>
        <v>200</v>
      </c>
    </row>
    <row r="12" spans="1:21" x14ac:dyDescent="0.15">
      <c r="A12" s="14">
        <v>11</v>
      </c>
      <c r="B12" s="11" t="str">
        <f>CONCATENATE("高级",B11)</f>
        <v>高级审判怒火</v>
      </c>
      <c r="C12" s="15" t="str">
        <f>CONCATENATE(J12,",",K12,",",L12,"|",M12,",",N12,",",O12,"|",P12,",",Q12,",",R12)</f>
        <v>101,24,0|106,16,25|107,16,50</v>
      </c>
      <c r="D12" s="15">
        <v>300</v>
      </c>
      <c r="E12" s="15">
        <v>100</v>
      </c>
      <c r="F12" s="14" t="s">
        <v>34</v>
      </c>
      <c r="G12" s="11">
        <v>8</v>
      </c>
      <c r="H12" s="13"/>
      <c r="I12" s="10">
        <f>VLOOKUP(J12,[1]CharPropertyConfig!$A:$G,7,FALSE)*K12+VLOOKUP(M12,[1]CharPropertyConfig!$A:$G,7,FALSE)*N12+VLOOKUP(P12,[1]CharPropertyConfig!$A:$G,7,FALSE)*Q12</f>
        <v>1400</v>
      </c>
      <c r="J12" s="15">
        <v>101</v>
      </c>
      <c r="K12" s="11">
        <f>K11*2</f>
        <v>24</v>
      </c>
      <c r="L12" s="11">
        <v>0</v>
      </c>
      <c r="M12" s="13">
        <v>106</v>
      </c>
      <c r="N12" s="11">
        <f>N11*2</f>
        <v>16</v>
      </c>
      <c r="O12" s="13">
        <v>25</v>
      </c>
      <c r="P12" s="10">
        <v>107</v>
      </c>
      <c r="Q12" s="11">
        <f>Q11*2</f>
        <v>16</v>
      </c>
      <c r="R12" s="10">
        <v>50</v>
      </c>
      <c r="S12" s="11">
        <f>VLOOKUP(J12,[1]CharPropertyConfig!$A:$G,7,FALSE)*K12</f>
        <v>600</v>
      </c>
      <c r="T12" s="11">
        <f>VLOOKUP(M12,[1]CharPropertyConfig!$A:$G,7,FALSE)*N12</f>
        <v>400</v>
      </c>
      <c r="U12" s="11">
        <f>VLOOKUP(P12,[1]CharPropertyConfig!$A:$G,7,FALSE)*Q12</f>
        <v>400</v>
      </c>
    </row>
    <row r="13" spans="1:21" x14ac:dyDescent="0.15">
      <c r="A13" s="14">
        <v>12</v>
      </c>
      <c r="B13" s="11" t="str">
        <f>CONCATENATE("顶级",B11)</f>
        <v>顶级审判怒火</v>
      </c>
      <c r="C13" s="15" t="str">
        <f>CONCATENATE(J13,",",K13,",",L13,"|",M13,",",N13,",",O13,"|",P13,",",Q13,",",R13)</f>
        <v>101,48,0|106,32,25|107,32,50</v>
      </c>
      <c r="D13" s="15">
        <v>300</v>
      </c>
      <c r="E13" s="15">
        <v>100</v>
      </c>
      <c r="F13" s="14" t="s">
        <v>34</v>
      </c>
      <c r="G13" s="11">
        <v>9</v>
      </c>
      <c r="H13" s="13"/>
      <c r="I13" s="10">
        <f>VLOOKUP(J13,[1]CharPropertyConfig!$A:$G,7,FALSE)*K13+VLOOKUP(M13,[1]CharPropertyConfig!$A:$G,7,FALSE)*N13+VLOOKUP(P13,[1]CharPropertyConfig!$A:$G,7,FALSE)*Q13</f>
        <v>2800</v>
      </c>
      <c r="J13" s="15">
        <v>101</v>
      </c>
      <c r="K13" s="11">
        <f>K12*2</f>
        <v>48</v>
      </c>
      <c r="L13" s="11">
        <v>0</v>
      </c>
      <c r="M13" s="13">
        <v>106</v>
      </c>
      <c r="N13" s="11">
        <f>N12*2</f>
        <v>32</v>
      </c>
      <c r="O13" s="13">
        <v>25</v>
      </c>
      <c r="P13" s="10">
        <v>107</v>
      </c>
      <c r="Q13" s="11">
        <f>Q12*2</f>
        <v>32</v>
      </c>
      <c r="R13" s="10">
        <v>50</v>
      </c>
      <c r="S13" s="11">
        <f>VLOOKUP(J13,[1]CharPropertyConfig!$A:$G,7,FALSE)*K13</f>
        <v>1200</v>
      </c>
      <c r="T13" s="11">
        <f>VLOOKUP(M13,[1]CharPropertyConfig!$A:$G,7,FALSE)*N13</f>
        <v>800</v>
      </c>
      <c r="U13" s="11">
        <f>VLOOKUP(P13,[1]CharPropertyConfig!$A:$G,7,FALSE)*Q13</f>
        <v>800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ansMastery">
                <anchor moveWithCells="1" sizeWithCells="1">
                  <from>
                    <xdr:col>23</xdr:col>
                    <xdr:colOff>38100</xdr:colOff>
                    <xdr:row>2</xdr:row>
                    <xdr:rowOff>85725</xdr:rowOff>
                  </from>
                  <to>
                    <xdr:col>23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workbookViewId="0">
      <selection activeCell="B7" sqref="B7"/>
    </sheetView>
  </sheetViews>
  <sheetFormatPr defaultRowHeight="13.5" x14ac:dyDescent="0.15"/>
  <cols>
    <col min="1" max="1" width="11.625" bestFit="1" customWidth="1"/>
    <col min="2" max="2" width="25" bestFit="1" customWidth="1"/>
    <col min="3" max="3" width="9" bestFit="1" customWidth="1"/>
    <col min="4" max="4" width="18.625" bestFit="1" customWidth="1"/>
  </cols>
  <sheetData>
    <row r="1" spans="1:4" x14ac:dyDescent="0.15">
      <c r="A1" s="2" t="s">
        <v>20</v>
      </c>
      <c r="B1" s="2" t="s">
        <v>19</v>
      </c>
      <c r="C1" s="2" t="s">
        <v>15</v>
      </c>
      <c r="D1" s="2" t="s">
        <v>1</v>
      </c>
    </row>
    <row r="2" spans="1:4" x14ac:dyDescent="0.15">
      <c r="A2" s="2" t="s">
        <v>0</v>
      </c>
      <c r="B2" s="3">
        <v>1</v>
      </c>
      <c r="C2" s="2" t="s">
        <v>16</v>
      </c>
      <c r="D2" s="4" t="s">
        <v>2</v>
      </c>
    </row>
    <row r="3" spans="1:4" x14ac:dyDescent="0.15">
      <c r="A3" s="2" t="s">
        <v>8</v>
      </c>
      <c r="B3" s="3" t="s">
        <v>5</v>
      </c>
      <c r="C3" s="2" t="s">
        <v>17</v>
      </c>
      <c r="D3" s="4" t="s">
        <v>3</v>
      </c>
    </row>
    <row r="4" spans="1:4" x14ac:dyDescent="0.15">
      <c r="A4" s="2" t="s">
        <v>9</v>
      </c>
      <c r="B4" s="3" t="s">
        <v>6</v>
      </c>
      <c r="C4" s="2" t="s">
        <v>18</v>
      </c>
      <c r="D4" s="4" t="s">
        <v>4</v>
      </c>
    </row>
    <row r="5" spans="1:4" x14ac:dyDescent="0.15">
      <c r="A5" s="2" t="s">
        <v>10</v>
      </c>
      <c r="B5" s="3">
        <v>1</v>
      </c>
      <c r="C5" s="2" t="s">
        <v>16</v>
      </c>
      <c r="D5" s="4" t="s">
        <v>7</v>
      </c>
    </row>
    <row r="6" spans="1:4" x14ac:dyDescent="0.15">
      <c r="A6" s="8" t="s">
        <v>28</v>
      </c>
      <c r="B6">
        <v>70</v>
      </c>
      <c r="C6" s="8" t="s">
        <v>30</v>
      </c>
      <c r="D6" s="9" t="s">
        <v>29</v>
      </c>
    </row>
    <row r="7" spans="1:4" x14ac:dyDescent="0.15">
      <c r="D7" s="1"/>
    </row>
    <row r="8" spans="1:4" x14ac:dyDescent="0.15">
      <c r="D8" s="1"/>
    </row>
    <row r="10" spans="1:4" x14ac:dyDescent="0.15">
      <c r="D10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01"/>
  <sheetViews>
    <sheetView workbookViewId="0">
      <pane ySplit="10" topLeftCell="A11" activePane="bottomLeft" state="frozenSplit"/>
      <selection pane="bottomLeft" activeCell="O45" sqref="O45"/>
    </sheetView>
  </sheetViews>
  <sheetFormatPr defaultRowHeight="13.5" x14ac:dyDescent="0.15"/>
  <cols>
    <col min="1" max="1" width="4" style="10" bestFit="1" customWidth="1"/>
    <col min="2" max="2" width="5.125" style="10" bestFit="1" customWidth="1"/>
    <col min="3" max="3" width="9.625" style="10" bestFit="1" customWidth="1"/>
    <col min="4" max="4" width="8.5" style="10" bestFit="1" customWidth="1"/>
    <col min="5" max="5" width="14.5" style="10" bestFit="1" customWidth="1"/>
    <col min="6" max="6" width="7.5" style="10" bestFit="1" customWidth="1"/>
    <col min="7" max="7" width="7.5" style="10" customWidth="1"/>
    <col min="8" max="8" width="10.5" style="10" bestFit="1" customWidth="1"/>
    <col min="9" max="9" width="12.25" style="10" bestFit="1" customWidth="1"/>
    <col min="10" max="16384" width="9" style="10"/>
  </cols>
  <sheetData>
    <row r="1" spans="1:13" x14ac:dyDescent="0.15">
      <c r="A1" s="17" t="s">
        <v>36</v>
      </c>
      <c r="B1" s="17" t="s">
        <v>37</v>
      </c>
      <c r="C1" s="17" t="s">
        <v>38</v>
      </c>
      <c r="D1" s="17" t="s">
        <v>39</v>
      </c>
      <c r="E1" s="17" t="s">
        <v>40</v>
      </c>
      <c r="F1" s="17" t="s">
        <v>41</v>
      </c>
      <c r="G1" s="19" t="s">
        <v>48</v>
      </c>
      <c r="H1" s="10" t="s">
        <v>46</v>
      </c>
      <c r="I1" s="10" t="s">
        <v>47</v>
      </c>
    </row>
    <row r="2" spans="1:13" x14ac:dyDescent="0.15">
      <c r="A2" s="14">
        <v>1</v>
      </c>
      <c r="B2" s="14">
        <v>1</v>
      </c>
      <c r="C2" s="16">
        <v>21</v>
      </c>
      <c r="D2" s="15">
        <f>INT(MAX(12,I2*1.5))</f>
        <v>12</v>
      </c>
      <c r="E2" s="14">
        <f>B2+179</f>
        <v>180</v>
      </c>
      <c r="F2" s="14">
        <f>B2*masteryConfig!S$2+MAX(masteryExpConfig!B2-24,0)*masteryConfig!T$2+MAX(masteryExpConfig!B2-49,0)*masteryConfig!U$2</f>
        <v>300</v>
      </c>
      <c r="G2" s="12">
        <v>1</v>
      </c>
      <c r="H2" s="18">
        <f>IF(A2=1,F2/(SUM(D$2:D2)*4),0)</f>
        <v>6.25</v>
      </c>
      <c r="I2" s="10">
        <v>1</v>
      </c>
      <c r="M2" s="10">
        <f>MAX(F:F)*4</f>
        <v>221600</v>
      </c>
    </row>
    <row r="3" spans="1:13" x14ac:dyDescent="0.15">
      <c r="A3" s="14">
        <v>1</v>
      </c>
      <c r="B3" s="14">
        <v>2</v>
      </c>
      <c r="C3" s="14">
        <v>21</v>
      </c>
      <c r="D3" s="15">
        <f t="shared" ref="D3:D66" si="0">INT(MAX(12,I3*1.5))</f>
        <v>12</v>
      </c>
      <c r="E3" s="14">
        <f t="shared" ref="E3:E66" si="1">B3+179</f>
        <v>181</v>
      </c>
      <c r="F3" s="14">
        <f>B3*masteryConfig!S$2+MAX(masteryExpConfig!B3-24,0)*masteryConfig!T$2+MAX(masteryExpConfig!B3-49,0)*masteryConfig!U$2</f>
        <v>600</v>
      </c>
      <c r="G3" s="12">
        <v>1</v>
      </c>
      <c r="H3" s="18">
        <f>IF(A3=1,F3/(SUM(D$2:D3)*4),0)</f>
        <v>6.25</v>
      </c>
      <c r="I3" s="10">
        <v>2</v>
      </c>
    </row>
    <row r="4" spans="1:13" x14ac:dyDescent="0.15">
      <c r="A4" s="14">
        <v>1</v>
      </c>
      <c r="B4" s="14">
        <v>3</v>
      </c>
      <c r="C4" s="14">
        <v>21</v>
      </c>
      <c r="D4" s="15">
        <f t="shared" si="0"/>
        <v>12</v>
      </c>
      <c r="E4" s="14">
        <f t="shared" si="1"/>
        <v>182</v>
      </c>
      <c r="F4" s="14">
        <f>B4*masteryConfig!S$2+MAX(masteryExpConfig!B4-24,0)*masteryConfig!T$2+MAX(masteryExpConfig!B4-49,0)*masteryConfig!U$2</f>
        <v>900</v>
      </c>
      <c r="G4" s="12">
        <v>1</v>
      </c>
      <c r="H4" s="18">
        <f>IF(A4=1,F4/(SUM(D$2:D4)*4),0)</f>
        <v>6.25</v>
      </c>
      <c r="I4" s="10">
        <v>3</v>
      </c>
    </row>
    <row r="5" spans="1:13" x14ac:dyDescent="0.15">
      <c r="A5" s="14">
        <v>1</v>
      </c>
      <c r="B5" s="14">
        <v>4</v>
      </c>
      <c r="C5" s="14">
        <v>21</v>
      </c>
      <c r="D5" s="15">
        <f t="shared" si="0"/>
        <v>12</v>
      </c>
      <c r="E5" s="14">
        <f t="shared" si="1"/>
        <v>183</v>
      </c>
      <c r="F5" s="14">
        <f>B5*masteryConfig!S$2+MAX(masteryExpConfig!B5-24,0)*masteryConfig!T$2+MAX(masteryExpConfig!B5-49,0)*masteryConfig!U$2</f>
        <v>1200</v>
      </c>
      <c r="G5" s="12">
        <v>1</v>
      </c>
      <c r="H5" s="18">
        <f>IF(A5=1,F5/(SUM(D$2:D5)*4),0)</f>
        <v>6.25</v>
      </c>
      <c r="I5" s="10">
        <v>4</v>
      </c>
    </row>
    <row r="6" spans="1:13" x14ac:dyDescent="0.15">
      <c r="A6" s="14">
        <v>1</v>
      </c>
      <c r="B6" s="14">
        <v>5</v>
      </c>
      <c r="C6" s="14">
        <v>21</v>
      </c>
      <c r="D6" s="15">
        <f t="shared" si="0"/>
        <v>12</v>
      </c>
      <c r="E6" s="14">
        <f t="shared" si="1"/>
        <v>184</v>
      </c>
      <c r="F6" s="14">
        <f>B6*masteryConfig!S$2+MAX(masteryExpConfig!B6-24,0)*masteryConfig!T$2+MAX(masteryExpConfig!B6-49,0)*masteryConfig!U$2</f>
        <v>1500</v>
      </c>
      <c r="G6" s="12">
        <v>1</v>
      </c>
      <c r="H6" s="18">
        <f>IF(A6=1,F6/(SUM(D$2:D6)*4),0)</f>
        <v>6.25</v>
      </c>
      <c r="I6" s="10">
        <v>5</v>
      </c>
    </row>
    <row r="7" spans="1:13" x14ac:dyDescent="0.15">
      <c r="A7" s="14">
        <v>1</v>
      </c>
      <c r="B7" s="14">
        <v>6</v>
      </c>
      <c r="C7" s="14">
        <v>21</v>
      </c>
      <c r="D7" s="15">
        <f t="shared" si="0"/>
        <v>12</v>
      </c>
      <c r="E7" s="14">
        <f t="shared" si="1"/>
        <v>185</v>
      </c>
      <c r="F7" s="14">
        <f>B7*masteryConfig!S$2+MAX(masteryExpConfig!B7-24,0)*masteryConfig!T$2+MAX(masteryExpConfig!B7-49,0)*masteryConfig!U$2</f>
        <v>1800</v>
      </c>
      <c r="G7" s="12">
        <v>1</v>
      </c>
      <c r="H7" s="18">
        <f>IF(A7=1,F7/(SUM(D$2:D7)*4),0)</f>
        <v>6.25</v>
      </c>
      <c r="I7" s="10">
        <v>6</v>
      </c>
    </row>
    <row r="8" spans="1:13" x14ac:dyDescent="0.15">
      <c r="A8" s="14">
        <v>1</v>
      </c>
      <c r="B8" s="14">
        <v>7</v>
      </c>
      <c r="C8" s="14">
        <v>21</v>
      </c>
      <c r="D8" s="15">
        <f t="shared" si="0"/>
        <v>12</v>
      </c>
      <c r="E8" s="14">
        <f t="shared" si="1"/>
        <v>186</v>
      </c>
      <c r="F8" s="14">
        <f>B8*masteryConfig!S$2+MAX(masteryExpConfig!B8-24,0)*masteryConfig!T$2+MAX(masteryExpConfig!B8-49,0)*masteryConfig!U$2</f>
        <v>2100</v>
      </c>
      <c r="G8" s="12">
        <v>1</v>
      </c>
      <c r="H8" s="18">
        <f>IF(A8=1,F8/(SUM(D$2:D8)*4),0)</f>
        <v>6.25</v>
      </c>
      <c r="I8" s="10">
        <v>7</v>
      </c>
    </row>
    <row r="9" spans="1:13" x14ac:dyDescent="0.15">
      <c r="A9" s="14">
        <v>1</v>
      </c>
      <c r="B9" s="14">
        <v>8</v>
      </c>
      <c r="C9" s="14">
        <v>21</v>
      </c>
      <c r="D9" s="15">
        <f t="shared" si="0"/>
        <v>12</v>
      </c>
      <c r="E9" s="14">
        <f t="shared" si="1"/>
        <v>187</v>
      </c>
      <c r="F9" s="14">
        <f>B9*masteryConfig!S$2+MAX(masteryExpConfig!B9-24,0)*masteryConfig!T$2+MAX(masteryExpConfig!B9-49,0)*masteryConfig!U$2</f>
        <v>2400</v>
      </c>
      <c r="G9" s="12">
        <v>1</v>
      </c>
      <c r="H9" s="18">
        <f>IF(A9=1,F9/(SUM(D$2:D9)*4),0)</f>
        <v>6.25</v>
      </c>
      <c r="I9" s="10">
        <v>8</v>
      </c>
    </row>
    <row r="10" spans="1:13" x14ac:dyDescent="0.15">
      <c r="A10" s="14">
        <v>1</v>
      </c>
      <c r="B10" s="14">
        <v>9</v>
      </c>
      <c r="C10" s="14">
        <v>21</v>
      </c>
      <c r="D10" s="15">
        <f t="shared" si="0"/>
        <v>13</v>
      </c>
      <c r="E10" s="14">
        <f t="shared" si="1"/>
        <v>188</v>
      </c>
      <c r="F10" s="14">
        <f>B10*masteryConfig!S$2+MAX(masteryExpConfig!B10-24,0)*masteryConfig!T$2+MAX(masteryExpConfig!B10-49,0)*masteryConfig!U$2</f>
        <v>2700</v>
      </c>
      <c r="G10" s="12">
        <v>1</v>
      </c>
      <c r="H10" s="18">
        <f>IF(A10=1,F10/(SUM(D$2:D10)*4),0)</f>
        <v>6.192660550458716</v>
      </c>
      <c r="I10" s="10">
        <v>9</v>
      </c>
    </row>
    <row r="11" spans="1:13" x14ac:dyDescent="0.15">
      <c r="A11" s="14">
        <v>1</v>
      </c>
      <c r="B11" s="14">
        <v>10</v>
      </c>
      <c r="C11" s="14">
        <v>21</v>
      </c>
      <c r="D11" s="15">
        <f t="shared" si="0"/>
        <v>15</v>
      </c>
      <c r="E11" s="14">
        <f t="shared" si="1"/>
        <v>189</v>
      </c>
      <c r="F11" s="14">
        <f>B11*masteryConfig!S$2+MAX(masteryExpConfig!B11-24,0)*masteryConfig!T$2+MAX(masteryExpConfig!B11-49,0)*masteryConfig!U$2</f>
        <v>3000</v>
      </c>
      <c r="G11" s="12">
        <v>1</v>
      </c>
      <c r="H11" s="18">
        <f>IF(A11=1,F11/(SUM(D$2:D11)*4),0)</f>
        <v>6.0483870967741939</v>
      </c>
      <c r="I11" s="10">
        <v>10</v>
      </c>
    </row>
    <row r="12" spans="1:13" x14ac:dyDescent="0.15">
      <c r="A12" s="14">
        <v>1</v>
      </c>
      <c r="B12" s="14">
        <v>11</v>
      </c>
      <c r="C12" s="14">
        <v>21</v>
      </c>
      <c r="D12" s="15">
        <f t="shared" si="0"/>
        <v>16</v>
      </c>
      <c r="E12" s="14">
        <f t="shared" si="1"/>
        <v>190</v>
      </c>
      <c r="F12" s="14">
        <f>B12*masteryConfig!S$2+MAX(masteryExpConfig!B12-24,0)*masteryConfig!T$2+MAX(masteryExpConfig!B12-49,0)*masteryConfig!U$2</f>
        <v>3300</v>
      </c>
      <c r="G12" s="12">
        <v>1</v>
      </c>
      <c r="H12" s="18">
        <f>IF(A12=1,F12/(SUM(D$2:D12)*4),0)</f>
        <v>5.8928571428571432</v>
      </c>
      <c r="I12" s="10">
        <v>11</v>
      </c>
    </row>
    <row r="13" spans="1:13" x14ac:dyDescent="0.15">
      <c r="A13" s="14">
        <v>1</v>
      </c>
      <c r="B13" s="14">
        <v>12</v>
      </c>
      <c r="C13" s="14">
        <v>21</v>
      </c>
      <c r="D13" s="15">
        <f t="shared" si="0"/>
        <v>18</v>
      </c>
      <c r="E13" s="14">
        <f t="shared" si="1"/>
        <v>191</v>
      </c>
      <c r="F13" s="14">
        <f>B13*masteryConfig!S$2+MAX(masteryExpConfig!B13-24,0)*masteryConfig!T$2+MAX(masteryExpConfig!B13-49,0)*masteryConfig!U$2</f>
        <v>3600</v>
      </c>
      <c r="G13" s="12">
        <v>1</v>
      </c>
      <c r="H13" s="18">
        <f>IF(A13=1,F13/(SUM(D$2:D13)*4),0)</f>
        <v>5.6962025316455698</v>
      </c>
      <c r="I13" s="10">
        <v>12</v>
      </c>
    </row>
    <row r="14" spans="1:13" x14ac:dyDescent="0.15">
      <c r="A14" s="14">
        <v>1</v>
      </c>
      <c r="B14" s="14">
        <v>13</v>
      </c>
      <c r="C14" s="14">
        <v>21</v>
      </c>
      <c r="D14" s="15">
        <f t="shared" si="0"/>
        <v>19</v>
      </c>
      <c r="E14" s="14">
        <f t="shared" si="1"/>
        <v>192</v>
      </c>
      <c r="F14" s="14">
        <f>B14*masteryConfig!S$2+MAX(masteryExpConfig!B14-24,0)*masteryConfig!T$2+MAX(masteryExpConfig!B14-49,0)*masteryConfig!U$2</f>
        <v>3900</v>
      </c>
      <c r="G14" s="12">
        <v>1</v>
      </c>
      <c r="H14" s="18">
        <f>IF(A14=1,F14/(SUM(D$2:D14)*4),0)</f>
        <v>5.5084745762711869</v>
      </c>
      <c r="I14" s="10">
        <v>13</v>
      </c>
    </row>
    <row r="15" spans="1:13" x14ac:dyDescent="0.15">
      <c r="A15" s="14">
        <v>1</v>
      </c>
      <c r="B15" s="14">
        <v>14</v>
      </c>
      <c r="C15" s="14">
        <v>21</v>
      </c>
      <c r="D15" s="15">
        <f t="shared" si="0"/>
        <v>21</v>
      </c>
      <c r="E15" s="14">
        <f t="shared" si="1"/>
        <v>193</v>
      </c>
      <c r="F15" s="14">
        <f>B15*masteryConfig!S$2+MAX(masteryExpConfig!B15-24,0)*masteryConfig!T$2+MAX(masteryExpConfig!B15-49,0)*masteryConfig!U$2</f>
        <v>4200</v>
      </c>
      <c r="G15" s="12">
        <v>1</v>
      </c>
      <c r="H15" s="18">
        <f>IF(A15=1,F15/(SUM(D$2:D15)*4),0)</f>
        <v>5.3030303030303028</v>
      </c>
      <c r="I15" s="10">
        <v>14</v>
      </c>
    </row>
    <row r="16" spans="1:13" x14ac:dyDescent="0.15">
      <c r="A16" s="14">
        <v>1</v>
      </c>
      <c r="B16" s="14">
        <v>15</v>
      </c>
      <c r="C16" s="14">
        <v>21</v>
      </c>
      <c r="D16" s="15">
        <f t="shared" si="0"/>
        <v>22</v>
      </c>
      <c r="E16" s="14">
        <f t="shared" si="1"/>
        <v>194</v>
      </c>
      <c r="F16" s="14">
        <f>B16*masteryConfig!S$2+MAX(masteryExpConfig!B16-24,0)*masteryConfig!T$2+MAX(masteryExpConfig!B16-49,0)*masteryConfig!U$2</f>
        <v>4500</v>
      </c>
      <c r="G16" s="12">
        <v>1</v>
      </c>
      <c r="H16" s="18">
        <f>IF(A16=1,F16/(SUM(D$2:D16)*4),0)</f>
        <v>5.1136363636363633</v>
      </c>
      <c r="I16" s="10">
        <v>15</v>
      </c>
    </row>
    <row r="17" spans="1:9" x14ac:dyDescent="0.15">
      <c r="A17" s="14">
        <v>1</v>
      </c>
      <c r="B17" s="14">
        <v>16</v>
      </c>
      <c r="C17" s="14">
        <v>21</v>
      </c>
      <c r="D17" s="15">
        <f t="shared" si="0"/>
        <v>24</v>
      </c>
      <c r="E17" s="14">
        <f t="shared" si="1"/>
        <v>195</v>
      </c>
      <c r="F17" s="14">
        <f>B17*masteryConfig!S$2+MAX(masteryExpConfig!B17-24,0)*masteryConfig!T$2+MAX(masteryExpConfig!B17-49,0)*masteryConfig!U$2</f>
        <v>4800</v>
      </c>
      <c r="G17" s="12">
        <v>1</v>
      </c>
      <c r="H17" s="18">
        <f>IF(A17=1,F17/(SUM(D$2:D17)*4),0)</f>
        <v>4.918032786885246</v>
      </c>
      <c r="I17" s="10">
        <v>16</v>
      </c>
    </row>
    <row r="18" spans="1:9" x14ac:dyDescent="0.15">
      <c r="A18" s="14">
        <v>1</v>
      </c>
      <c r="B18" s="14">
        <v>17</v>
      </c>
      <c r="C18" s="14">
        <v>21</v>
      </c>
      <c r="D18" s="15">
        <f t="shared" si="0"/>
        <v>25</v>
      </c>
      <c r="E18" s="14">
        <f t="shared" si="1"/>
        <v>196</v>
      </c>
      <c r="F18" s="14">
        <f>B18*masteryConfig!S$2+MAX(masteryExpConfig!B18-24,0)*masteryConfig!T$2+MAX(masteryExpConfig!B18-49,0)*masteryConfig!U$2</f>
        <v>5100</v>
      </c>
      <c r="G18" s="12">
        <v>1</v>
      </c>
      <c r="H18" s="18">
        <f>IF(A18=1,F18/(SUM(D$2:D18)*4),0)</f>
        <v>4.7397769516728623</v>
      </c>
      <c r="I18" s="10">
        <v>17</v>
      </c>
    </row>
    <row r="19" spans="1:9" x14ac:dyDescent="0.15">
      <c r="A19" s="14">
        <v>1</v>
      </c>
      <c r="B19" s="14">
        <v>18</v>
      </c>
      <c r="C19" s="14">
        <v>21</v>
      </c>
      <c r="D19" s="15">
        <f t="shared" si="0"/>
        <v>27</v>
      </c>
      <c r="E19" s="14">
        <f t="shared" si="1"/>
        <v>197</v>
      </c>
      <c r="F19" s="14">
        <f>B19*masteryConfig!S$2+MAX(masteryExpConfig!B19-24,0)*masteryConfig!T$2+MAX(masteryExpConfig!B19-49,0)*masteryConfig!U$2</f>
        <v>5400</v>
      </c>
      <c r="G19" s="12">
        <v>1</v>
      </c>
      <c r="H19" s="18">
        <f>IF(A19=1,F19/(SUM(D$2:D19)*4),0)</f>
        <v>4.5608108108108105</v>
      </c>
      <c r="I19" s="10">
        <v>18</v>
      </c>
    </row>
    <row r="20" spans="1:9" x14ac:dyDescent="0.15">
      <c r="A20" s="14">
        <v>1</v>
      </c>
      <c r="B20" s="14">
        <v>19</v>
      </c>
      <c r="C20" s="14">
        <v>21</v>
      </c>
      <c r="D20" s="15">
        <f t="shared" si="0"/>
        <v>28</v>
      </c>
      <c r="E20" s="14">
        <f t="shared" si="1"/>
        <v>198</v>
      </c>
      <c r="F20" s="14">
        <f>B20*masteryConfig!S$2+MAX(masteryExpConfig!B20-24,0)*masteryConfig!T$2+MAX(masteryExpConfig!B20-49,0)*masteryConfig!U$2</f>
        <v>5700</v>
      </c>
      <c r="G20" s="12">
        <v>1</v>
      </c>
      <c r="H20" s="18">
        <f>IF(A20=1,F20/(SUM(D$2:D20)*4),0)</f>
        <v>4.3981481481481479</v>
      </c>
      <c r="I20" s="10">
        <v>19</v>
      </c>
    </row>
    <row r="21" spans="1:9" x14ac:dyDescent="0.15">
      <c r="A21" s="14">
        <v>1</v>
      </c>
      <c r="B21" s="14">
        <v>20</v>
      </c>
      <c r="C21" s="14">
        <v>21</v>
      </c>
      <c r="D21" s="15">
        <f t="shared" si="0"/>
        <v>30</v>
      </c>
      <c r="E21" s="14">
        <f t="shared" si="1"/>
        <v>199</v>
      </c>
      <c r="F21" s="14">
        <f>B21*masteryConfig!S$2+MAX(masteryExpConfig!B21-24,0)*masteryConfig!T$2+MAX(masteryExpConfig!B21-49,0)*masteryConfig!U$2</f>
        <v>6000</v>
      </c>
      <c r="G21" s="12">
        <v>1</v>
      </c>
      <c r="H21" s="18">
        <f>IF(A21=1,F21/(SUM(D$2:D21)*4),0)</f>
        <v>4.2372881355932206</v>
      </c>
      <c r="I21" s="10">
        <v>20</v>
      </c>
    </row>
    <row r="22" spans="1:9" x14ac:dyDescent="0.15">
      <c r="A22" s="14">
        <v>1</v>
      </c>
      <c r="B22" s="14">
        <v>21</v>
      </c>
      <c r="C22" s="14">
        <v>21</v>
      </c>
      <c r="D22" s="15">
        <f t="shared" si="0"/>
        <v>31</v>
      </c>
      <c r="E22" s="14">
        <f t="shared" si="1"/>
        <v>200</v>
      </c>
      <c r="F22" s="14">
        <f>B22*masteryConfig!S$2+MAX(masteryExpConfig!B22-24,0)*masteryConfig!T$2+MAX(masteryExpConfig!B22-49,0)*masteryConfig!U$2</f>
        <v>6300</v>
      </c>
      <c r="G22" s="12">
        <v>1</v>
      </c>
      <c r="H22" s="18">
        <f>IF(A22=1,F22/(SUM(D$2:D22)*4),0)</f>
        <v>4.0909090909090908</v>
      </c>
      <c r="I22" s="10">
        <v>21</v>
      </c>
    </row>
    <row r="23" spans="1:9" x14ac:dyDescent="0.15">
      <c r="A23" s="14">
        <v>1</v>
      </c>
      <c r="B23" s="14">
        <v>22</v>
      </c>
      <c r="C23" s="14">
        <v>21</v>
      </c>
      <c r="D23" s="15">
        <f t="shared" si="0"/>
        <v>33</v>
      </c>
      <c r="E23" s="14">
        <f t="shared" si="1"/>
        <v>201</v>
      </c>
      <c r="F23" s="14">
        <f>B23*masteryConfig!S$2+MAX(masteryExpConfig!B23-24,0)*masteryConfig!T$2+MAX(masteryExpConfig!B23-49,0)*masteryConfig!U$2</f>
        <v>6600</v>
      </c>
      <c r="G23" s="12">
        <v>1</v>
      </c>
      <c r="H23" s="18">
        <f>IF(A23=1,F23/(SUM(D$2:D23)*4),0)</f>
        <v>3.9473684210526314</v>
      </c>
      <c r="I23" s="10">
        <v>22</v>
      </c>
    </row>
    <row r="24" spans="1:9" x14ac:dyDescent="0.15">
      <c r="A24" s="14">
        <v>1</v>
      </c>
      <c r="B24" s="14">
        <v>23</v>
      </c>
      <c r="C24" s="14">
        <v>21</v>
      </c>
      <c r="D24" s="15">
        <f t="shared" si="0"/>
        <v>34</v>
      </c>
      <c r="E24" s="14">
        <f t="shared" si="1"/>
        <v>202</v>
      </c>
      <c r="F24" s="14">
        <f>B24*masteryConfig!S$2+MAX(masteryExpConfig!B24-24,0)*masteryConfig!T$2+MAX(masteryExpConfig!B24-49,0)*masteryConfig!U$2</f>
        <v>6900</v>
      </c>
      <c r="G24" s="12">
        <v>1</v>
      </c>
      <c r="H24" s="18">
        <f>IF(A24=1,F24/(SUM(D$2:D24)*4),0)</f>
        <v>3.8163716814159292</v>
      </c>
      <c r="I24" s="10">
        <v>23</v>
      </c>
    </row>
    <row r="25" spans="1:9" x14ac:dyDescent="0.15">
      <c r="A25" s="14">
        <v>1</v>
      </c>
      <c r="B25" s="14">
        <v>24</v>
      </c>
      <c r="C25" s="14">
        <v>21</v>
      </c>
      <c r="D25" s="15">
        <f t="shared" si="0"/>
        <v>36</v>
      </c>
      <c r="E25" s="14">
        <f t="shared" si="1"/>
        <v>203</v>
      </c>
      <c r="F25" s="14">
        <f>B25*masteryConfig!S$2+MAX(masteryExpConfig!B25-24,0)*masteryConfig!T$2+MAX(masteryExpConfig!B25-49,0)*masteryConfig!U$2</f>
        <v>7200</v>
      </c>
      <c r="G25" s="12">
        <v>1</v>
      </c>
      <c r="H25" s="18">
        <f>IF(A25=1,F25/(SUM(D$2:D25)*4),0)</f>
        <v>3.6885245901639343</v>
      </c>
      <c r="I25" s="10">
        <v>24</v>
      </c>
    </row>
    <row r="26" spans="1:9" x14ac:dyDescent="0.15">
      <c r="A26" s="14">
        <v>1</v>
      </c>
      <c r="B26" s="14">
        <v>25</v>
      </c>
      <c r="C26" s="14">
        <v>21</v>
      </c>
      <c r="D26" s="15">
        <f t="shared" si="0"/>
        <v>37</v>
      </c>
      <c r="E26" s="14">
        <f t="shared" si="1"/>
        <v>204</v>
      </c>
      <c r="F26" s="14">
        <f>B26*masteryConfig!S$2+MAX(masteryExpConfig!B26-24,0)*masteryConfig!T$2+MAX(masteryExpConfig!B26-49,0)*masteryConfig!U$2</f>
        <v>7700</v>
      </c>
      <c r="G26" s="12">
        <v>2</v>
      </c>
      <c r="H26" s="18">
        <f>IF(A26=1,F26/(SUM(D$2:D26)*4),0)</f>
        <v>3.6666666666666665</v>
      </c>
      <c r="I26" s="10">
        <v>25</v>
      </c>
    </row>
    <row r="27" spans="1:9" x14ac:dyDescent="0.15">
      <c r="A27" s="14">
        <v>1</v>
      </c>
      <c r="B27" s="14">
        <v>26</v>
      </c>
      <c r="C27" s="14">
        <v>21</v>
      </c>
      <c r="D27" s="15">
        <f t="shared" si="0"/>
        <v>40</v>
      </c>
      <c r="E27" s="14">
        <f t="shared" si="1"/>
        <v>205</v>
      </c>
      <c r="F27" s="14">
        <f>B27*masteryConfig!S$2+MAX(masteryExpConfig!B27-24,0)*masteryConfig!T$2+MAX(masteryExpConfig!B27-49,0)*masteryConfig!U$2</f>
        <v>8200</v>
      </c>
      <c r="G27" s="12">
        <v>2</v>
      </c>
      <c r="H27" s="18">
        <f>IF(A27=1,F27/(SUM(D$2:D27)*4),0)</f>
        <v>3.6283185840707963</v>
      </c>
      <c r="I27" s="10">
        <v>27</v>
      </c>
    </row>
    <row r="28" spans="1:9" x14ac:dyDescent="0.15">
      <c r="A28" s="14">
        <v>1</v>
      </c>
      <c r="B28" s="14">
        <v>27</v>
      </c>
      <c r="C28" s="14">
        <v>21</v>
      </c>
      <c r="D28" s="15">
        <f t="shared" si="0"/>
        <v>43</v>
      </c>
      <c r="E28" s="14">
        <f t="shared" si="1"/>
        <v>206</v>
      </c>
      <c r="F28" s="14">
        <f>B28*masteryConfig!S$2+MAX(masteryExpConfig!B28-24,0)*masteryConfig!T$2+MAX(masteryExpConfig!B28-49,0)*masteryConfig!U$2</f>
        <v>8700</v>
      </c>
      <c r="G28" s="12">
        <v>2</v>
      </c>
      <c r="H28" s="18">
        <f>IF(A28=1,F28/(SUM(D$2:D28)*4),0)</f>
        <v>3.5773026315789473</v>
      </c>
      <c r="I28" s="10">
        <v>29</v>
      </c>
    </row>
    <row r="29" spans="1:9" x14ac:dyDescent="0.15">
      <c r="A29" s="14">
        <v>1</v>
      </c>
      <c r="B29" s="14">
        <v>28</v>
      </c>
      <c r="C29" s="14">
        <v>21</v>
      </c>
      <c r="D29" s="15">
        <f t="shared" si="0"/>
        <v>46</v>
      </c>
      <c r="E29" s="14">
        <f t="shared" si="1"/>
        <v>207</v>
      </c>
      <c r="F29" s="14">
        <f>B29*masteryConfig!S$2+MAX(masteryExpConfig!B29-24,0)*masteryConfig!T$2+MAX(masteryExpConfig!B29-49,0)*masteryConfig!U$2</f>
        <v>9200</v>
      </c>
      <c r="G29" s="12">
        <v>2</v>
      </c>
      <c r="H29" s="18">
        <f>IF(A29=1,F29/(SUM(D$2:D29)*4),0)</f>
        <v>3.5168195718654434</v>
      </c>
      <c r="I29" s="10">
        <v>31</v>
      </c>
    </row>
    <row r="30" spans="1:9" x14ac:dyDescent="0.15">
      <c r="A30" s="14">
        <v>1</v>
      </c>
      <c r="B30" s="14">
        <v>29</v>
      </c>
      <c r="C30" s="14">
        <v>21</v>
      </c>
      <c r="D30" s="15">
        <f t="shared" si="0"/>
        <v>49</v>
      </c>
      <c r="E30" s="14">
        <f t="shared" si="1"/>
        <v>208</v>
      </c>
      <c r="F30" s="14">
        <f>B30*masteryConfig!S$2+MAX(masteryExpConfig!B30-24,0)*masteryConfig!T$2+MAX(masteryExpConfig!B30-49,0)*masteryConfig!U$2</f>
        <v>9700</v>
      </c>
      <c r="G30" s="12">
        <v>2</v>
      </c>
      <c r="H30" s="18">
        <f>IF(A30=1,F30/(SUM(D$2:D30)*4),0)</f>
        <v>3.4495021337126599</v>
      </c>
      <c r="I30" s="10">
        <v>33</v>
      </c>
    </row>
    <row r="31" spans="1:9" x14ac:dyDescent="0.15">
      <c r="A31" s="14">
        <v>1</v>
      </c>
      <c r="B31" s="14">
        <v>30</v>
      </c>
      <c r="C31" s="14">
        <v>21</v>
      </c>
      <c r="D31" s="15">
        <f t="shared" si="0"/>
        <v>52</v>
      </c>
      <c r="E31" s="14">
        <f t="shared" si="1"/>
        <v>209</v>
      </c>
      <c r="F31" s="14">
        <f>B31*masteryConfig!S$2+MAX(masteryExpConfig!B31-24,0)*masteryConfig!T$2+MAX(masteryExpConfig!B31-49,0)*masteryConfig!U$2</f>
        <v>10200</v>
      </c>
      <c r="G31" s="12">
        <v>2</v>
      </c>
      <c r="H31" s="18">
        <f>IF(A31=1,F31/(SUM(D$2:D31)*4),0)</f>
        <v>3.3774834437086092</v>
      </c>
      <c r="I31" s="10">
        <v>35</v>
      </c>
    </row>
    <row r="32" spans="1:9" x14ac:dyDescent="0.15">
      <c r="A32" s="14">
        <v>1</v>
      </c>
      <c r="B32" s="14">
        <v>31</v>
      </c>
      <c r="C32" s="14">
        <v>21</v>
      </c>
      <c r="D32" s="15">
        <f t="shared" si="0"/>
        <v>55</v>
      </c>
      <c r="E32" s="14">
        <f t="shared" si="1"/>
        <v>210</v>
      </c>
      <c r="F32" s="14">
        <f>B32*masteryConfig!S$2+MAX(masteryExpConfig!B32-24,0)*masteryConfig!T$2+MAX(masteryExpConfig!B32-49,0)*masteryConfig!U$2</f>
        <v>10700</v>
      </c>
      <c r="G32" s="12">
        <v>2</v>
      </c>
      <c r="H32" s="18">
        <f>IF(A32=1,F32/(SUM(D$2:D32)*4),0)</f>
        <v>3.3024691358024691</v>
      </c>
      <c r="I32" s="10">
        <v>37</v>
      </c>
    </row>
    <row r="33" spans="1:9" x14ac:dyDescent="0.15">
      <c r="A33" s="14">
        <v>1</v>
      </c>
      <c r="B33" s="14">
        <v>32</v>
      </c>
      <c r="C33" s="14">
        <v>21</v>
      </c>
      <c r="D33" s="15">
        <f t="shared" si="0"/>
        <v>58</v>
      </c>
      <c r="E33" s="14">
        <f t="shared" si="1"/>
        <v>211</v>
      </c>
      <c r="F33" s="14">
        <f>B33*masteryConfig!S$2+MAX(masteryExpConfig!B33-24,0)*masteryConfig!T$2+MAX(masteryExpConfig!B33-49,0)*masteryConfig!U$2</f>
        <v>11200</v>
      </c>
      <c r="G33" s="12">
        <v>2</v>
      </c>
      <c r="H33" s="18">
        <f>IF(A33=1,F33/(SUM(D$2:D33)*4),0)</f>
        <v>3.225806451612903</v>
      </c>
      <c r="I33" s="10">
        <v>39</v>
      </c>
    </row>
    <row r="34" spans="1:9" x14ac:dyDescent="0.15">
      <c r="A34" s="14">
        <v>1</v>
      </c>
      <c r="B34" s="14">
        <v>33</v>
      </c>
      <c r="C34" s="14">
        <v>21</v>
      </c>
      <c r="D34" s="15">
        <f t="shared" si="0"/>
        <v>61</v>
      </c>
      <c r="E34" s="14">
        <f t="shared" si="1"/>
        <v>212</v>
      </c>
      <c r="F34" s="14">
        <f>B34*masteryConfig!S$2+MAX(masteryExpConfig!B34-24,0)*masteryConfig!T$2+MAX(masteryExpConfig!B34-49,0)*masteryConfig!U$2</f>
        <v>11700</v>
      </c>
      <c r="G34" s="12">
        <v>2</v>
      </c>
      <c r="H34" s="18">
        <f>IF(A34=1,F34/(SUM(D$2:D34)*4),0)</f>
        <v>3.1485468245425188</v>
      </c>
      <c r="I34" s="10">
        <v>41</v>
      </c>
    </row>
    <row r="35" spans="1:9" x14ac:dyDescent="0.15">
      <c r="A35" s="14">
        <v>1</v>
      </c>
      <c r="B35" s="14">
        <v>34</v>
      </c>
      <c r="C35" s="14">
        <v>21</v>
      </c>
      <c r="D35" s="15">
        <f t="shared" si="0"/>
        <v>64</v>
      </c>
      <c r="E35" s="14">
        <f t="shared" si="1"/>
        <v>213</v>
      </c>
      <c r="F35" s="14">
        <f>B35*masteryConfig!S$2+MAX(masteryExpConfig!B35-24,0)*masteryConfig!T$2+MAX(masteryExpConfig!B35-49,0)*masteryConfig!U$2</f>
        <v>12200</v>
      </c>
      <c r="G35" s="12">
        <v>2</v>
      </c>
      <c r="H35" s="18">
        <f>IF(A35=1,F35/(SUM(D$2:D35)*4),0)</f>
        <v>3.0715005035246725</v>
      </c>
      <c r="I35" s="10">
        <v>43</v>
      </c>
    </row>
    <row r="36" spans="1:9" x14ac:dyDescent="0.15">
      <c r="A36" s="14">
        <v>1</v>
      </c>
      <c r="B36" s="14">
        <v>35</v>
      </c>
      <c r="C36" s="14">
        <v>21</v>
      </c>
      <c r="D36" s="15">
        <f t="shared" si="0"/>
        <v>67</v>
      </c>
      <c r="E36" s="14">
        <f t="shared" si="1"/>
        <v>214</v>
      </c>
      <c r="F36" s="14">
        <f>B36*masteryConfig!S$2+MAX(masteryExpConfig!B36-24,0)*masteryConfig!T$2+MAX(masteryExpConfig!B36-49,0)*masteryConfig!U$2</f>
        <v>12700</v>
      </c>
      <c r="G36" s="12">
        <v>2</v>
      </c>
      <c r="H36" s="18">
        <f>IF(A36=1,F36/(SUM(D$2:D36)*4),0)</f>
        <v>2.9952830188679247</v>
      </c>
      <c r="I36" s="10">
        <v>45</v>
      </c>
    </row>
    <row r="37" spans="1:9" x14ac:dyDescent="0.15">
      <c r="A37" s="14">
        <v>1</v>
      </c>
      <c r="B37" s="14">
        <v>36</v>
      </c>
      <c r="C37" s="14">
        <v>21</v>
      </c>
      <c r="D37" s="15">
        <f t="shared" si="0"/>
        <v>70</v>
      </c>
      <c r="E37" s="14">
        <f t="shared" si="1"/>
        <v>215</v>
      </c>
      <c r="F37" s="14">
        <f>B37*masteryConfig!S$2+MAX(masteryExpConfig!B37-24,0)*masteryConfig!T$2+MAX(masteryExpConfig!B37-49,0)*masteryConfig!U$2</f>
        <v>13200</v>
      </c>
      <c r="G37" s="12">
        <v>2</v>
      </c>
      <c r="H37" s="18">
        <f>IF(A37=1,F37/(SUM(D$2:D37)*4),0)</f>
        <v>2.9203539823008851</v>
      </c>
      <c r="I37" s="10">
        <v>47</v>
      </c>
    </row>
    <row r="38" spans="1:9" x14ac:dyDescent="0.15">
      <c r="A38" s="14">
        <v>1</v>
      </c>
      <c r="B38" s="14">
        <v>37</v>
      </c>
      <c r="C38" s="14">
        <v>21</v>
      </c>
      <c r="D38" s="15">
        <f t="shared" si="0"/>
        <v>73</v>
      </c>
      <c r="E38" s="14">
        <f t="shared" si="1"/>
        <v>216</v>
      </c>
      <c r="F38" s="14">
        <f>B38*masteryConfig!S$2+MAX(masteryExpConfig!B38-24,0)*masteryConfig!T$2+MAX(masteryExpConfig!B38-49,0)*masteryConfig!U$2</f>
        <v>13700</v>
      </c>
      <c r="G38" s="12">
        <v>2</v>
      </c>
      <c r="H38" s="18">
        <f>IF(A38=1,F38/(SUM(D$2:D38)*4),0)</f>
        <v>2.8470490440565253</v>
      </c>
      <c r="I38" s="10">
        <v>49</v>
      </c>
    </row>
    <row r="39" spans="1:9" x14ac:dyDescent="0.15">
      <c r="A39" s="14">
        <v>1</v>
      </c>
      <c r="B39" s="14">
        <v>38</v>
      </c>
      <c r="C39" s="14">
        <v>21</v>
      </c>
      <c r="D39" s="15">
        <f t="shared" si="0"/>
        <v>76</v>
      </c>
      <c r="E39" s="14">
        <f t="shared" si="1"/>
        <v>217</v>
      </c>
      <c r="F39" s="14">
        <f>B39*masteryConfig!S$2+MAX(masteryExpConfig!B39-24,0)*masteryConfig!T$2+MAX(masteryExpConfig!B39-49,0)*masteryConfig!U$2</f>
        <v>14200</v>
      </c>
      <c r="G39" s="12">
        <v>2</v>
      </c>
      <c r="H39" s="18">
        <f>IF(A39=1,F39/(SUM(D$2:D39)*4),0)</f>
        <v>2.7756059421422985</v>
      </c>
      <c r="I39" s="10">
        <v>51</v>
      </c>
    </row>
    <row r="40" spans="1:9" x14ac:dyDescent="0.15">
      <c r="A40" s="14">
        <v>1</v>
      </c>
      <c r="B40" s="14">
        <v>39</v>
      </c>
      <c r="C40" s="14">
        <v>21</v>
      </c>
      <c r="D40" s="15">
        <f t="shared" si="0"/>
        <v>79</v>
      </c>
      <c r="E40" s="14">
        <f t="shared" si="1"/>
        <v>218</v>
      </c>
      <c r="F40" s="14">
        <f>B40*masteryConfig!S$2+MAX(masteryExpConfig!B40-24,0)*masteryConfig!T$2+MAX(masteryExpConfig!B40-49,0)*masteryConfig!U$2</f>
        <v>14700</v>
      </c>
      <c r="G40" s="12">
        <v>2</v>
      </c>
      <c r="H40" s="18">
        <f>IF(A40=1,F40/(SUM(D$2:D40)*4),0)</f>
        <v>2.7061855670103094</v>
      </c>
      <c r="I40" s="10">
        <v>53</v>
      </c>
    </row>
    <row r="41" spans="1:9" x14ac:dyDescent="0.15">
      <c r="A41" s="14">
        <v>1</v>
      </c>
      <c r="B41" s="14">
        <v>40</v>
      </c>
      <c r="C41" s="14">
        <v>21</v>
      </c>
      <c r="D41" s="15">
        <f t="shared" si="0"/>
        <v>82</v>
      </c>
      <c r="E41" s="14">
        <f t="shared" si="1"/>
        <v>219</v>
      </c>
      <c r="F41" s="14">
        <f>B41*masteryConfig!S$2+MAX(masteryExpConfig!B41-24,0)*masteryConfig!T$2+MAX(masteryExpConfig!B41-49,0)*masteryConfig!U$2</f>
        <v>15200</v>
      </c>
      <c r="G41" s="12">
        <v>2</v>
      </c>
      <c r="H41" s="18">
        <f>IF(A41=1,F41/(SUM(D$2:D41)*4),0)</f>
        <v>2.6388888888888888</v>
      </c>
      <c r="I41" s="10">
        <v>55</v>
      </c>
    </row>
    <row r="42" spans="1:9" x14ac:dyDescent="0.15">
      <c r="A42" s="14">
        <v>1</v>
      </c>
      <c r="B42" s="14">
        <v>41</v>
      </c>
      <c r="C42" s="14">
        <v>21</v>
      </c>
      <c r="D42" s="15">
        <f t="shared" si="0"/>
        <v>85</v>
      </c>
      <c r="E42" s="14">
        <f t="shared" si="1"/>
        <v>220</v>
      </c>
      <c r="F42" s="14">
        <f>B42*masteryConfig!S$2+MAX(masteryExpConfig!B42-24,0)*masteryConfig!T$2+MAX(masteryExpConfig!B42-49,0)*masteryConfig!U$2</f>
        <v>15700</v>
      </c>
      <c r="G42" s="12">
        <v>2</v>
      </c>
      <c r="H42" s="18">
        <f>IF(A42=1,F42/(SUM(D$2:D42)*4),0)</f>
        <v>2.5737704918032787</v>
      </c>
      <c r="I42" s="10">
        <v>57</v>
      </c>
    </row>
    <row r="43" spans="1:9" x14ac:dyDescent="0.15">
      <c r="A43" s="14">
        <v>1</v>
      </c>
      <c r="B43" s="14">
        <v>42</v>
      </c>
      <c r="C43" s="14">
        <v>21</v>
      </c>
      <c r="D43" s="15">
        <f t="shared" si="0"/>
        <v>88</v>
      </c>
      <c r="E43" s="14">
        <f t="shared" si="1"/>
        <v>221</v>
      </c>
      <c r="F43" s="14">
        <f>B43*masteryConfig!S$2+MAX(masteryExpConfig!B43-24,0)*masteryConfig!T$2+MAX(masteryExpConfig!B43-49,0)*masteryConfig!U$2</f>
        <v>16200</v>
      </c>
      <c r="G43" s="12">
        <v>2</v>
      </c>
      <c r="H43" s="18">
        <f>IF(A43=1,F43/(SUM(D$2:D43)*4),0)</f>
        <v>2.5108493490390575</v>
      </c>
      <c r="I43" s="10">
        <v>59</v>
      </c>
    </row>
    <row r="44" spans="1:9" x14ac:dyDescent="0.15">
      <c r="A44" s="14">
        <v>1</v>
      </c>
      <c r="B44" s="14">
        <v>43</v>
      </c>
      <c r="C44" s="14">
        <v>21</v>
      </c>
      <c r="D44" s="15">
        <f t="shared" si="0"/>
        <v>91</v>
      </c>
      <c r="E44" s="14">
        <f t="shared" si="1"/>
        <v>222</v>
      </c>
      <c r="F44" s="14">
        <f>B44*masteryConfig!S$2+MAX(masteryExpConfig!B44-24,0)*masteryConfig!T$2+MAX(masteryExpConfig!B44-49,0)*masteryConfig!U$2</f>
        <v>16700</v>
      </c>
      <c r="G44" s="12">
        <v>2</v>
      </c>
      <c r="H44" s="18">
        <f>IF(A44=1,F44/(SUM(D$2:D44)*4),0)</f>
        <v>2.450117370892019</v>
      </c>
      <c r="I44" s="10">
        <v>61</v>
      </c>
    </row>
    <row r="45" spans="1:9" x14ac:dyDescent="0.15">
      <c r="A45" s="14">
        <v>1</v>
      </c>
      <c r="B45" s="14">
        <v>44</v>
      </c>
      <c r="C45" s="14">
        <v>21</v>
      </c>
      <c r="D45" s="15">
        <f t="shared" si="0"/>
        <v>94</v>
      </c>
      <c r="E45" s="14">
        <f t="shared" si="1"/>
        <v>223</v>
      </c>
      <c r="F45" s="14">
        <f>B45*masteryConfig!S$2+MAX(masteryExpConfig!B45-24,0)*masteryConfig!T$2+MAX(masteryExpConfig!B45-49,0)*masteryConfig!U$2</f>
        <v>17200</v>
      </c>
      <c r="G45" s="12">
        <v>2</v>
      </c>
      <c r="H45" s="18">
        <f>IF(A45=1,F45/(SUM(D$2:D45)*4),0)</f>
        <v>2.3915461624026695</v>
      </c>
      <c r="I45" s="10">
        <v>63</v>
      </c>
    </row>
    <row r="46" spans="1:9" x14ac:dyDescent="0.15">
      <c r="A46" s="14">
        <v>1</v>
      </c>
      <c r="B46" s="14">
        <v>45</v>
      </c>
      <c r="C46" s="14">
        <v>21</v>
      </c>
      <c r="D46" s="15">
        <f t="shared" si="0"/>
        <v>97</v>
      </c>
      <c r="E46" s="14">
        <f t="shared" si="1"/>
        <v>224</v>
      </c>
      <c r="F46" s="14">
        <f>B46*masteryConfig!S$2+MAX(masteryExpConfig!B46-24,0)*masteryConfig!T$2+MAX(masteryExpConfig!B46-49,0)*masteryConfig!U$2</f>
        <v>17700</v>
      </c>
      <c r="G46" s="12">
        <v>2</v>
      </c>
      <c r="H46" s="18">
        <f>IF(A46=1,F46/(SUM(D$2:D46)*4),0)</f>
        <v>2.3350923482849604</v>
      </c>
      <c r="I46" s="10">
        <v>65</v>
      </c>
    </row>
    <row r="47" spans="1:9" x14ac:dyDescent="0.15">
      <c r="A47" s="14">
        <v>1</v>
      </c>
      <c r="B47" s="14">
        <v>46</v>
      </c>
      <c r="C47" s="14">
        <v>21</v>
      </c>
      <c r="D47" s="15">
        <f t="shared" si="0"/>
        <v>100</v>
      </c>
      <c r="E47" s="14">
        <f t="shared" si="1"/>
        <v>225</v>
      </c>
      <c r="F47" s="14">
        <f>B47*masteryConfig!S$2+MAX(masteryExpConfig!B47-24,0)*masteryConfig!T$2+MAX(masteryExpConfig!B47-49,0)*masteryConfig!U$2</f>
        <v>18200</v>
      </c>
      <c r="G47" s="12">
        <v>2</v>
      </c>
      <c r="H47" s="18">
        <f>IF(A47=1,F47/(SUM(D$2:D47)*4),0)</f>
        <v>2.2807017543859649</v>
      </c>
      <c r="I47" s="10">
        <v>67</v>
      </c>
    </row>
    <row r="48" spans="1:9" x14ac:dyDescent="0.15">
      <c r="A48" s="14">
        <v>1</v>
      </c>
      <c r="B48" s="14">
        <v>47</v>
      </c>
      <c r="C48" s="14">
        <v>21</v>
      </c>
      <c r="D48" s="15">
        <f t="shared" si="0"/>
        <v>103</v>
      </c>
      <c r="E48" s="14">
        <f t="shared" si="1"/>
        <v>226</v>
      </c>
      <c r="F48" s="14">
        <f>B48*masteryConfig!S$2+MAX(masteryExpConfig!B48-24,0)*masteryConfig!T$2+MAX(masteryExpConfig!B48-49,0)*masteryConfig!U$2</f>
        <v>18700</v>
      </c>
      <c r="G48" s="12">
        <v>2</v>
      </c>
      <c r="H48" s="18">
        <f>IF(A48=1,F48/(SUM(D$2:D48)*4),0)</f>
        <v>2.2283126787416587</v>
      </c>
      <c r="I48" s="10">
        <v>69</v>
      </c>
    </row>
    <row r="49" spans="1:9" x14ac:dyDescent="0.15">
      <c r="A49" s="14">
        <v>1</v>
      </c>
      <c r="B49" s="14">
        <v>48</v>
      </c>
      <c r="C49" s="14">
        <v>21</v>
      </c>
      <c r="D49" s="15">
        <f t="shared" si="0"/>
        <v>106</v>
      </c>
      <c r="E49" s="14">
        <f t="shared" si="1"/>
        <v>227</v>
      </c>
      <c r="F49" s="14">
        <f>B49*masteryConfig!S$2+MAX(masteryExpConfig!B49-24,0)*masteryConfig!T$2+MAX(masteryExpConfig!B49-49,0)*masteryConfig!U$2</f>
        <v>19200</v>
      </c>
      <c r="G49" s="12">
        <v>2</v>
      </c>
      <c r="H49" s="18">
        <f>IF(A49=1,F49/(SUM(D$2:D49)*4),0)</f>
        <v>2.1778584392014517</v>
      </c>
      <c r="I49" s="10">
        <v>71</v>
      </c>
    </row>
    <row r="50" spans="1:9" x14ac:dyDescent="0.15">
      <c r="A50" s="14">
        <v>1</v>
      </c>
      <c r="B50" s="14">
        <v>49</v>
      </c>
      <c r="C50" s="14">
        <v>21</v>
      </c>
      <c r="D50" s="15">
        <f t="shared" si="0"/>
        <v>109</v>
      </c>
      <c r="E50" s="14">
        <f t="shared" si="1"/>
        <v>228</v>
      </c>
      <c r="F50" s="14">
        <f>B50*masteryConfig!S$2+MAX(masteryExpConfig!B50-24,0)*masteryConfig!T$2+MAX(masteryExpConfig!B50-49,0)*masteryConfig!U$2</f>
        <v>19700</v>
      </c>
      <c r="G50" s="12">
        <v>2</v>
      </c>
      <c r="H50" s="18">
        <f>IF(A50=1,F50/(SUM(D$2:D50)*4),0)</f>
        <v>2.1292693471681798</v>
      </c>
      <c r="I50" s="10">
        <v>73</v>
      </c>
    </row>
    <row r="51" spans="1:9" x14ac:dyDescent="0.15">
      <c r="A51" s="14">
        <v>1</v>
      </c>
      <c r="B51" s="14">
        <v>50</v>
      </c>
      <c r="C51" s="14">
        <v>21</v>
      </c>
      <c r="D51" s="15">
        <f t="shared" si="0"/>
        <v>112</v>
      </c>
      <c r="E51" s="14">
        <f t="shared" si="1"/>
        <v>229</v>
      </c>
      <c r="F51" s="14">
        <f>B51*masteryConfig!S$2+MAX(masteryExpConfig!B51-24,0)*masteryConfig!T$2+MAX(masteryExpConfig!B51-49,0)*masteryConfig!U$2</f>
        <v>20400</v>
      </c>
      <c r="G51" s="12">
        <v>3</v>
      </c>
      <c r="H51" s="18">
        <f>IF(A51=1,F51/(SUM(D$2:D51)*4),0)</f>
        <v>2.1030927835051547</v>
      </c>
      <c r="I51" s="10">
        <v>75</v>
      </c>
    </row>
    <row r="52" spans="1:9" x14ac:dyDescent="0.15">
      <c r="A52" s="14">
        <v>1</v>
      </c>
      <c r="B52" s="14">
        <v>51</v>
      </c>
      <c r="C52" s="14">
        <v>21</v>
      </c>
      <c r="D52" s="15">
        <f t="shared" si="0"/>
        <v>117</v>
      </c>
      <c r="E52" s="14">
        <f t="shared" si="1"/>
        <v>230</v>
      </c>
      <c r="F52" s="14">
        <f>B52*masteryConfig!S$2+MAX(masteryExpConfig!B52-24,0)*masteryConfig!T$2+MAX(masteryExpConfig!B52-49,0)*masteryConfig!U$2</f>
        <v>21100</v>
      </c>
      <c r="G52" s="12">
        <v>3</v>
      </c>
      <c r="H52" s="18">
        <f>IF(A52=1,F52/(SUM(D$2:D52)*4),0)</f>
        <v>2.0751376868607396</v>
      </c>
      <c r="I52" s="10">
        <v>78</v>
      </c>
    </row>
    <row r="53" spans="1:9" x14ac:dyDescent="0.15">
      <c r="A53" s="14">
        <v>1</v>
      </c>
      <c r="B53" s="14">
        <v>52</v>
      </c>
      <c r="C53" s="14">
        <v>21</v>
      </c>
      <c r="D53" s="15">
        <f t="shared" si="0"/>
        <v>121</v>
      </c>
      <c r="E53" s="14">
        <f t="shared" si="1"/>
        <v>231</v>
      </c>
      <c r="F53" s="14">
        <f>B53*masteryConfig!S$2+MAX(masteryExpConfig!B53-24,0)*masteryConfig!T$2+MAX(masteryExpConfig!B53-49,0)*masteryConfig!U$2</f>
        <v>21800</v>
      </c>
      <c r="G53" s="12">
        <v>3</v>
      </c>
      <c r="H53" s="18">
        <f>IF(A53=1,F53/(SUM(D$2:D53)*4),0)</f>
        <v>2.046564025535111</v>
      </c>
      <c r="I53" s="10">
        <v>81</v>
      </c>
    </row>
    <row r="54" spans="1:9" x14ac:dyDescent="0.15">
      <c r="A54" s="14">
        <v>1</v>
      </c>
      <c r="B54" s="14">
        <v>53</v>
      </c>
      <c r="C54" s="14">
        <v>21</v>
      </c>
      <c r="D54" s="15">
        <f t="shared" si="0"/>
        <v>126</v>
      </c>
      <c r="E54" s="14">
        <f t="shared" si="1"/>
        <v>232</v>
      </c>
      <c r="F54" s="14">
        <f>B54*masteryConfig!S$2+MAX(masteryExpConfig!B54-24,0)*masteryConfig!T$2+MAX(masteryExpConfig!B54-49,0)*masteryConfig!U$2</f>
        <v>22500</v>
      </c>
      <c r="G54" s="12">
        <v>3</v>
      </c>
      <c r="H54" s="18">
        <f>IF(A54=1,F54/(SUM(D$2:D54)*4),0)</f>
        <v>2.0168519182502691</v>
      </c>
      <c r="I54" s="10">
        <v>84</v>
      </c>
    </row>
    <row r="55" spans="1:9" x14ac:dyDescent="0.15">
      <c r="A55" s="14">
        <v>1</v>
      </c>
      <c r="B55" s="14">
        <v>54</v>
      </c>
      <c r="C55" s="14">
        <v>21</v>
      </c>
      <c r="D55" s="15">
        <f t="shared" si="0"/>
        <v>130</v>
      </c>
      <c r="E55" s="14">
        <f t="shared" si="1"/>
        <v>233</v>
      </c>
      <c r="F55" s="14">
        <f>B55*masteryConfig!S$2+MAX(masteryExpConfig!B55-24,0)*masteryConfig!T$2+MAX(masteryExpConfig!B55-49,0)*masteryConfig!U$2</f>
        <v>23200</v>
      </c>
      <c r="G55" s="12">
        <v>3</v>
      </c>
      <c r="H55" s="18">
        <f>IF(A55=1,F55/(SUM(D$2:D55)*4),0)</f>
        <v>1.986981843096951</v>
      </c>
      <c r="I55" s="10">
        <v>87</v>
      </c>
    </row>
    <row r="56" spans="1:9" x14ac:dyDescent="0.15">
      <c r="A56" s="14">
        <v>1</v>
      </c>
      <c r="B56" s="14">
        <v>55</v>
      </c>
      <c r="C56" s="14">
        <v>21</v>
      </c>
      <c r="D56" s="15">
        <f t="shared" si="0"/>
        <v>135</v>
      </c>
      <c r="E56" s="14">
        <f t="shared" si="1"/>
        <v>234</v>
      </c>
      <c r="F56" s="14">
        <f>B56*masteryConfig!S$2+MAX(masteryExpConfig!B56-24,0)*masteryConfig!T$2+MAX(masteryExpConfig!B56-49,0)*masteryConfig!U$2</f>
        <v>23900</v>
      </c>
      <c r="G56" s="12">
        <v>3</v>
      </c>
      <c r="H56" s="18">
        <f>IF(A56=1,F56/(SUM(D$2:D56)*4),0)</f>
        <v>1.9564505566470203</v>
      </c>
      <c r="I56" s="10">
        <v>90</v>
      </c>
    </row>
    <row r="57" spans="1:9" x14ac:dyDescent="0.15">
      <c r="A57" s="14">
        <v>1</v>
      </c>
      <c r="B57" s="14">
        <v>56</v>
      </c>
      <c r="C57" s="14">
        <v>21</v>
      </c>
      <c r="D57" s="15">
        <f t="shared" si="0"/>
        <v>139</v>
      </c>
      <c r="E57" s="14">
        <f t="shared" si="1"/>
        <v>235</v>
      </c>
      <c r="F57" s="14">
        <f>B57*masteryConfig!S$2+MAX(masteryExpConfig!B57-24,0)*masteryConfig!T$2+MAX(masteryExpConfig!B57-49,0)*masteryConfig!U$2</f>
        <v>24600</v>
      </c>
      <c r="G57" s="12">
        <v>3</v>
      </c>
      <c r="H57" s="18">
        <f>IF(A57=1,F57/(SUM(D$2:D57)*4),0)</f>
        <v>1.926088318196054</v>
      </c>
      <c r="I57" s="10">
        <v>93</v>
      </c>
    </row>
    <row r="58" spans="1:9" x14ac:dyDescent="0.15">
      <c r="A58" s="14">
        <v>1</v>
      </c>
      <c r="B58" s="14">
        <v>57</v>
      </c>
      <c r="C58" s="14">
        <v>21</v>
      </c>
      <c r="D58" s="15">
        <f t="shared" si="0"/>
        <v>144</v>
      </c>
      <c r="E58" s="14">
        <f t="shared" si="1"/>
        <v>236</v>
      </c>
      <c r="F58" s="14">
        <f>B58*masteryConfig!S$2+MAX(masteryExpConfig!B58-24,0)*masteryConfig!T$2+MAX(masteryExpConfig!B58-49,0)*masteryConfig!U$2</f>
        <v>25300</v>
      </c>
      <c r="G58" s="12">
        <v>3</v>
      </c>
      <c r="H58" s="18">
        <f>IF(A58=1,F58/(SUM(D$2:D58)*4),0)</f>
        <v>1.8954150434522026</v>
      </c>
      <c r="I58" s="10">
        <v>96</v>
      </c>
    </row>
    <row r="59" spans="1:9" x14ac:dyDescent="0.15">
      <c r="A59" s="14">
        <v>1</v>
      </c>
      <c r="B59" s="14">
        <v>58</v>
      </c>
      <c r="C59" s="14">
        <v>21</v>
      </c>
      <c r="D59" s="15">
        <f t="shared" si="0"/>
        <v>148</v>
      </c>
      <c r="E59" s="14">
        <f t="shared" si="1"/>
        <v>237</v>
      </c>
      <c r="F59" s="14">
        <f>B59*masteryConfig!S$2+MAX(masteryExpConfig!B59-24,0)*masteryConfig!T$2+MAX(masteryExpConfig!B59-49,0)*masteryConfig!U$2</f>
        <v>26000</v>
      </c>
      <c r="G59" s="12">
        <v>3</v>
      </c>
      <c r="H59" s="18">
        <f>IF(A59=1,F59/(SUM(D$2:D59)*4),0)</f>
        <v>1.8651362984218078</v>
      </c>
      <c r="I59" s="10">
        <v>99</v>
      </c>
    </row>
    <row r="60" spans="1:9" x14ac:dyDescent="0.15">
      <c r="A60" s="14">
        <v>1</v>
      </c>
      <c r="B60" s="14">
        <v>59</v>
      </c>
      <c r="C60" s="14">
        <v>21</v>
      </c>
      <c r="D60" s="15">
        <f t="shared" si="0"/>
        <v>153</v>
      </c>
      <c r="E60" s="14">
        <f t="shared" si="1"/>
        <v>238</v>
      </c>
      <c r="F60" s="14">
        <f>B60*masteryConfig!S$2+MAX(masteryExpConfig!B60-24,0)*masteryConfig!T$2+MAX(masteryExpConfig!B60-49,0)*masteryConfig!U$2</f>
        <v>26700</v>
      </c>
      <c r="G60" s="12">
        <v>3</v>
      </c>
      <c r="H60" s="18">
        <f>IF(A60=1,F60/(SUM(D$2:D60)*4),0)</f>
        <v>1.8347993402968663</v>
      </c>
      <c r="I60" s="10">
        <v>102</v>
      </c>
    </row>
    <row r="61" spans="1:9" x14ac:dyDescent="0.15">
      <c r="A61" s="14">
        <v>1</v>
      </c>
      <c r="B61" s="14">
        <v>60</v>
      </c>
      <c r="C61" s="14">
        <v>21</v>
      </c>
      <c r="D61" s="15">
        <f t="shared" si="0"/>
        <v>157</v>
      </c>
      <c r="E61" s="14">
        <f t="shared" si="1"/>
        <v>239</v>
      </c>
      <c r="F61" s="14">
        <f>B61*masteryConfig!S$2+MAX(masteryExpConfig!B61-24,0)*masteryConfig!T$2+MAX(masteryExpConfig!B61-49,0)*masteryConfig!U$2</f>
        <v>27400</v>
      </c>
      <c r="G61" s="12">
        <v>3</v>
      </c>
      <c r="H61" s="18">
        <f>IF(A61=1,F61/(SUM(D$2:D61)*4),0)</f>
        <v>1.8050065876152832</v>
      </c>
      <c r="I61" s="10">
        <v>105</v>
      </c>
    </row>
    <row r="62" spans="1:9" x14ac:dyDescent="0.15">
      <c r="A62" s="14">
        <v>1</v>
      </c>
      <c r="B62" s="14">
        <v>61</v>
      </c>
      <c r="C62" s="14">
        <v>21</v>
      </c>
      <c r="D62" s="15">
        <f t="shared" si="0"/>
        <v>162</v>
      </c>
      <c r="E62" s="14">
        <f t="shared" si="1"/>
        <v>240</v>
      </c>
      <c r="F62" s="14">
        <f>B62*masteryConfig!S$2+MAX(masteryExpConfig!B62-24,0)*masteryConfig!T$2+MAX(masteryExpConfig!B62-49,0)*masteryConfig!U$2</f>
        <v>28100</v>
      </c>
      <c r="G62" s="12">
        <v>3</v>
      </c>
      <c r="H62" s="18">
        <f>IF(A62=1,F62/(SUM(D$2:D62)*4),0)</f>
        <v>1.7753348496335608</v>
      </c>
      <c r="I62" s="10">
        <v>108</v>
      </c>
    </row>
    <row r="63" spans="1:9" x14ac:dyDescent="0.15">
      <c r="A63" s="14">
        <v>1</v>
      </c>
      <c r="B63" s="14">
        <v>62</v>
      </c>
      <c r="C63" s="14">
        <v>21</v>
      </c>
      <c r="D63" s="15">
        <f t="shared" si="0"/>
        <v>166</v>
      </c>
      <c r="E63" s="14">
        <f t="shared" si="1"/>
        <v>241</v>
      </c>
      <c r="F63" s="14">
        <f>B63*masteryConfig!S$2+MAX(masteryExpConfig!B63-24,0)*masteryConfig!T$2+MAX(masteryExpConfig!B63-49,0)*masteryConfig!U$2</f>
        <v>28800</v>
      </c>
      <c r="G63" s="12">
        <v>3</v>
      </c>
      <c r="H63" s="18">
        <f>IF(A63=1,F63/(SUM(D$2:D63)*4),0)</f>
        <v>1.7463012369633761</v>
      </c>
      <c r="I63" s="10">
        <v>111</v>
      </c>
    </row>
    <row r="64" spans="1:9" x14ac:dyDescent="0.15">
      <c r="A64" s="14">
        <v>1</v>
      </c>
      <c r="B64" s="14">
        <v>63</v>
      </c>
      <c r="C64" s="14">
        <v>21</v>
      </c>
      <c r="D64" s="15">
        <f t="shared" si="0"/>
        <v>171</v>
      </c>
      <c r="E64" s="14">
        <f t="shared" si="1"/>
        <v>242</v>
      </c>
      <c r="F64" s="14">
        <f>B64*masteryConfig!S$2+MAX(masteryExpConfig!B64-24,0)*masteryConfig!T$2+MAX(masteryExpConfig!B64-49,0)*masteryConfig!U$2</f>
        <v>29500</v>
      </c>
      <c r="G64" s="12">
        <v>3</v>
      </c>
      <c r="H64" s="18">
        <f>IF(A64=1,F64/(SUM(D$2:D64)*4),0)</f>
        <v>1.7175128085700979</v>
      </c>
      <c r="I64" s="10">
        <v>114</v>
      </c>
    </row>
    <row r="65" spans="1:9" x14ac:dyDescent="0.15">
      <c r="A65" s="14">
        <v>1</v>
      </c>
      <c r="B65" s="14">
        <v>64</v>
      </c>
      <c r="C65" s="14">
        <v>21</v>
      </c>
      <c r="D65" s="15">
        <f t="shared" si="0"/>
        <v>175</v>
      </c>
      <c r="E65" s="14">
        <f t="shared" si="1"/>
        <v>243</v>
      </c>
      <c r="F65" s="14">
        <f>B65*masteryConfig!S$2+MAX(masteryExpConfig!B65-24,0)*masteryConfig!T$2+MAX(masteryExpConfig!B65-49,0)*masteryConfig!U$2</f>
        <v>30200</v>
      </c>
      <c r="G65" s="12">
        <v>3</v>
      </c>
      <c r="H65" s="18">
        <f>IF(A65=1,F65/(SUM(D$2:D65)*4),0)</f>
        <v>1.6894159767285746</v>
      </c>
      <c r="I65" s="10">
        <v>117</v>
      </c>
    </row>
    <row r="66" spans="1:9" x14ac:dyDescent="0.15">
      <c r="A66" s="14">
        <v>1</v>
      </c>
      <c r="B66" s="14">
        <v>65</v>
      </c>
      <c r="C66" s="14">
        <v>21</v>
      </c>
      <c r="D66" s="15">
        <f t="shared" si="0"/>
        <v>180</v>
      </c>
      <c r="E66" s="14">
        <f t="shared" si="1"/>
        <v>244</v>
      </c>
      <c r="F66" s="14">
        <f>B66*masteryConfig!S$2+MAX(masteryExpConfig!B66-24,0)*masteryConfig!T$2+MAX(masteryExpConfig!B66-49,0)*masteryConfig!U$2</f>
        <v>30900</v>
      </c>
      <c r="G66" s="12">
        <v>3</v>
      </c>
      <c r="H66" s="18">
        <f>IF(A66=1,F66/(SUM(D$2:D66)*4),0)</f>
        <v>1.6616476661647666</v>
      </c>
      <c r="I66" s="10">
        <v>120</v>
      </c>
    </row>
    <row r="67" spans="1:9" x14ac:dyDescent="0.15">
      <c r="A67" s="14">
        <v>1</v>
      </c>
      <c r="B67" s="14">
        <v>66</v>
      </c>
      <c r="C67" s="14">
        <v>21</v>
      </c>
      <c r="D67" s="15">
        <f t="shared" ref="D67:D130" si="2">INT(MAX(12,I67*1.5))</f>
        <v>184</v>
      </c>
      <c r="E67" s="14">
        <f t="shared" ref="E67:E130" si="3">B67+179</f>
        <v>245</v>
      </c>
      <c r="F67" s="14">
        <f>B67*masteryConfig!S$2+MAX(masteryExpConfig!B67-24,0)*masteryConfig!T$2+MAX(masteryExpConfig!B67-49,0)*masteryConfig!U$2</f>
        <v>31600</v>
      </c>
      <c r="G67" s="12">
        <v>3</v>
      </c>
      <c r="H67" s="18">
        <f>IF(A67=1,F67/(SUM(D$2:D67)*4),0)</f>
        <v>1.6345954893440926</v>
      </c>
      <c r="I67" s="10">
        <v>123</v>
      </c>
    </row>
    <row r="68" spans="1:9" x14ac:dyDescent="0.15">
      <c r="A68" s="14">
        <v>1</v>
      </c>
      <c r="B68" s="14">
        <v>67</v>
      </c>
      <c r="C68" s="14">
        <v>21</v>
      </c>
      <c r="D68" s="15">
        <f t="shared" si="2"/>
        <v>189</v>
      </c>
      <c r="E68" s="14">
        <f t="shared" si="3"/>
        <v>246</v>
      </c>
      <c r="F68" s="14">
        <f>B68*masteryConfig!S$2+MAX(masteryExpConfig!B68-24,0)*masteryConfig!T$2+MAX(masteryExpConfig!B68-49,0)*masteryConfig!U$2</f>
        <v>32300</v>
      </c>
      <c r="G68" s="12">
        <v>3</v>
      </c>
      <c r="H68" s="18">
        <f>IF(A68=1,F68/(SUM(D$2:D68)*4),0)</f>
        <v>1.6079251294305057</v>
      </c>
      <c r="I68" s="10">
        <v>126</v>
      </c>
    </row>
    <row r="69" spans="1:9" x14ac:dyDescent="0.15">
      <c r="A69" s="14">
        <v>1</v>
      </c>
      <c r="B69" s="14">
        <v>68</v>
      </c>
      <c r="C69" s="14">
        <v>21</v>
      </c>
      <c r="D69" s="15">
        <f t="shared" si="2"/>
        <v>193</v>
      </c>
      <c r="E69" s="14">
        <f t="shared" si="3"/>
        <v>247</v>
      </c>
      <c r="F69" s="14">
        <f>B69*masteryConfig!S$2+MAX(masteryExpConfig!B69-24,0)*masteryConfig!T$2+MAX(masteryExpConfig!B69-49,0)*masteryConfig!U$2</f>
        <v>33000</v>
      </c>
      <c r="G69" s="12">
        <v>3</v>
      </c>
      <c r="H69" s="18">
        <f>IF(A69=1,F69/(SUM(D$2:D69)*4),0)</f>
        <v>1.5819750719079577</v>
      </c>
      <c r="I69" s="10">
        <v>129</v>
      </c>
    </row>
    <row r="70" spans="1:9" x14ac:dyDescent="0.15">
      <c r="A70" s="14">
        <v>1</v>
      </c>
      <c r="B70" s="14">
        <v>69</v>
      </c>
      <c r="C70" s="14">
        <v>21</v>
      </c>
      <c r="D70" s="15">
        <f t="shared" si="2"/>
        <v>198</v>
      </c>
      <c r="E70" s="14">
        <f t="shared" si="3"/>
        <v>248</v>
      </c>
      <c r="F70" s="14">
        <f>B70*masteryConfig!S$2+MAX(masteryExpConfig!B70-24,0)*masteryConfig!T$2+MAX(masteryExpConfig!B70-49,0)*masteryConfig!U$2</f>
        <v>33700</v>
      </c>
      <c r="G70" s="12">
        <v>3</v>
      </c>
      <c r="H70" s="18">
        <f>IF(A70=1,F70/(SUM(D$2:D70)*4),0)</f>
        <v>1.5564382043229263</v>
      </c>
      <c r="I70" s="10">
        <v>132</v>
      </c>
    </row>
    <row r="71" spans="1:9" x14ac:dyDescent="0.15">
      <c r="A71" s="14">
        <v>1</v>
      </c>
      <c r="B71" s="14">
        <v>70</v>
      </c>
      <c r="C71" s="14">
        <v>21</v>
      </c>
      <c r="D71" s="15">
        <f t="shared" si="2"/>
        <v>202</v>
      </c>
      <c r="E71" s="14">
        <f t="shared" si="3"/>
        <v>249</v>
      </c>
      <c r="F71" s="14">
        <f>B71*masteryConfig!S$2+MAX(masteryExpConfig!B71-24,0)*masteryConfig!T$2+MAX(masteryExpConfig!B71-49,0)*masteryConfig!U$2</f>
        <v>34400</v>
      </c>
      <c r="G71" s="12">
        <v>3</v>
      </c>
      <c r="H71" s="18">
        <f>IF(A71=1,F71/(SUM(D$2:D71)*4),0)</f>
        <v>1.5316117542297418</v>
      </c>
      <c r="I71" s="10">
        <v>135</v>
      </c>
    </row>
    <row r="72" spans="1:9" x14ac:dyDescent="0.15">
      <c r="A72" s="14">
        <v>1</v>
      </c>
      <c r="B72" s="14">
        <v>71</v>
      </c>
      <c r="C72" s="14">
        <v>21</v>
      </c>
      <c r="D72" s="15">
        <f t="shared" si="2"/>
        <v>207</v>
      </c>
      <c r="E72" s="14">
        <f t="shared" si="3"/>
        <v>250</v>
      </c>
      <c r="F72" s="14">
        <f>B72*masteryConfig!S$2+MAX(masteryExpConfig!B72-24,0)*masteryConfig!T$2+MAX(masteryExpConfig!B72-49,0)*masteryConfig!U$2</f>
        <v>35100</v>
      </c>
      <c r="G72" s="12">
        <v>3</v>
      </c>
      <c r="H72" s="18">
        <f>IF(A72=1,F72/(SUM(D$2:D72)*4),0)</f>
        <v>1.5072140158021299</v>
      </c>
      <c r="I72" s="10">
        <v>138</v>
      </c>
    </row>
    <row r="73" spans="1:9" x14ac:dyDescent="0.15">
      <c r="A73" s="14">
        <v>1</v>
      </c>
      <c r="B73" s="14">
        <v>72</v>
      </c>
      <c r="C73" s="14">
        <v>21</v>
      </c>
      <c r="D73" s="15">
        <f t="shared" si="2"/>
        <v>211</v>
      </c>
      <c r="E73" s="14">
        <f t="shared" si="3"/>
        <v>251</v>
      </c>
      <c r="F73" s="14">
        <f>B73*masteryConfig!S$2+MAX(masteryExpConfig!B73-24,0)*masteryConfig!T$2+MAX(masteryExpConfig!B73-49,0)*masteryConfig!U$2</f>
        <v>35800</v>
      </c>
      <c r="G73" s="12">
        <v>3</v>
      </c>
      <c r="H73" s="18">
        <f>IF(A73=1,F73/(SUM(D$2:D73)*4),0)</f>
        <v>1.483507376098127</v>
      </c>
      <c r="I73" s="10">
        <v>141</v>
      </c>
    </row>
    <row r="74" spans="1:9" x14ac:dyDescent="0.15">
      <c r="A74" s="14">
        <v>1</v>
      </c>
      <c r="B74" s="14">
        <v>73</v>
      </c>
      <c r="C74" s="14">
        <v>21</v>
      </c>
      <c r="D74" s="15">
        <f t="shared" si="2"/>
        <v>216</v>
      </c>
      <c r="E74" s="14">
        <f t="shared" si="3"/>
        <v>252</v>
      </c>
      <c r="F74" s="14">
        <f>B74*masteryConfig!S$2+MAX(masteryExpConfig!B74-24,0)*masteryConfig!T$2+MAX(masteryExpConfig!B74-49,0)*masteryConfig!U$2</f>
        <v>36500</v>
      </c>
      <c r="G74" s="12">
        <v>3</v>
      </c>
      <c r="H74" s="18">
        <f>IF(A74=1,F74/(SUM(D$2:D74)*4),0)</f>
        <v>1.4602336373819811</v>
      </c>
      <c r="I74" s="10">
        <v>144</v>
      </c>
    </row>
    <row r="75" spans="1:9" x14ac:dyDescent="0.15">
      <c r="A75" s="14">
        <v>1</v>
      </c>
      <c r="B75" s="14">
        <v>74</v>
      </c>
      <c r="C75" s="14">
        <v>21</v>
      </c>
      <c r="D75" s="15">
        <f t="shared" si="2"/>
        <v>220</v>
      </c>
      <c r="E75" s="14">
        <f t="shared" si="3"/>
        <v>253</v>
      </c>
      <c r="F75" s="14">
        <f>B75*masteryConfig!S$2+MAX(masteryExpConfig!B75-24,0)*masteryConfig!T$2+MAX(masteryExpConfig!B75-49,0)*masteryConfig!U$2</f>
        <v>37200</v>
      </c>
      <c r="G75" s="12">
        <v>3</v>
      </c>
      <c r="H75" s="18">
        <f>IF(A75=1,F75/(SUM(D$2:D75)*4),0)</f>
        <v>1.4376255990106663</v>
      </c>
      <c r="I75" s="10">
        <v>147</v>
      </c>
    </row>
    <row r="76" spans="1:9" x14ac:dyDescent="0.15">
      <c r="A76" s="14">
        <v>1</v>
      </c>
      <c r="B76" s="14">
        <v>75</v>
      </c>
      <c r="C76" s="14">
        <v>21</v>
      </c>
      <c r="D76" s="15">
        <f t="shared" si="2"/>
        <v>225</v>
      </c>
      <c r="E76" s="14">
        <f t="shared" si="3"/>
        <v>254</v>
      </c>
      <c r="F76" s="14">
        <f>B76*masteryConfig!S$2+MAX(masteryExpConfig!B76-24,0)*masteryConfig!T$2+MAX(masteryExpConfig!B76-49,0)*masteryConfig!U$2</f>
        <v>37900</v>
      </c>
      <c r="G76" s="12">
        <v>3</v>
      </c>
      <c r="H76" s="18">
        <f>IF(A76=1,F76/(SUM(D$2:D76)*4),0)</f>
        <v>1.4154466686585001</v>
      </c>
      <c r="I76" s="10">
        <v>150</v>
      </c>
    </row>
    <row r="77" spans="1:9" x14ac:dyDescent="0.15">
      <c r="A77" s="14">
        <v>1</v>
      </c>
      <c r="B77" s="14">
        <v>76</v>
      </c>
      <c r="C77" s="14">
        <v>21</v>
      </c>
      <c r="D77" s="15">
        <f t="shared" si="2"/>
        <v>229</v>
      </c>
      <c r="E77" s="14">
        <f t="shared" si="3"/>
        <v>255</v>
      </c>
      <c r="F77" s="14">
        <f>B77*masteryConfig!S$2+MAX(masteryExpConfig!B77-24,0)*masteryConfig!T$2+MAX(masteryExpConfig!B77-49,0)*masteryConfig!U$2</f>
        <v>38600</v>
      </c>
      <c r="G77" s="12">
        <v>3</v>
      </c>
      <c r="H77" s="18">
        <f>IF(A77=1,F77/(SUM(D$2:D77)*4),0)</f>
        <v>1.3939043767152968</v>
      </c>
      <c r="I77" s="10">
        <v>153</v>
      </c>
    </row>
    <row r="78" spans="1:9" x14ac:dyDescent="0.15">
      <c r="A78" s="14">
        <v>1</v>
      </c>
      <c r="B78" s="14">
        <v>77</v>
      </c>
      <c r="C78" s="14">
        <v>21</v>
      </c>
      <c r="D78" s="15">
        <f t="shared" si="2"/>
        <v>234</v>
      </c>
      <c r="E78" s="14">
        <f t="shared" si="3"/>
        <v>256</v>
      </c>
      <c r="F78" s="14">
        <f>B78*masteryConfig!S$2+MAX(masteryExpConfig!B78-24,0)*masteryConfig!T$2+MAX(masteryExpConfig!B78-49,0)*masteryConfig!U$2</f>
        <v>39300</v>
      </c>
      <c r="G78" s="12">
        <v>3</v>
      </c>
      <c r="H78" s="18">
        <f>IF(A78=1,F78/(SUM(D$2:D78)*4),0)</f>
        <v>1.3727818918541288</v>
      </c>
      <c r="I78" s="10">
        <v>156</v>
      </c>
    </row>
    <row r="79" spans="1:9" x14ac:dyDescent="0.15">
      <c r="A79" s="14">
        <v>1</v>
      </c>
      <c r="B79" s="14">
        <v>78</v>
      </c>
      <c r="C79" s="14">
        <v>21</v>
      </c>
      <c r="D79" s="15">
        <f t="shared" si="2"/>
        <v>238</v>
      </c>
      <c r="E79" s="14">
        <f t="shared" si="3"/>
        <v>257</v>
      </c>
      <c r="F79" s="14">
        <f>B79*masteryConfig!S$2+MAX(masteryExpConfig!B79-24,0)*masteryConfig!T$2+MAX(masteryExpConfig!B79-49,0)*masteryConfig!U$2</f>
        <v>40000</v>
      </c>
      <c r="G79" s="12">
        <v>3</v>
      </c>
      <c r="H79" s="18">
        <f>IF(A79=1,F79/(SUM(D$2:D79)*4),0)</f>
        <v>1.3522650439486139</v>
      </c>
      <c r="I79" s="10">
        <v>159</v>
      </c>
    </row>
    <row r="80" spans="1:9" x14ac:dyDescent="0.15">
      <c r="A80" s="14">
        <v>1</v>
      </c>
      <c r="B80" s="14">
        <v>79</v>
      </c>
      <c r="C80" s="14">
        <v>21</v>
      </c>
      <c r="D80" s="15">
        <f t="shared" si="2"/>
        <v>243</v>
      </c>
      <c r="E80" s="14">
        <f t="shared" si="3"/>
        <v>258</v>
      </c>
      <c r="F80" s="14">
        <f>B80*masteryConfig!S$2+MAX(masteryExpConfig!B80-24,0)*masteryConfig!T$2+MAX(masteryExpConfig!B80-49,0)*masteryConfig!U$2</f>
        <v>40700</v>
      </c>
      <c r="G80" s="12">
        <v>3</v>
      </c>
      <c r="H80" s="18">
        <f>IF(A80=1,F80/(SUM(D$2:D80)*4),0)</f>
        <v>1.3321550144016758</v>
      </c>
      <c r="I80" s="10">
        <v>162</v>
      </c>
    </row>
    <row r="81" spans="1:9" x14ac:dyDescent="0.15">
      <c r="A81" s="14">
        <v>1</v>
      </c>
      <c r="B81" s="14">
        <v>80</v>
      </c>
      <c r="C81" s="14">
        <v>21</v>
      </c>
      <c r="D81" s="15">
        <f t="shared" si="2"/>
        <v>247</v>
      </c>
      <c r="E81" s="14">
        <f t="shared" si="3"/>
        <v>259</v>
      </c>
      <c r="F81" s="14">
        <f>B81*masteryConfig!S$2+MAX(masteryExpConfig!B81-24,0)*masteryConfig!T$2+MAX(masteryExpConfig!B81-49,0)*masteryConfig!U$2</f>
        <v>41400</v>
      </c>
      <c r="G81" s="12">
        <v>3</v>
      </c>
      <c r="H81" s="18">
        <f>IF(A81=1,F81/(SUM(D$2:D81)*4),0)</f>
        <v>1.3126188966391883</v>
      </c>
      <c r="I81" s="10">
        <v>165</v>
      </c>
    </row>
    <row r="82" spans="1:9" x14ac:dyDescent="0.15">
      <c r="A82" s="14">
        <v>1</v>
      </c>
      <c r="B82" s="14">
        <v>81</v>
      </c>
      <c r="C82" s="14">
        <v>21</v>
      </c>
      <c r="D82" s="15">
        <f t="shared" si="2"/>
        <v>252</v>
      </c>
      <c r="E82" s="14">
        <f t="shared" si="3"/>
        <v>260</v>
      </c>
      <c r="F82" s="14">
        <f>B82*masteryConfig!S$2+MAX(masteryExpConfig!B82-24,0)*masteryConfig!T$2+MAX(masteryExpConfig!B82-49,0)*masteryConfig!U$2</f>
        <v>42100</v>
      </c>
      <c r="G82" s="12">
        <v>3</v>
      </c>
      <c r="H82" s="18">
        <f>IF(A82=1,F82/(SUM(D$2:D82)*4),0)</f>
        <v>1.2934742534103478</v>
      </c>
      <c r="I82" s="10">
        <v>168</v>
      </c>
    </row>
    <row r="83" spans="1:9" x14ac:dyDescent="0.15">
      <c r="A83" s="14">
        <v>1</v>
      </c>
      <c r="B83" s="14">
        <v>82</v>
      </c>
      <c r="C83" s="14">
        <v>21</v>
      </c>
      <c r="D83" s="15">
        <f t="shared" si="2"/>
        <v>256</v>
      </c>
      <c r="E83" s="14">
        <f t="shared" si="3"/>
        <v>261</v>
      </c>
      <c r="F83" s="14">
        <f>B83*masteryConfig!S$2+MAX(masteryExpConfig!B83-24,0)*masteryConfig!T$2+MAX(masteryExpConfig!B83-49,0)*masteryConfig!U$2</f>
        <v>42800</v>
      </c>
      <c r="G83" s="12">
        <v>3</v>
      </c>
      <c r="H83" s="18">
        <f>IF(A83=1,F83/(SUM(D$2:D83)*4),0)</f>
        <v>1.2748719170737519</v>
      </c>
      <c r="I83" s="10">
        <v>171</v>
      </c>
    </row>
    <row r="84" spans="1:9" x14ac:dyDescent="0.15">
      <c r="A84" s="14">
        <v>1</v>
      </c>
      <c r="B84" s="14">
        <v>83</v>
      </c>
      <c r="C84" s="14">
        <v>21</v>
      </c>
      <c r="D84" s="15">
        <f t="shared" si="2"/>
        <v>261</v>
      </c>
      <c r="E84" s="14">
        <f t="shared" si="3"/>
        <v>262</v>
      </c>
      <c r="F84" s="14">
        <f>B84*masteryConfig!S$2+MAX(masteryExpConfig!B84-24,0)*masteryConfig!T$2+MAX(masteryExpConfig!B84-49,0)*masteryConfig!U$2</f>
        <v>43500</v>
      </c>
      <c r="G84" s="12">
        <v>3</v>
      </c>
      <c r="H84" s="18">
        <f>IF(A84=1,F84/(SUM(D$2:D84)*4),0)</f>
        <v>1.2566443263230875</v>
      </c>
      <c r="I84" s="10">
        <v>174</v>
      </c>
    </row>
    <row r="85" spans="1:9" x14ac:dyDescent="0.15">
      <c r="A85" s="14">
        <v>1</v>
      </c>
      <c r="B85" s="14">
        <v>84</v>
      </c>
      <c r="C85" s="14">
        <v>21</v>
      </c>
      <c r="D85" s="15">
        <f t="shared" si="2"/>
        <v>265</v>
      </c>
      <c r="E85" s="14">
        <f t="shared" si="3"/>
        <v>263</v>
      </c>
      <c r="F85" s="14">
        <f>B85*masteryConfig!S$2+MAX(masteryExpConfig!B85-24,0)*masteryConfig!T$2+MAX(masteryExpConfig!B85-49,0)*masteryConfig!U$2</f>
        <v>44200</v>
      </c>
      <c r="G85" s="12">
        <v>3</v>
      </c>
      <c r="H85" s="18">
        <f>IF(A85=1,F85/(SUM(D$2:D85)*4),0)</f>
        <v>1.2389281309563853</v>
      </c>
      <c r="I85" s="10">
        <v>177</v>
      </c>
    </row>
    <row r="86" spans="1:9" x14ac:dyDescent="0.15">
      <c r="A86" s="14">
        <v>1</v>
      </c>
      <c r="B86" s="14">
        <v>85</v>
      </c>
      <c r="C86" s="14">
        <v>21</v>
      </c>
      <c r="D86" s="15">
        <f t="shared" si="2"/>
        <v>270</v>
      </c>
      <c r="E86" s="14">
        <f t="shared" si="3"/>
        <v>264</v>
      </c>
      <c r="F86" s="14">
        <f>B86*masteryConfig!S$2+MAX(masteryExpConfig!B86-24,0)*masteryConfig!T$2+MAX(masteryExpConfig!B86-49,0)*masteryConfig!U$2</f>
        <v>44900</v>
      </c>
      <c r="G86" s="12">
        <v>3</v>
      </c>
      <c r="H86" s="18">
        <f>IF(A86=1,F86/(SUM(D$2:D86)*4),0)</f>
        <v>1.2215692676025682</v>
      </c>
      <c r="I86" s="10">
        <v>180</v>
      </c>
    </row>
    <row r="87" spans="1:9" x14ac:dyDescent="0.15">
      <c r="A87" s="14">
        <v>1</v>
      </c>
      <c r="B87" s="14">
        <v>86</v>
      </c>
      <c r="C87" s="14">
        <v>21</v>
      </c>
      <c r="D87" s="15">
        <f t="shared" si="2"/>
        <v>274</v>
      </c>
      <c r="E87" s="14">
        <f t="shared" si="3"/>
        <v>265</v>
      </c>
      <c r="F87" s="14">
        <f>B87*masteryConfig!S$2+MAX(masteryExpConfig!B87-24,0)*masteryConfig!T$2+MAX(masteryExpConfig!B87-49,0)*masteryConfig!U$2</f>
        <v>45600</v>
      </c>
      <c r="G87" s="12">
        <v>3</v>
      </c>
      <c r="H87" s="18">
        <f>IF(A87=1,F87/(SUM(D$2:D87)*4),0)</f>
        <v>1.2046919581528057</v>
      </c>
      <c r="I87" s="10">
        <v>183</v>
      </c>
    </row>
    <row r="88" spans="1:9" x14ac:dyDescent="0.15">
      <c r="A88" s="14">
        <v>1</v>
      </c>
      <c r="B88" s="14">
        <v>87</v>
      </c>
      <c r="C88" s="14">
        <v>21</v>
      </c>
      <c r="D88" s="15">
        <f t="shared" si="2"/>
        <v>279</v>
      </c>
      <c r="E88" s="14">
        <f t="shared" si="3"/>
        <v>266</v>
      </c>
      <c r="F88" s="14">
        <f>B88*masteryConfig!S$2+MAX(masteryExpConfig!B88-24,0)*masteryConfig!T$2+MAX(masteryExpConfig!B88-49,0)*masteryConfig!U$2</f>
        <v>46300</v>
      </c>
      <c r="G88" s="12">
        <v>3</v>
      </c>
      <c r="H88" s="18">
        <f>IF(A88=1,F88/(SUM(D$2:D88)*4),0)</f>
        <v>1.1881543830835557</v>
      </c>
      <c r="I88" s="10">
        <v>186</v>
      </c>
    </row>
    <row r="89" spans="1:9" x14ac:dyDescent="0.15">
      <c r="A89" s="14">
        <v>1</v>
      </c>
      <c r="B89" s="14">
        <v>88</v>
      </c>
      <c r="C89" s="14">
        <v>21</v>
      </c>
      <c r="D89" s="15">
        <f t="shared" si="2"/>
        <v>283</v>
      </c>
      <c r="E89" s="14">
        <f t="shared" si="3"/>
        <v>267</v>
      </c>
      <c r="F89" s="14">
        <f>B89*masteryConfig!S$2+MAX(masteryExpConfig!B89-24,0)*masteryConfig!T$2+MAX(masteryExpConfig!B89-49,0)*masteryConfig!U$2</f>
        <v>47000</v>
      </c>
      <c r="G89" s="12">
        <v>3</v>
      </c>
      <c r="H89" s="18">
        <f>IF(A89=1,F89/(SUM(D$2:D89)*4),0)</f>
        <v>1.172069825436409</v>
      </c>
      <c r="I89" s="10">
        <v>189</v>
      </c>
    </row>
    <row r="90" spans="1:9" x14ac:dyDescent="0.15">
      <c r="A90" s="14">
        <v>1</v>
      </c>
      <c r="B90" s="14">
        <v>89</v>
      </c>
      <c r="C90" s="14">
        <v>21</v>
      </c>
      <c r="D90" s="15">
        <f t="shared" si="2"/>
        <v>288</v>
      </c>
      <c r="E90" s="14">
        <f t="shared" si="3"/>
        <v>268</v>
      </c>
      <c r="F90" s="14">
        <f>B90*masteryConfig!S$2+MAX(masteryExpConfig!B90-24,0)*masteryConfig!T$2+MAX(masteryExpConfig!B90-49,0)*masteryConfig!U$2</f>
        <v>47700</v>
      </c>
      <c r="G90" s="12">
        <v>3</v>
      </c>
      <c r="H90" s="18">
        <f>IF(A90=1,F90/(SUM(D$2:D90)*4),0)</f>
        <v>1.1563075729661592</v>
      </c>
      <c r="I90" s="10">
        <v>192</v>
      </c>
    </row>
    <row r="91" spans="1:9" x14ac:dyDescent="0.15">
      <c r="A91" s="14">
        <v>1</v>
      </c>
      <c r="B91" s="14">
        <v>90</v>
      </c>
      <c r="C91" s="14">
        <v>21</v>
      </c>
      <c r="D91" s="15">
        <f t="shared" si="2"/>
        <v>292</v>
      </c>
      <c r="E91" s="14">
        <f t="shared" si="3"/>
        <v>269</v>
      </c>
      <c r="F91" s="14">
        <f>B91*masteryConfig!S$2+MAX(masteryExpConfig!B91-24,0)*masteryConfig!T$2+MAX(masteryExpConfig!B91-49,0)*masteryConfig!U$2</f>
        <v>48400</v>
      </c>
      <c r="G91" s="12">
        <v>3</v>
      </c>
      <c r="H91" s="18">
        <f>IF(A91=1,F91/(SUM(D$2:D91)*4),0)</f>
        <v>1.1409712399811409</v>
      </c>
      <c r="I91" s="10">
        <v>195</v>
      </c>
    </row>
    <row r="92" spans="1:9" x14ac:dyDescent="0.15">
      <c r="A92" s="14">
        <v>1</v>
      </c>
      <c r="B92" s="14">
        <v>91</v>
      </c>
      <c r="C92" s="14">
        <v>21</v>
      </c>
      <c r="D92" s="15">
        <f t="shared" si="2"/>
        <v>297</v>
      </c>
      <c r="E92" s="14">
        <f t="shared" si="3"/>
        <v>270</v>
      </c>
      <c r="F92" s="14">
        <f>B92*masteryConfig!S$2+MAX(masteryExpConfig!B92-24,0)*masteryConfig!T$2+MAX(masteryExpConfig!B92-49,0)*masteryConfig!U$2</f>
        <v>49100</v>
      </c>
      <c r="G92" s="12">
        <v>3</v>
      </c>
      <c r="H92" s="18">
        <f>IF(A92=1,F92/(SUM(D$2:D92)*4),0)</f>
        <v>1.1259401944597323</v>
      </c>
      <c r="I92" s="10">
        <v>198</v>
      </c>
    </row>
    <row r="93" spans="1:9" x14ac:dyDescent="0.15">
      <c r="A93" s="14">
        <v>1</v>
      </c>
      <c r="B93" s="14">
        <v>92</v>
      </c>
      <c r="C93" s="14">
        <v>21</v>
      </c>
      <c r="D93" s="15">
        <f t="shared" si="2"/>
        <v>301</v>
      </c>
      <c r="E93" s="14">
        <f t="shared" si="3"/>
        <v>271</v>
      </c>
      <c r="F93" s="14">
        <f>B93*masteryConfig!S$2+MAX(masteryExpConfig!B93-24,0)*masteryConfig!T$2+MAX(masteryExpConfig!B93-49,0)*masteryConfig!U$2</f>
        <v>49800</v>
      </c>
      <c r="G93" s="12">
        <v>3</v>
      </c>
      <c r="H93" s="18">
        <f>IF(A93=1,F93/(SUM(D$2:D93)*4),0)</f>
        <v>1.1113094706774971</v>
      </c>
      <c r="I93" s="10">
        <v>201</v>
      </c>
    </row>
    <row r="94" spans="1:9" x14ac:dyDescent="0.15">
      <c r="A94" s="14">
        <v>1</v>
      </c>
      <c r="B94" s="14">
        <v>93</v>
      </c>
      <c r="C94" s="14">
        <v>21</v>
      </c>
      <c r="D94" s="15">
        <f t="shared" si="2"/>
        <v>306</v>
      </c>
      <c r="E94" s="14">
        <f t="shared" si="3"/>
        <v>272</v>
      </c>
      <c r="F94" s="14">
        <f>B94*masteryConfig!S$2+MAX(masteryExpConfig!B94-24,0)*masteryConfig!T$2+MAX(masteryExpConfig!B94-49,0)*masteryConfig!U$2</f>
        <v>50500</v>
      </c>
      <c r="G94" s="12">
        <v>3</v>
      </c>
      <c r="H94" s="18">
        <f>IF(A94=1,F94/(SUM(D$2:D94)*4),0)</f>
        <v>1.0969675905812841</v>
      </c>
      <c r="I94" s="10">
        <v>204</v>
      </c>
    </row>
    <row r="95" spans="1:9" x14ac:dyDescent="0.15">
      <c r="A95" s="14">
        <v>1</v>
      </c>
      <c r="B95" s="14">
        <v>94</v>
      </c>
      <c r="C95" s="14">
        <v>21</v>
      </c>
      <c r="D95" s="15">
        <f t="shared" si="2"/>
        <v>310</v>
      </c>
      <c r="E95" s="14">
        <f t="shared" si="3"/>
        <v>273</v>
      </c>
      <c r="F95" s="14">
        <f>B95*masteryConfig!S$2+MAX(masteryExpConfig!B95-24,0)*masteryConfig!T$2+MAX(masteryExpConfig!B95-49,0)*masteryConfig!U$2</f>
        <v>51200</v>
      </c>
      <c r="G95" s="12">
        <v>3</v>
      </c>
      <c r="H95" s="18">
        <f>IF(A95=1,F95/(SUM(D$2:D95)*4),0)</f>
        <v>1.0830019460191218</v>
      </c>
      <c r="I95" s="10">
        <v>207</v>
      </c>
    </row>
    <row r="96" spans="1:9" x14ac:dyDescent="0.15">
      <c r="A96" s="14">
        <v>1</v>
      </c>
      <c r="B96" s="14">
        <v>95</v>
      </c>
      <c r="C96" s="14">
        <v>21</v>
      </c>
      <c r="D96" s="15">
        <f t="shared" si="2"/>
        <v>315</v>
      </c>
      <c r="E96" s="14">
        <f t="shared" si="3"/>
        <v>274</v>
      </c>
      <c r="F96" s="14">
        <f>B96*masteryConfig!S$2+MAX(masteryExpConfig!B96-24,0)*masteryConfig!T$2+MAX(masteryExpConfig!B96-49,0)*masteryConfig!U$2</f>
        <v>51900</v>
      </c>
      <c r="G96" s="12">
        <v>3</v>
      </c>
      <c r="H96" s="18">
        <f>IF(A96=1,F96/(SUM(D$2:D96)*4),0)</f>
        <v>1.0693093786055712</v>
      </c>
      <c r="I96" s="10">
        <v>210</v>
      </c>
    </row>
    <row r="97" spans="1:9" x14ac:dyDescent="0.15">
      <c r="A97" s="14">
        <v>1</v>
      </c>
      <c r="B97" s="14">
        <v>96</v>
      </c>
      <c r="C97" s="14">
        <v>21</v>
      </c>
      <c r="D97" s="15">
        <f t="shared" si="2"/>
        <v>319</v>
      </c>
      <c r="E97" s="14">
        <f t="shared" si="3"/>
        <v>275</v>
      </c>
      <c r="F97" s="14">
        <f>B97*masteryConfig!S$2+MAX(masteryExpConfig!B97-24,0)*masteryConfig!T$2+MAX(masteryExpConfig!B97-49,0)*masteryConfig!U$2</f>
        <v>52600</v>
      </c>
      <c r="G97" s="12">
        <v>3</v>
      </c>
      <c r="H97" s="18">
        <f>IF(A97=1,F97/(SUM(D$2:D97)*4),0)</f>
        <v>1.0559704488878181</v>
      </c>
      <c r="I97" s="10">
        <v>213</v>
      </c>
    </row>
    <row r="98" spans="1:9" x14ac:dyDescent="0.15">
      <c r="A98" s="14">
        <v>1</v>
      </c>
      <c r="B98" s="14">
        <v>97</v>
      </c>
      <c r="C98" s="14">
        <v>21</v>
      </c>
      <c r="D98" s="15">
        <f t="shared" si="2"/>
        <v>324</v>
      </c>
      <c r="E98" s="14">
        <f t="shared" si="3"/>
        <v>276</v>
      </c>
      <c r="F98" s="14">
        <f>B98*masteryConfig!S$2+MAX(masteryExpConfig!B98-24,0)*masteryConfig!T$2+MAX(masteryExpConfig!B98-49,0)*masteryConfig!U$2</f>
        <v>53300</v>
      </c>
      <c r="G98" s="12">
        <v>3</v>
      </c>
      <c r="H98" s="18">
        <f>IF(A98=1,F98/(SUM(D$2:D98)*4),0)</f>
        <v>1.0428895671910463</v>
      </c>
      <c r="I98" s="10">
        <v>216</v>
      </c>
    </row>
    <row r="99" spans="1:9" x14ac:dyDescent="0.15">
      <c r="A99" s="14">
        <v>1</v>
      </c>
      <c r="B99" s="14">
        <v>98</v>
      </c>
      <c r="C99" s="14">
        <v>21</v>
      </c>
      <c r="D99" s="15">
        <f t="shared" si="2"/>
        <v>328</v>
      </c>
      <c r="E99" s="14">
        <f t="shared" si="3"/>
        <v>277</v>
      </c>
      <c r="F99" s="14">
        <f>B99*masteryConfig!S$2+MAX(masteryExpConfig!B99-24,0)*masteryConfig!T$2+MAX(masteryExpConfig!B99-49,0)*masteryConfig!U$2</f>
        <v>54000</v>
      </c>
      <c r="G99" s="12">
        <v>3</v>
      </c>
      <c r="H99" s="18">
        <f>IF(A99=1,F99/(SUM(D$2:D99)*4),0)</f>
        <v>1.0301411674933232</v>
      </c>
      <c r="I99" s="10">
        <v>219</v>
      </c>
    </row>
    <row r="100" spans="1:9" x14ac:dyDescent="0.15">
      <c r="A100" s="14">
        <v>1</v>
      </c>
      <c r="B100" s="14">
        <v>99</v>
      </c>
      <c r="C100" s="14">
        <v>21</v>
      </c>
      <c r="D100" s="15">
        <f t="shared" si="2"/>
        <v>333</v>
      </c>
      <c r="E100" s="14">
        <f t="shared" si="3"/>
        <v>278</v>
      </c>
      <c r="F100" s="14">
        <f>B100*masteryConfig!S$2+MAX(masteryExpConfig!B100-24,0)*masteryConfig!T$2+MAX(masteryExpConfig!B100-49,0)*masteryConfig!U$2</f>
        <v>54700</v>
      </c>
      <c r="G100" s="12">
        <v>3</v>
      </c>
      <c r="H100" s="18">
        <f>IF(A100=1,F100/(SUM(D$2:D100)*4),0)</f>
        <v>1.0176365530584908</v>
      </c>
      <c r="I100" s="10">
        <v>222</v>
      </c>
    </row>
    <row r="101" spans="1:9" x14ac:dyDescent="0.15">
      <c r="A101" s="14">
        <v>1</v>
      </c>
      <c r="B101" s="14">
        <v>100</v>
      </c>
      <c r="C101" s="14">
        <v>21</v>
      </c>
      <c r="D101" s="15">
        <f t="shared" si="2"/>
        <v>337</v>
      </c>
      <c r="E101" s="14">
        <f t="shared" si="3"/>
        <v>279</v>
      </c>
      <c r="F101" s="14">
        <f>B101*masteryConfig!S$2+MAX(masteryExpConfig!B101-24,0)*masteryConfig!T$2+MAX(masteryExpConfig!B101-49,0)*masteryConfig!U$2</f>
        <v>55400</v>
      </c>
      <c r="G101" s="12">
        <v>3</v>
      </c>
      <c r="H101" s="18">
        <f>IF(A101=1,F101/(SUM(D$2:D101)*4),0)</f>
        <v>1.0054446460980035</v>
      </c>
      <c r="I101" s="10">
        <v>225</v>
      </c>
    </row>
    <row r="102" spans="1:9" x14ac:dyDescent="0.15">
      <c r="A102" s="14">
        <v>2</v>
      </c>
      <c r="B102" s="14">
        <v>1</v>
      </c>
      <c r="C102" s="14">
        <v>22</v>
      </c>
      <c r="D102" s="15">
        <f t="shared" si="2"/>
        <v>12</v>
      </c>
      <c r="E102" s="14">
        <f t="shared" si="3"/>
        <v>180</v>
      </c>
      <c r="F102" s="14">
        <f>B102*masteryConfig!S$2+MAX(masteryExpConfig!B102-24,0)*masteryConfig!T$2+MAX(masteryExpConfig!B102-49,0)*masteryConfig!U$2</f>
        <v>300</v>
      </c>
      <c r="G102" s="12">
        <v>1</v>
      </c>
      <c r="H102" s="18">
        <f>IF(A102=1,F102/(SUM(D$2:D102)*4),0)</f>
        <v>0</v>
      </c>
      <c r="I102" s="10">
        <v>1</v>
      </c>
    </row>
    <row r="103" spans="1:9" x14ac:dyDescent="0.15">
      <c r="A103" s="14">
        <v>2</v>
      </c>
      <c r="B103" s="14">
        <v>2</v>
      </c>
      <c r="C103" s="14">
        <v>22</v>
      </c>
      <c r="D103" s="15">
        <f t="shared" si="2"/>
        <v>12</v>
      </c>
      <c r="E103" s="14">
        <f t="shared" si="3"/>
        <v>181</v>
      </c>
      <c r="F103" s="14">
        <f>B103*masteryConfig!S$2+MAX(masteryExpConfig!B103-24,0)*masteryConfig!T$2+MAX(masteryExpConfig!B103-49,0)*masteryConfig!U$2</f>
        <v>600</v>
      </c>
      <c r="G103" s="12">
        <v>1</v>
      </c>
      <c r="H103" s="18">
        <f>IF(A103=1,F103/(SUM(D$2:D103)*4),0)</f>
        <v>0</v>
      </c>
      <c r="I103" s="10">
        <v>2</v>
      </c>
    </row>
    <row r="104" spans="1:9" x14ac:dyDescent="0.15">
      <c r="A104" s="14">
        <v>2</v>
      </c>
      <c r="B104" s="14">
        <v>3</v>
      </c>
      <c r="C104" s="14">
        <v>22</v>
      </c>
      <c r="D104" s="15">
        <f t="shared" si="2"/>
        <v>12</v>
      </c>
      <c r="E104" s="14">
        <f t="shared" si="3"/>
        <v>182</v>
      </c>
      <c r="F104" s="14">
        <f>B104*masteryConfig!S$2+MAX(masteryExpConfig!B104-24,0)*masteryConfig!T$2+MAX(masteryExpConfig!B104-49,0)*masteryConfig!U$2</f>
        <v>900</v>
      </c>
      <c r="G104" s="12">
        <v>1</v>
      </c>
      <c r="H104" s="18">
        <f>IF(A104=1,F104/(SUM(D$2:D104)*4),0)</f>
        <v>0</v>
      </c>
      <c r="I104" s="10">
        <v>3</v>
      </c>
    </row>
    <row r="105" spans="1:9" x14ac:dyDescent="0.15">
      <c r="A105" s="14">
        <v>2</v>
      </c>
      <c r="B105" s="14">
        <v>4</v>
      </c>
      <c r="C105" s="14">
        <v>22</v>
      </c>
      <c r="D105" s="15">
        <f t="shared" si="2"/>
        <v>12</v>
      </c>
      <c r="E105" s="14">
        <f t="shared" si="3"/>
        <v>183</v>
      </c>
      <c r="F105" s="14">
        <f>B105*masteryConfig!S$2+MAX(masteryExpConfig!B105-24,0)*masteryConfig!T$2+MAX(masteryExpConfig!B105-49,0)*masteryConfig!U$2</f>
        <v>1200</v>
      </c>
      <c r="G105" s="12">
        <v>1</v>
      </c>
      <c r="H105" s="18">
        <f>IF(A105=1,F105/(SUM(D$2:D105)*4),0)</f>
        <v>0</v>
      </c>
      <c r="I105" s="10">
        <v>4</v>
      </c>
    </row>
    <row r="106" spans="1:9" x14ac:dyDescent="0.15">
      <c r="A106" s="14">
        <v>2</v>
      </c>
      <c r="B106" s="14">
        <v>5</v>
      </c>
      <c r="C106" s="14">
        <v>22</v>
      </c>
      <c r="D106" s="15">
        <f t="shared" si="2"/>
        <v>12</v>
      </c>
      <c r="E106" s="14">
        <f t="shared" si="3"/>
        <v>184</v>
      </c>
      <c r="F106" s="14">
        <f>B106*masteryConfig!S$2+MAX(masteryExpConfig!B106-24,0)*masteryConfig!T$2+MAX(masteryExpConfig!B106-49,0)*masteryConfig!U$2</f>
        <v>1500</v>
      </c>
      <c r="G106" s="12">
        <v>1</v>
      </c>
      <c r="H106" s="18">
        <f>IF(A106=1,F106/(SUM(D$2:D106)*4),0)</f>
        <v>0</v>
      </c>
      <c r="I106" s="10">
        <v>5</v>
      </c>
    </row>
    <row r="107" spans="1:9" x14ac:dyDescent="0.15">
      <c r="A107" s="14">
        <v>2</v>
      </c>
      <c r="B107" s="14">
        <v>6</v>
      </c>
      <c r="C107" s="14">
        <v>22</v>
      </c>
      <c r="D107" s="15">
        <f t="shared" si="2"/>
        <v>12</v>
      </c>
      <c r="E107" s="14">
        <f t="shared" si="3"/>
        <v>185</v>
      </c>
      <c r="F107" s="14">
        <f>B107*masteryConfig!S$2+MAX(masteryExpConfig!B107-24,0)*masteryConfig!T$2+MAX(masteryExpConfig!B107-49,0)*masteryConfig!U$2</f>
        <v>1800</v>
      </c>
      <c r="G107" s="12">
        <v>1</v>
      </c>
      <c r="H107" s="18">
        <f>IF(A107=1,F107/(SUM(D$2:D107)*4),0)</f>
        <v>0</v>
      </c>
      <c r="I107" s="10">
        <v>6</v>
      </c>
    </row>
    <row r="108" spans="1:9" x14ac:dyDescent="0.15">
      <c r="A108" s="14">
        <v>2</v>
      </c>
      <c r="B108" s="14">
        <v>7</v>
      </c>
      <c r="C108" s="14">
        <v>22</v>
      </c>
      <c r="D108" s="15">
        <f t="shared" si="2"/>
        <v>12</v>
      </c>
      <c r="E108" s="14">
        <f t="shared" si="3"/>
        <v>186</v>
      </c>
      <c r="F108" s="14">
        <f>B108*masteryConfig!S$2+MAX(masteryExpConfig!B108-24,0)*masteryConfig!T$2+MAX(masteryExpConfig!B108-49,0)*masteryConfig!U$2</f>
        <v>2100</v>
      </c>
      <c r="G108" s="12">
        <v>1</v>
      </c>
      <c r="H108" s="18">
        <f>IF(A108=1,F108/(SUM(D$2:D108)*4),0)</f>
        <v>0</v>
      </c>
      <c r="I108" s="10">
        <v>7</v>
      </c>
    </row>
    <row r="109" spans="1:9" x14ac:dyDescent="0.15">
      <c r="A109" s="14">
        <v>2</v>
      </c>
      <c r="B109" s="14">
        <v>8</v>
      </c>
      <c r="C109" s="14">
        <v>22</v>
      </c>
      <c r="D109" s="15">
        <f t="shared" si="2"/>
        <v>12</v>
      </c>
      <c r="E109" s="14">
        <f t="shared" si="3"/>
        <v>187</v>
      </c>
      <c r="F109" s="14">
        <f>B109*masteryConfig!S$2+MAX(masteryExpConfig!B109-24,0)*masteryConfig!T$2+MAX(masteryExpConfig!B109-49,0)*masteryConfig!U$2</f>
        <v>2400</v>
      </c>
      <c r="G109" s="12">
        <v>1</v>
      </c>
      <c r="H109" s="18">
        <f>IF(A109=1,F109/(SUM(D$2:D109)*4),0)</f>
        <v>0</v>
      </c>
      <c r="I109" s="10">
        <v>8</v>
      </c>
    </row>
    <row r="110" spans="1:9" x14ac:dyDescent="0.15">
      <c r="A110" s="14">
        <v>2</v>
      </c>
      <c r="B110" s="14">
        <v>9</v>
      </c>
      <c r="C110" s="14">
        <v>22</v>
      </c>
      <c r="D110" s="15">
        <f t="shared" si="2"/>
        <v>13</v>
      </c>
      <c r="E110" s="14">
        <f t="shared" si="3"/>
        <v>188</v>
      </c>
      <c r="F110" s="14">
        <f>B110*masteryConfig!S$2+MAX(masteryExpConfig!B110-24,0)*masteryConfig!T$2+MAX(masteryExpConfig!B110-49,0)*masteryConfig!U$2</f>
        <v>2700</v>
      </c>
      <c r="G110" s="12">
        <v>1</v>
      </c>
      <c r="H110" s="18">
        <f>IF(A110=1,F110/(SUM(D$2:D110)*4),0)</f>
        <v>0</v>
      </c>
      <c r="I110" s="10">
        <v>9</v>
      </c>
    </row>
    <row r="111" spans="1:9" x14ac:dyDescent="0.15">
      <c r="A111" s="14">
        <v>2</v>
      </c>
      <c r="B111" s="14">
        <v>10</v>
      </c>
      <c r="C111" s="14">
        <v>22</v>
      </c>
      <c r="D111" s="15">
        <f t="shared" si="2"/>
        <v>15</v>
      </c>
      <c r="E111" s="14">
        <f t="shared" si="3"/>
        <v>189</v>
      </c>
      <c r="F111" s="14">
        <f>B111*masteryConfig!S$2+MAX(masteryExpConfig!B111-24,0)*masteryConfig!T$2+MAX(masteryExpConfig!B111-49,0)*masteryConfig!U$2</f>
        <v>3000</v>
      </c>
      <c r="G111" s="12">
        <v>1</v>
      </c>
      <c r="H111" s="18">
        <f>IF(A111=1,F111/(SUM(D$2:D111)*4),0)</f>
        <v>0</v>
      </c>
      <c r="I111" s="10">
        <v>10</v>
      </c>
    </row>
    <row r="112" spans="1:9" x14ac:dyDescent="0.15">
      <c r="A112" s="14">
        <v>2</v>
      </c>
      <c r="B112" s="14">
        <v>11</v>
      </c>
      <c r="C112" s="14">
        <v>22</v>
      </c>
      <c r="D112" s="15">
        <f t="shared" si="2"/>
        <v>16</v>
      </c>
      <c r="E112" s="14">
        <f t="shared" si="3"/>
        <v>190</v>
      </c>
      <c r="F112" s="14">
        <f>B112*masteryConfig!S$2+MAX(masteryExpConfig!B112-24,0)*masteryConfig!T$2+MAX(masteryExpConfig!B112-49,0)*masteryConfig!U$2</f>
        <v>3300</v>
      </c>
      <c r="G112" s="12">
        <v>1</v>
      </c>
      <c r="H112" s="18">
        <f>IF(A112=1,F112/(SUM(D$2:D112)*4),0)</f>
        <v>0</v>
      </c>
      <c r="I112" s="10">
        <v>11</v>
      </c>
    </row>
    <row r="113" spans="1:9" x14ac:dyDescent="0.15">
      <c r="A113" s="14">
        <v>2</v>
      </c>
      <c r="B113" s="14">
        <v>12</v>
      </c>
      <c r="C113" s="14">
        <v>22</v>
      </c>
      <c r="D113" s="15">
        <f t="shared" si="2"/>
        <v>18</v>
      </c>
      <c r="E113" s="14">
        <f t="shared" si="3"/>
        <v>191</v>
      </c>
      <c r="F113" s="14">
        <f>B113*masteryConfig!S$2+MAX(masteryExpConfig!B113-24,0)*masteryConfig!T$2+MAX(masteryExpConfig!B113-49,0)*masteryConfig!U$2</f>
        <v>3600</v>
      </c>
      <c r="G113" s="12">
        <v>1</v>
      </c>
      <c r="H113" s="18">
        <f>IF(A113=1,F113/(SUM(D$2:D113)*4),0)</f>
        <v>0</v>
      </c>
      <c r="I113" s="10">
        <v>12</v>
      </c>
    </row>
    <row r="114" spans="1:9" x14ac:dyDescent="0.15">
      <c r="A114" s="14">
        <v>2</v>
      </c>
      <c r="B114" s="14">
        <v>13</v>
      </c>
      <c r="C114" s="14">
        <v>22</v>
      </c>
      <c r="D114" s="15">
        <f t="shared" si="2"/>
        <v>19</v>
      </c>
      <c r="E114" s="14">
        <f t="shared" si="3"/>
        <v>192</v>
      </c>
      <c r="F114" s="14">
        <f>B114*masteryConfig!S$2+MAX(masteryExpConfig!B114-24,0)*masteryConfig!T$2+MAX(masteryExpConfig!B114-49,0)*masteryConfig!U$2</f>
        <v>3900</v>
      </c>
      <c r="G114" s="12">
        <v>1</v>
      </c>
      <c r="H114" s="18">
        <f>IF(A114=1,F114/(SUM(D$2:D114)*4),0)</f>
        <v>0</v>
      </c>
      <c r="I114" s="10">
        <v>13</v>
      </c>
    </row>
    <row r="115" spans="1:9" x14ac:dyDescent="0.15">
      <c r="A115" s="14">
        <v>2</v>
      </c>
      <c r="B115" s="14">
        <v>14</v>
      </c>
      <c r="C115" s="14">
        <v>22</v>
      </c>
      <c r="D115" s="15">
        <f t="shared" si="2"/>
        <v>21</v>
      </c>
      <c r="E115" s="14">
        <f t="shared" si="3"/>
        <v>193</v>
      </c>
      <c r="F115" s="14">
        <f>B115*masteryConfig!S$2+MAX(masteryExpConfig!B115-24,0)*masteryConfig!T$2+MAX(masteryExpConfig!B115-49,0)*masteryConfig!U$2</f>
        <v>4200</v>
      </c>
      <c r="G115" s="12">
        <v>1</v>
      </c>
      <c r="H115" s="18">
        <f>IF(A115=1,F115/(SUM(D$2:D115)*4),0)</f>
        <v>0</v>
      </c>
      <c r="I115" s="10">
        <v>14</v>
      </c>
    </row>
    <row r="116" spans="1:9" x14ac:dyDescent="0.15">
      <c r="A116" s="14">
        <v>2</v>
      </c>
      <c r="B116" s="14">
        <v>15</v>
      </c>
      <c r="C116" s="14">
        <v>22</v>
      </c>
      <c r="D116" s="15">
        <f t="shared" si="2"/>
        <v>22</v>
      </c>
      <c r="E116" s="14">
        <f t="shared" si="3"/>
        <v>194</v>
      </c>
      <c r="F116" s="14">
        <f>B116*masteryConfig!S$2+MAX(masteryExpConfig!B116-24,0)*masteryConfig!T$2+MAX(masteryExpConfig!B116-49,0)*masteryConfig!U$2</f>
        <v>4500</v>
      </c>
      <c r="G116" s="12">
        <v>1</v>
      </c>
      <c r="H116" s="18">
        <f>IF(A116=1,F116/(SUM(D$2:D116)*4),0)</f>
        <v>0</v>
      </c>
      <c r="I116" s="10">
        <v>15</v>
      </c>
    </row>
    <row r="117" spans="1:9" x14ac:dyDescent="0.15">
      <c r="A117" s="14">
        <v>2</v>
      </c>
      <c r="B117" s="14">
        <v>16</v>
      </c>
      <c r="C117" s="14">
        <v>22</v>
      </c>
      <c r="D117" s="15">
        <f t="shared" si="2"/>
        <v>24</v>
      </c>
      <c r="E117" s="14">
        <f t="shared" si="3"/>
        <v>195</v>
      </c>
      <c r="F117" s="14">
        <f>B117*masteryConfig!S$2+MAX(masteryExpConfig!B117-24,0)*masteryConfig!T$2+MAX(masteryExpConfig!B117-49,0)*masteryConfig!U$2</f>
        <v>4800</v>
      </c>
      <c r="G117" s="12">
        <v>1</v>
      </c>
      <c r="H117" s="18">
        <f>IF(A117=1,F117/(SUM(D$2:D117)*4),0)</f>
        <v>0</v>
      </c>
      <c r="I117" s="10">
        <v>16</v>
      </c>
    </row>
    <row r="118" spans="1:9" x14ac:dyDescent="0.15">
      <c r="A118" s="14">
        <v>2</v>
      </c>
      <c r="B118" s="14">
        <v>17</v>
      </c>
      <c r="C118" s="14">
        <v>22</v>
      </c>
      <c r="D118" s="15">
        <f t="shared" si="2"/>
        <v>25</v>
      </c>
      <c r="E118" s="14">
        <f t="shared" si="3"/>
        <v>196</v>
      </c>
      <c r="F118" s="14">
        <f>B118*masteryConfig!S$2+MAX(masteryExpConfig!B118-24,0)*masteryConfig!T$2+MAX(masteryExpConfig!B118-49,0)*masteryConfig!U$2</f>
        <v>5100</v>
      </c>
      <c r="G118" s="12">
        <v>1</v>
      </c>
      <c r="H118" s="18">
        <f>IF(A118=1,F118/(SUM(D$2:D118)*4),0)</f>
        <v>0</v>
      </c>
      <c r="I118" s="10">
        <v>17</v>
      </c>
    </row>
    <row r="119" spans="1:9" x14ac:dyDescent="0.15">
      <c r="A119" s="14">
        <v>2</v>
      </c>
      <c r="B119" s="14">
        <v>18</v>
      </c>
      <c r="C119" s="14">
        <v>22</v>
      </c>
      <c r="D119" s="15">
        <f t="shared" si="2"/>
        <v>27</v>
      </c>
      <c r="E119" s="14">
        <f t="shared" si="3"/>
        <v>197</v>
      </c>
      <c r="F119" s="14">
        <f>B119*masteryConfig!S$2+MAX(masteryExpConfig!B119-24,0)*masteryConfig!T$2+MAX(masteryExpConfig!B119-49,0)*masteryConfig!U$2</f>
        <v>5400</v>
      </c>
      <c r="G119" s="12">
        <v>1</v>
      </c>
      <c r="H119" s="18">
        <f>IF(A119=1,F119/(SUM(D$2:D119)*4),0)</f>
        <v>0</v>
      </c>
      <c r="I119" s="10">
        <v>18</v>
      </c>
    </row>
    <row r="120" spans="1:9" x14ac:dyDescent="0.15">
      <c r="A120" s="14">
        <v>2</v>
      </c>
      <c r="B120" s="14">
        <v>19</v>
      </c>
      <c r="C120" s="14">
        <v>22</v>
      </c>
      <c r="D120" s="15">
        <f t="shared" si="2"/>
        <v>28</v>
      </c>
      <c r="E120" s="14">
        <f t="shared" si="3"/>
        <v>198</v>
      </c>
      <c r="F120" s="14">
        <f>B120*masteryConfig!S$2+MAX(masteryExpConfig!B120-24,0)*masteryConfig!T$2+MAX(masteryExpConfig!B120-49,0)*masteryConfig!U$2</f>
        <v>5700</v>
      </c>
      <c r="G120" s="12">
        <v>1</v>
      </c>
      <c r="H120" s="18">
        <f>IF(A120=1,F120/(SUM(D$2:D120)*4),0)</f>
        <v>0</v>
      </c>
      <c r="I120" s="10">
        <v>19</v>
      </c>
    </row>
    <row r="121" spans="1:9" x14ac:dyDescent="0.15">
      <c r="A121" s="14">
        <v>2</v>
      </c>
      <c r="B121" s="14">
        <v>20</v>
      </c>
      <c r="C121" s="14">
        <v>22</v>
      </c>
      <c r="D121" s="15">
        <f t="shared" si="2"/>
        <v>30</v>
      </c>
      <c r="E121" s="14">
        <f t="shared" si="3"/>
        <v>199</v>
      </c>
      <c r="F121" s="14">
        <f>B121*masteryConfig!S$2+MAX(masteryExpConfig!B121-24,0)*masteryConfig!T$2+MAX(masteryExpConfig!B121-49,0)*masteryConfig!U$2</f>
        <v>6000</v>
      </c>
      <c r="G121" s="12">
        <v>1</v>
      </c>
      <c r="H121" s="18">
        <f>IF(A121=1,F121/(SUM(D$2:D121)*4),0)</f>
        <v>0</v>
      </c>
      <c r="I121" s="10">
        <v>20</v>
      </c>
    </row>
    <row r="122" spans="1:9" x14ac:dyDescent="0.15">
      <c r="A122" s="14">
        <v>2</v>
      </c>
      <c r="B122" s="14">
        <v>21</v>
      </c>
      <c r="C122" s="14">
        <v>22</v>
      </c>
      <c r="D122" s="15">
        <f t="shared" si="2"/>
        <v>31</v>
      </c>
      <c r="E122" s="14">
        <f t="shared" si="3"/>
        <v>200</v>
      </c>
      <c r="F122" s="14">
        <f>B122*masteryConfig!S$2+MAX(masteryExpConfig!B122-24,0)*masteryConfig!T$2+MAX(masteryExpConfig!B122-49,0)*masteryConfig!U$2</f>
        <v>6300</v>
      </c>
      <c r="G122" s="12">
        <v>1</v>
      </c>
      <c r="H122" s="18">
        <f>IF(A122=1,F122/(SUM(D$2:D122)*4),0)</f>
        <v>0</v>
      </c>
      <c r="I122" s="10">
        <v>21</v>
      </c>
    </row>
    <row r="123" spans="1:9" x14ac:dyDescent="0.15">
      <c r="A123" s="14">
        <v>2</v>
      </c>
      <c r="B123" s="14">
        <v>22</v>
      </c>
      <c r="C123" s="14">
        <v>22</v>
      </c>
      <c r="D123" s="15">
        <f t="shared" si="2"/>
        <v>33</v>
      </c>
      <c r="E123" s="14">
        <f t="shared" si="3"/>
        <v>201</v>
      </c>
      <c r="F123" s="14">
        <f>B123*masteryConfig!S$2+MAX(masteryExpConfig!B123-24,0)*masteryConfig!T$2+MAX(masteryExpConfig!B123-49,0)*masteryConfig!U$2</f>
        <v>6600</v>
      </c>
      <c r="G123" s="12">
        <v>1</v>
      </c>
      <c r="H123" s="18">
        <f>IF(A123=1,F123/(SUM(D$2:D123)*4),0)</f>
        <v>0</v>
      </c>
      <c r="I123" s="10">
        <v>22</v>
      </c>
    </row>
    <row r="124" spans="1:9" x14ac:dyDescent="0.15">
      <c r="A124" s="14">
        <v>2</v>
      </c>
      <c r="B124" s="14">
        <v>23</v>
      </c>
      <c r="C124" s="14">
        <v>22</v>
      </c>
      <c r="D124" s="15">
        <f t="shared" si="2"/>
        <v>34</v>
      </c>
      <c r="E124" s="14">
        <f t="shared" si="3"/>
        <v>202</v>
      </c>
      <c r="F124" s="14">
        <f>B124*masteryConfig!S$2+MAX(masteryExpConfig!B124-24,0)*masteryConfig!T$2+MAX(masteryExpConfig!B124-49,0)*masteryConfig!U$2</f>
        <v>6900</v>
      </c>
      <c r="G124" s="12">
        <v>1</v>
      </c>
      <c r="H124" s="18">
        <f>IF(A124=1,F124/(SUM(D$2:D124)*4),0)</f>
        <v>0</v>
      </c>
      <c r="I124" s="10">
        <v>23</v>
      </c>
    </row>
    <row r="125" spans="1:9" x14ac:dyDescent="0.15">
      <c r="A125" s="14">
        <v>2</v>
      </c>
      <c r="B125" s="14">
        <v>24</v>
      </c>
      <c r="C125" s="14">
        <v>22</v>
      </c>
      <c r="D125" s="15">
        <f t="shared" si="2"/>
        <v>36</v>
      </c>
      <c r="E125" s="14">
        <f t="shared" si="3"/>
        <v>203</v>
      </c>
      <c r="F125" s="14">
        <f>B125*masteryConfig!S$2+MAX(masteryExpConfig!B125-24,0)*masteryConfig!T$2+MAX(masteryExpConfig!B125-49,0)*masteryConfig!U$2</f>
        <v>7200</v>
      </c>
      <c r="G125" s="12">
        <v>1</v>
      </c>
      <c r="H125" s="18">
        <f>IF(A125=1,F125/(SUM(D$2:D125)*4),0)</f>
        <v>0</v>
      </c>
      <c r="I125" s="10">
        <v>24</v>
      </c>
    </row>
    <row r="126" spans="1:9" x14ac:dyDescent="0.15">
      <c r="A126" s="14">
        <v>2</v>
      </c>
      <c r="B126" s="14">
        <v>25</v>
      </c>
      <c r="C126" s="14">
        <v>22</v>
      </c>
      <c r="D126" s="15">
        <f t="shared" si="2"/>
        <v>37</v>
      </c>
      <c r="E126" s="14">
        <f t="shared" si="3"/>
        <v>204</v>
      </c>
      <c r="F126" s="14">
        <f>B126*masteryConfig!S$2+MAX(masteryExpConfig!B126-24,0)*masteryConfig!T$2+MAX(masteryExpConfig!B126-49,0)*masteryConfig!U$2</f>
        <v>7700</v>
      </c>
      <c r="G126" s="12">
        <v>2</v>
      </c>
      <c r="H126" s="18">
        <f>IF(A126=1,F126/(SUM(D$2:D126)*4),0)</f>
        <v>0</v>
      </c>
      <c r="I126" s="10">
        <v>25</v>
      </c>
    </row>
    <row r="127" spans="1:9" x14ac:dyDescent="0.15">
      <c r="A127" s="14">
        <v>2</v>
      </c>
      <c r="B127" s="14">
        <v>26</v>
      </c>
      <c r="C127" s="14">
        <v>22</v>
      </c>
      <c r="D127" s="15">
        <f t="shared" si="2"/>
        <v>40</v>
      </c>
      <c r="E127" s="14">
        <f t="shared" si="3"/>
        <v>205</v>
      </c>
      <c r="F127" s="14">
        <f>B127*masteryConfig!S$2+MAX(masteryExpConfig!B127-24,0)*masteryConfig!T$2+MAX(masteryExpConfig!B127-49,0)*masteryConfig!U$2</f>
        <v>8200</v>
      </c>
      <c r="G127" s="12">
        <v>2</v>
      </c>
      <c r="H127" s="18">
        <f>IF(A127=1,F127/(SUM(D$2:D127)*4),0)</f>
        <v>0</v>
      </c>
      <c r="I127" s="10">
        <v>27</v>
      </c>
    </row>
    <row r="128" spans="1:9" x14ac:dyDescent="0.15">
      <c r="A128" s="14">
        <v>2</v>
      </c>
      <c r="B128" s="14">
        <v>27</v>
      </c>
      <c r="C128" s="14">
        <v>22</v>
      </c>
      <c r="D128" s="15">
        <f t="shared" si="2"/>
        <v>43</v>
      </c>
      <c r="E128" s="14">
        <f t="shared" si="3"/>
        <v>206</v>
      </c>
      <c r="F128" s="14">
        <f>B128*masteryConfig!S$2+MAX(masteryExpConfig!B128-24,0)*masteryConfig!T$2+MAX(masteryExpConfig!B128-49,0)*masteryConfig!U$2</f>
        <v>8700</v>
      </c>
      <c r="G128" s="12">
        <v>2</v>
      </c>
      <c r="H128" s="18">
        <f>IF(A128=1,F128/(SUM(D$2:D128)*4),0)</f>
        <v>0</v>
      </c>
      <c r="I128" s="10">
        <v>29</v>
      </c>
    </row>
    <row r="129" spans="1:9" x14ac:dyDescent="0.15">
      <c r="A129" s="14">
        <v>2</v>
      </c>
      <c r="B129" s="14">
        <v>28</v>
      </c>
      <c r="C129" s="14">
        <v>22</v>
      </c>
      <c r="D129" s="15">
        <f t="shared" si="2"/>
        <v>46</v>
      </c>
      <c r="E129" s="14">
        <f t="shared" si="3"/>
        <v>207</v>
      </c>
      <c r="F129" s="14">
        <f>B129*masteryConfig!S$2+MAX(masteryExpConfig!B129-24,0)*masteryConfig!T$2+MAX(masteryExpConfig!B129-49,0)*masteryConfig!U$2</f>
        <v>9200</v>
      </c>
      <c r="G129" s="12">
        <v>2</v>
      </c>
      <c r="H129" s="18">
        <f>IF(A129=1,F129/(SUM(D$2:D129)*4),0)</f>
        <v>0</v>
      </c>
      <c r="I129" s="10">
        <v>31</v>
      </c>
    </row>
    <row r="130" spans="1:9" x14ac:dyDescent="0.15">
      <c r="A130" s="14">
        <v>2</v>
      </c>
      <c r="B130" s="14">
        <v>29</v>
      </c>
      <c r="C130" s="14">
        <v>22</v>
      </c>
      <c r="D130" s="15">
        <f t="shared" si="2"/>
        <v>49</v>
      </c>
      <c r="E130" s="14">
        <f t="shared" si="3"/>
        <v>208</v>
      </c>
      <c r="F130" s="14">
        <f>B130*masteryConfig!S$2+MAX(masteryExpConfig!B130-24,0)*masteryConfig!T$2+MAX(masteryExpConfig!B130-49,0)*masteryConfig!U$2</f>
        <v>9700</v>
      </c>
      <c r="G130" s="12">
        <v>2</v>
      </c>
      <c r="H130" s="18">
        <f>IF(A130=1,F130/(SUM(D$2:D130)*4),0)</f>
        <v>0</v>
      </c>
      <c r="I130" s="10">
        <v>33</v>
      </c>
    </row>
    <row r="131" spans="1:9" x14ac:dyDescent="0.15">
      <c r="A131" s="14">
        <v>2</v>
      </c>
      <c r="B131" s="14">
        <v>30</v>
      </c>
      <c r="C131" s="14">
        <v>22</v>
      </c>
      <c r="D131" s="15">
        <f t="shared" ref="D131:D194" si="4">INT(MAX(12,I131*1.5))</f>
        <v>52</v>
      </c>
      <c r="E131" s="14">
        <f t="shared" ref="E131:E194" si="5">B131+179</f>
        <v>209</v>
      </c>
      <c r="F131" s="14">
        <f>B131*masteryConfig!S$2+MAX(masteryExpConfig!B131-24,0)*masteryConfig!T$2+MAX(masteryExpConfig!B131-49,0)*masteryConfig!U$2</f>
        <v>10200</v>
      </c>
      <c r="G131" s="12">
        <v>2</v>
      </c>
      <c r="H131" s="18">
        <f>IF(A131=1,F131/(SUM(D$2:D131)*4),0)</f>
        <v>0</v>
      </c>
      <c r="I131" s="10">
        <v>35</v>
      </c>
    </row>
    <row r="132" spans="1:9" x14ac:dyDescent="0.15">
      <c r="A132" s="14">
        <v>2</v>
      </c>
      <c r="B132" s="14">
        <v>31</v>
      </c>
      <c r="C132" s="14">
        <v>22</v>
      </c>
      <c r="D132" s="15">
        <f t="shared" si="4"/>
        <v>55</v>
      </c>
      <c r="E132" s="14">
        <f t="shared" si="5"/>
        <v>210</v>
      </c>
      <c r="F132" s="14">
        <f>B132*masteryConfig!S$2+MAX(masteryExpConfig!B132-24,0)*masteryConfig!T$2+MAX(masteryExpConfig!B132-49,0)*masteryConfig!U$2</f>
        <v>10700</v>
      </c>
      <c r="G132" s="12">
        <v>2</v>
      </c>
      <c r="H132" s="18">
        <f>IF(A132=1,F132/(SUM(D$2:D132)*4),0)</f>
        <v>0</v>
      </c>
      <c r="I132" s="10">
        <v>37</v>
      </c>
    </row>
    <row r="133" spans="1:9" x14ac:dyDescent="0.15">
      <c r="A133" s="14">
        <v>2</v>
      </c>
      <c r="B133" s="14">
        <v>32</v>
      </c>
      <c r="C133" s="14">
        <v>22</v>
      </c>
      <c r="D133" s="15">
        <f t="shared" si="4"/>
        <v>58</v>
      </c>
      <c r="E133" s="14">
        <f t="shared" si="5"/>
        <v>211</v>
      </c>
      <c r="F133" s="14">
        <f>B133*masteryConfig!S$2+MAX(masteryExpConfig!B133-24,0)*masteryConfig!T$2+MAX(masteryExpConfig!B133-49,0)*masteryConfig!U$2</f>
        <v>11200</v>
      </c>
      <c r="G133" s="12">
        <v>2</v>
      </c>
      <c r="H133" s="18">
        <f>IF(A133=1,F133/(SUM(D$2:D133)*4),0)</f>
        <v>0</v>
      </c>
      <c r="I133" s="10">
        <v>39</v>
      </c>
    </row>
    <row r="134" spans="1:9" x14ac:dyDescent="0.15">
      <c r="A134" s="14">
        <v>2</v>
      </c>
      <c r="B134" s="14">
        <v>33</v>
      </c>
      <c r="C134" s="14">
        <v>22</v>
      </c>
      <c r="D134" s="15">
        <f t="shared" si="4"/>
        <v>61</v>
      </c>
      <c r="E134" s="14">
        <f t="shared" si="5"/>
        <v>212</v>
      </c>
      <c r="F134" s="14">
        <f>B134*masteryConfig!S$2+MAX(masteryExpConfig!B134-24,0)*masteryConfig!T$2+MAX(masteryExpConfig!B134-49,0)*masteryConfig!U$2</f>
        <v>11700</v>
      </c>
      <c r="G134" s="12">
        <v>2</v>
      </c>
      <c r="H134" s="18">
        <f>IF(A134=1,F134/(SUM(D$2:D134)*4),0)</f>
        <v>0</v>
      </c>
      <c r="I134" s="10">
        <v>41</v>
      </c>
    </row>
    <row r="135" spans="1:9" x14ac:dyDescent="0.15">
      <c r="A135" s="14">
        <v>2</v>
      </c>
      <c r="B135" s="14">
        <v>34</v>
      </c>
      <c r="C135" s="14">
        <v>22</v>
      </c>
      <c r="D135" s="15">
        <f t="shared" si="4"/>
        <v>64</v>
      </c>
      <c r="E135" s="14">
        <f t="shared" si="5"/>
        <v>213</v>
      </c>
      <c r="F135" s="14">
        <f>B135*masteryConfig!S$2+MAX(masteryExpConfig!B135-24,0)*masteryConfig!T$2+MAX(masteryExpConfig!B135-49,0)*masteryConfig!U$2</f>
        <v>12200</v>
      </c>
      <c r="G135" s="12">
        <v>2</v>
      </c>
      <c r="H135" s="18">
        <f>IF(A135=1,F135/(SUM(D$2:D135)*4),0)</f>
        <v>0</v>
      </c>
      <c r="I135" s="10">
        <v>43</v>
      </c>
    </row>
    <row r="136" spans="1:9" x14ac:dyDescent="0.15">
      <c r="A136" s="14">
        <v>2</v>
      </c>
      <c r="B136" s="14">
        <v>35</v>
      </c>
      <c r="C136" s="14">
        <v>22</v>
      </c>
      <c r="D136" s="15">
        <f t="shared" si="4"/>
        <v>67</v>
      </c>
      <c r="E136" s="14">
        <f t="shared" si="5"/>
        <v>214</v>
      </c>
      <c r="F136" s="14">
        <f>B136*masteryConfig!S$2+MAX(masteryExpConfig!B136-24,0)*masteryConfig!T$2+MAX(masteryExpConfig!B136-49,0)*masteryConfig!U$2</f>
        <v>12700</v>
      </c>
      <c r="G136" s="12">
        <v>2</v>
      </c>
      <c r="H136" s="18">
        <f>IF(A136=1,F136/(SUM(D$2:D136)*4),0)</f>
        <v>0</v>
      </c>
      <c r="I136" s="10">
        <v>45</v>
      </c>
    </row>
    <row r="137" spans="1:9" x14ac:dyDescent="0.15">
      <c r="A137" s="14">
        <v>2</v>
      </c>
      <c r="B137" s="14">
        <v>36</v>
      </c>
      <c r="C137" s="14">
        <v>22</v>
      </c>
      <c r="D137" s="15">
        <f t="shared" si="4"/>
        <v>70</v>
      </c>
      <c r="E137" s="14">
        <f t="shared" si="5"/>
        <v>215</v>
      </c>
      <c r="F137" s="14">
        <f>B137*masteryConfig!S$2+MAX(masteryExpConfig!B137-24,0)*masteryConfig!T$2+MAX(masteryExpConfig!B137-49,0)*masteryConfig!U$2</f>
        <v>13200</v>
      </c>
      <c r="G137" s="12">
        <v>2</v>
      </c>
      <c r="H137" s="18">
        <f>IF(A137=1,F137/(SUM(D$2:D137)*4),0)</f>
        <v>0</v>
      </c>
      <c r="I137" s="10">
        <v>47</v>
      </c>
    </row>
    <row r="138" spans="1:9" x14ac:dyDescent="0.15">
      <c r="A138" s="14">
        <v>2</v>
      </c>
      <c r="B138" s="14">
        <v>37</v>
      </c>
      <c r="C138" s="14">
        <v>22</v>
      </c>
      <c r="D138" s="15">
        <f t="shared" si="4"/>
        <v>73</v>
      </c>
      <c r="E138" s="14">
        <f t="shared" si="5"/>
        <v>216</v>
      </c>
      <c r="F138" s="14">
        <f>B138*masteryConfig!S$2+MAX(masteryExpConfig!B138-24,0)*masteryConfig!T$2+MAX(masteryExpConfig!B138-49,0)*masteryConfig!U$2</f>
        <v>13700</v>
      </c>
      <c r="G138" s="12">
        <v>2</v>
      </c>
      <c r="H138" s="18">
        <f>IF(A138=1,F138/(SUM(D$2:D138)*4),0)</f>
        <v>0</v>
      </c>
      <c r="I138" s="10">
        <v>49</v>
      </c>
    </row>
    <row r="139" spans="1:9" x14ac:dyDescent="0.15">
      <c r="A139" s="14">
        <v>2</v>
      </c>
      <c r="B139" s="14">
        <v>38</v>
      </c>
      <c r="C139" s="14">
        <v>22</v>
      </c>
      <c r="D139" s="15">
        <f t="shared" si="4"/>
        <v>76</v>
      </c>
      <c r="E139" s="14">
        <f t="shared" si="5"/>
        <v>217</v>
      </c>
      <c r="F139" s="14">
        <f>B139*masteryConfig!S$2+MAX(masteryExpConfig!B139-24,0)*masteryConfig!T$2+MAX(masteryExpConfig!B139-49,0)*masteryConfig!U$2</f>
        <v>14200</v>
      </c>
      <c r="G139" s="12">
        <v>2</v>
      </c>
      <c r="H139" s="18">
        <f>IF(A139=1,F139/(SUM(D$2:D139)*4),0)</f>
        <v>0</v>
      </c>
      <c r="I139" s="10">
        <v>51</v>
      </c>
    </row>
    <row r="140" spans="1:9" x14ac:dyDescent="0.15">
      <c r="A140" s="14">
        <v>2</v>
      </c>
      <c r="B140" s="14">
        <v>39</v>
      </c>
      <c r="C140" s="14">
        <v>22</v>
      </c>
      <c r="D140" s="15">
        <f t="shared" si="4"/>
        <v>79</v>
      </c>
      <c r="E140" s="14">
        <f t="shared" si="5"/>
        <v>218</v>
      </c>
      <c r="F140" s="14">
        <f>B140*masteryConfig!S$2+MAX(masteryExpConfig!B140-24,0)*masteryConfig!T$2+MAX(masteryExpConfig!B140-49,0)*masteryConfig!U$2</f>
        <v>14700</v>
      </c>
      <c r="G140" s="12">
        <v>2</v>
      </c>
      <c r="H140" s="18">
        <f>IF(A140=1,F140/(SUM(D$2:D140)*4),0)</f>
        <v>0</v>
      </c>
      <c r="I140" s="10">
        <v>53</v>
      </c>
    </row>
    <row r="141" spans="1:9" x14ac:dyDescent="0.15">
      <c r="A141" s="14">
        <v>2</v>
      </c>
      <c r="B141" s="14">
        <v>40</v>
      </c>
      <c r="C141" s="14">
        <v>22</v>
      </c>
      <c r="D141" s="15">
        <f t="shared" si="4"/>
        <v>82</v>
      </c>
      <c r="E141" s="14">
        <f t="shared" si="5"/>
        <v>219</v>
      </c>
      <c r="F141" s="14">
        <f>B141*masteryConfig!S$2+MAX(masteryExpConfig!B141-24,0)*masteryConfig!T$2+MAX(masteryExpConfig!B141-49,0)*masteryConfig!U$2</f>
        <v>15200</v>
      </c>
      <c r="G141" s="12">
        <v>2</v>
      </c>
      <c r="H141" s="18">
        <f>IF(A141=1,F141/(SUM(D$2:D141)*4),0)</f>
        <v>0</v>
      </c>
      <c r="I141" s="10">
        <v>55</v>
      </c>
    </row>
    <row r="142" spans="1:9" x14ac:dyDescent="0.15">
      <c r="A142" s="14">
        <v>2</v>
      </c>
      <c r="B142" s="14">
        <v>41</v>
      </c>
      <c r="C142" s="14">
        <v>22</v>
      </c>
      <c r="D142" s="15">
        <f t="shared" si="4"/>
        <v>85</v>
      </c>
      <c r="E142" s="14">
        <f t="shared" si="5"/>
        <v>220</v>
      </c>
      <c r="F142" s="14">
        <f>B142*masteryConfig!S$2+MAX(masteryExpConfig!B142-24,0)*masteryConfig!T$2+MAX(masteryExpConfig!B142-49,0)*masteryConfig!U$2</f>
        <v>15700</v>
      </c>
      <c r="G142" s="12">
        <v>2</v>
      </c>
      <c r="H142" s="18">
        <f>IF(A142=1,F142/(SUM(D$2:D142)*4),0)</f>
        <v>0</v>
      </c>
      <c r="I142" s="10">
        <v>57</v>
      </c>
    </row>
    <row r="143" spans="1:9" x14ac:dyDescent="0.15">
      <c r="A143" s="14">
        <v>2</v>
      </c>
      <c r="B143" s="14">
        <v>42</v>
      </c>
      <c r="C143" s="14">
        <v>22</v>
      </c>
      <c r="D143" s="15">
        <f t="shared" si="4"/>
        <v>88</v>
      </c>
      <c r="E143" s="14">
        <f t="shared" si="5"/>
        <v>221</v>
      </c>
      <c r="F143" s="14">
        <f>B143*masteryConfig!S$2+MAX(masteryExpConfig!B143-24,0)*masteryConfig!T$2+MAX(masteryExpConfig!B143-49,0)*masteryConfig!U$2</f>
        <v>16200</v>
      </c>
      <c r="G143" s="12">
        <v>2</v>
      </c>
      <c r="H143" s="18">
        <f>IF(A143=1,F143/(SUM(D$2:D143)*4),0)</f>
        <v>0</v>
      </c>
      <c r="I143" s="10">
        <v>59</v>
      </c>
    </row>
    <row r="144" spans="1:9" x14ac:dyDescent="0.15">
      <c r="A144" s="14">
        <v>2</v>
      </c>
      <c r="B144" s="14">
        <v>43</v>
      </c>
      <c r="C144" s="14">
        <v>22</v>
      </c>
      <c r="D144" s="15">
        <f t="shared" si="4"/>
        <v>91</v>
      </c>
      <c r="E144" s="14">
        <f t="shared" si="5"/>
        <v>222</v>
      </c>
      <c r="F144" s="14">
        <f>B144*masteryConfig!S$2+MAX(masteryExpConfig!B144-24,0)*masteryConfig!T$2+MAX(masteryExpConfig!B144-49,0)*masteryConfig!U$2</f>
        <v>16700</v>
      </c>
      <c r="G144" s="12">
        <v>2</v>
      </c>
      <c r="H144" s="18">
        <f>IF(A144=1,F144/(SUM(D$2:D144)*4),0)</f>
        <v>0</v>
      </c>
      <c r="I144" s="10">
        <v>61</v>
      </c>
    </row>
    <row r="145" spans="1:9" x14ac:dyDescent="0.15">
      <c r="A145" s="14">
        <v>2</v>
      </c>
      <c r="B145" s="14">
        <v>44</v>
      </c>
      <c r="C145" s="14">
        <v>22</v>
      </c>
      <c r="D145" s="15">
        <f t="shared" si="4"/>
        <v>94</v>
      </c>
      <c r="E145" s="14">
        <f t="shared" si="5"/>
        <v>223</v>
      </c>
      <c r="F145" s="14">
        <f>B145*masteryConfig!S$2+MAX(masteryExpConfig!B145-24,0)*masteryConfig!T$2+MAX(masteryExpConfig!B145-49,0)*masteryConfig!U$2</f>
        <v>17200</v>
      </c>
      <c r="G145" s="12">
        <v>2</v>
      </c>
      <c r="H145" s="18">
        <f>IF(A145=1,F145/(SUM(D$2:D145)*4),0)</f>
        <v>0</v>
      </c>
      <c r="I145" s="10">
        <v>63</v>
      </c>
    </row>
    <row r="146" spans="1:9" x14ac:dyDescent="0.15">
      <c r="A146" s="14">
        <v>2</v>
      </c>
      <c r="B146" s="14">
        <v>45</v>
      </c>
      <c r="C146" s="14">
        <v>22</v>
      </c>
      <c r="D146" s="15">
        <f t="shared" si="4"/>
        <v>97</v>
      </c>
      <c r="E146" s="14">
        <f t="shared" si="5"/>
        <v>224</v>
      </c>
      <c r="F146" s="14">
        <f>B146*masteryConfig!S$2+MAX(masteryExpConfig!B146-24,0)*masteryConfig!T$2+MAX(masteryExpConfig!B146-49,0)*masteryConfig!U$2</f>
        <v>17700</v>
      </c>
      <c r="G146" s="12">
        <v>2</v>
      </c>
      <c r="H146" s="18">
        <f>IF(A146=1,F146/(SUM(D$2:D146)*4),0)</f>
        <v>0</v>
      </c>
      <c r="I146" s="10">
        <v>65</v>
      </c>
    </row>
    <row r="147" spans="1:9" x14ac:dyDescent="0.15">
      <c r="A147" s="14">
        <v>2</v>
      </c>
      <c r="B147" s="14">
        <v>46</v>
      </c>
      <c r="C147" s="14">
        <v>22</v>
      </c>
      <c r="D147" s="15">
        <f t="shared" si="4"/>
        <v>100</v>
      </c>
      <c r="E147" s="14">
        <f t="shared" si="5"/>
        <v>225</v>
      </c>
      <c r="F147" s="14">
        <f>B147*masteryConfig!S$2+MAX(masteryExpConfig!B147-24,0)*masteryConfig!T$2+MAX(masteryExpConfig!B147-49,0)*masteryConfig!U$2</f>
        <v>18200</v>
      </c>
      <c r="G147" s="12">
        <v>2</v>
      </c>
      <c r="H147" s="18">
        <f>IF(A147=1,F147/(SUM(D$2:D147)*4),0)</f>
        <v>0</v>
      </c>
      <c r="I147" s="10">
        <v>67</v>
      </c>
    </row>
    <row r="148" spans="1:9" x14ac:dyDescent="0.15">
      <c r="A148" s="14">
        <v>2</v>
      </c>
      <c r="B148" s="14">
        <v>47</v>
      </c>
      <c r="C148" s="14">
        <v>22</v>
      </c>
      <c r="D148" s="15">
        <f t="shared" si="4"/>
        <v>103</v>
      </c>
      <c r="E148" s="14">
        <f t="shared" si="5"/>
        <v>226</v>
      </c>
      <c r="F148" s="14">
        <f>B148*masteryConfig!S$2+MAX(masteryExpConfig!B148-24,0)*masteryConfig!T$2+MAX(masteryExpConfig!B148-49,0)*masteryConfig!U$2</f>
        <v>18700</v>
      </c>
      <c r="G148" s="12">
        <v>2</v>
      </c>
      <c r="H148" s="18">
        <f>IF(A148=1,F148/(SUM(D$2:D148)*4),0)</f>
        <v>0</v>
      </c>
      <c r="I148" s="10">
        <v>69</v>
      </c>
    </row>
    <row r="149" spans="1:9" x14ac:dyDescent="0.15">
      <c r="A149" s="14">
        <v>2</v>
      </c>
      <c r="B149" s="14">
        <v>48</v>
      </c>
      <c r="C149" s="14">
        <v>22</v>
      </c>
      <c r="D149" s="15">
        <f t="shared" si="4"/>
        <v>106</v>
      </c>
      <c r="E149" s="14">
        <f t="shared" si="5"/>
        <v>227</v>
      </c>
      <c r="F149" s="14">
        <f>B149*masteryConfig!S$2+MAX(masteryExpConfig!B149-24,0)*masteryConfig!T$2+MAX(masteryExpConfig!B149-49,0)*masteryConfig!U$2</f>
        <v>19200</v>
      </c>
      <c r="G149" s="12">
        <v>2</v>
      </c>
      <c r="H149" s="18">
        <f>IF(A149=1,F149/(SUM(D$2:D149)*4),0)</f>
        <v>0</v>
      </c>
      <c r="I149" s="10">
        <v>71</v>
      </c>
    </row>
    <row r="150" spans="1:9" x14ac:dyDescent="0.15">
      <c r="A150" s="14">
        <v>2</v>
      </c>
      <c r="B150" s="14">
        <v>49</v>
      </c>
      <c r="C150" s="14">
        <v>22</v>
      </c>
      <c r="D150" s="15">
        <f t="shared" si="4"/>
        <v>109</v>
      </c>
      <c r="E150" s="14">
        <f t="shared" si="5"/>
        <v>228</v>
      </c>
      <c r="F150" s="14">
        <f>B150*masteryConfig!S$2+MAX(masteryExpConfig!B150-24,0)*masteryConfig!T$2+MAX(masteryExpConfig!B150-49,0)*masteryConfig!U$2</f>
        <v>19700</v>
      </c>
      <c r="G150" s="12">
        <v>2</v>
      </c>
      <c r="H150" s="18">
        <f>IF(A150=1,F150/(SUM(D$2:D150)*4),0)</f>
        <v>0</v>
      </c>
      <c r="I150" s="10">
        <v>73</v>
      </c>
    </row>
    <row r="151" spans="1:9" x14ac:dyDescent="0.15">
      <c r="A151" s="14">
        <v>2</v>
      </c>
      <c r="B151" s="14">
        <v>50</v>
      </c>
      <c r="C151" s="14">
        <v>22</v>
      </c>
      <c r="D151" s="15">
        <f t="shared" si="4"/>
        <v>112</v>
      </c>
      <c r="E151" s="14">
        <f t="shared" si="5"/>
        <v>229</v>
      </c>
      <c r="F151" s="14">
        <f>B151*masteryConfig!S$2+MAX(masteryExpConfig!B151-24,0)*masteryConfig!T$2+MAX(masteryExpConfig!B151-49,0)*masteryConfig!U$2</f>
        <v>20400</v>
      </c>
      <c r="G151" s="12">
        <v>3</v>
      </c>
      <c r="H151" s="18">
        <f>IF(A151=1,F151/(SUM(D$2:D151)*4),0)</f>
        <v>0</v>
      </c>
      <c r="I151" s="10">
        <v>75</v>
      </c>
    </row>
    <row r="152" spans="1:9" x14ac:dyDescent="0.15">
      <c r="A152" s="14">
        <v>2</v>
      </c>
      <c r="B152" s="14">
        <v>51</v>
      </c>
      <c r="C152" s="14">
        <v>22</v>
      </c>
      <c r="D152" s="15">
        <f t="shared" si="4"/>
        <v>117</v>
      </c>
      <c r="E152" s="14">
        <f t="shared" si="5"/>
        <v>230</v>
      </c>
      <c r="F152" s="14">
        <f>B152*masteryConfig!S$2+MAX(masteryExpConfig!B152-24,0)*masteryConfig!T$2+MAX(masteryExpConfig!B152-49,0)*masteryConfig!U$2</f>
        <v>21100</v>
      </c>
      <c r="G152" s="12">
        <v>3</v>
      </c>
      <c r="H152" s="18">
        <f>IF(A152=1,F152/(SUM(D$2:D152)*4),0)</f>
        <v>0</v>
      </c>
      <c r="I152" s="10">
        <v>78</v>
      </c>
    </row>
    <row r="153" spans="1:9" x14ac:dyDescent="0.15">
      <c r="A153" s="14">
        <v>2</v>
      </c>
      <c r="B153" s="14">
        <v>52</v>
      </c>
      <c r="C153" s="14">
        <v>22</v>
      </c>
      <c r="D153" s="15">
        <f t="shared" si="4"/>
        <v>121</v>
      </c>
      <c r="E153" s="14">
        <f t="shared" si="5"/>
        <v>231</v>
      </c>
      <c r="F153" s="14">
        <f>B153*masteryConfig!S$2+MAX(masteryExpConfig!B153-24,0)*masteryConfig!T$2+MAX(masteryExpConfig!B153-49,0)*masteryConfig!U$2</f>
        <v>21800</v>
      </c>
      <c r="G153" s="12">
        <v>3</v>
      </c>
      <c r="H153" s="18">
        <f>IF(A153=1,F153/(SUM(D$2:D153)*4),0)</f>
        <v>0</v>
      </c>
      <c r="I153" s="10">
        <v>81</v>
      </c>
    </row>
    <row r="154" spans="1:9" x14ac:dyDescent="0.15">
      <c r="A154" s="14">
        <v>2</v>
      </c>
      <c r="B154" s="14">
        <v>53</v>
      </c>
      <c r="C154" s="14">
        <v>22</v>
      </c>
      <c r="D154" s="15">
        <f t="shared" si="4"/>
        <v>126</v>
      </c>
      <c r="E154" s="14">
        <f t="shared" si="5"/>
        <v>232</v>
      </c>
      <c r="F154" s="14">
        <f>B154*masteryConfig!S$2+MAX(masteryExpConfig!B154-24,0)*masteryConfig!T$2+MAX(masteryExpConfig!B154-49,0)*masteryConfig!U$2</f>
        <v>22500</v>
      </c>
      <c r="G154" s="12">
        <v>3</v>
      </c>
      <c r="H154" s="18">
        <f>IF(A154=1,F154/(SUM(D$2:D154)*4),0)</f>
        <v>0</v>
      </c>
      <c r="I154" s="10">
        <v>84</v>
      </c>
    </row>
    <row r="155" spans="1:9" x14ac:dyDescent="0.15">
      <c r="A155" s="14">
        <v>2</v>
      </c>
      <c r="B155" s="14">
        <v>54</v>
      </c>
      <c r="C155" s="14">
        <v>22</v>
      </c>
      <c r="D155" s="15">
        <f t="shared" si="4"/>
        <v>130</v>
      </c>
      <c r="E155" s="14">
        <f t="shared" si="5"/>
        <v>233</v>
      </c>
      <c r="F155" s="14">
        <f>B155*masteryConfig!S$2+MAX(masteryExpConfig!B155-24,0)*masteryConfig!T$2+MAX(masteryExpConfig!B155-49,0)*masteryConfig!U$2</f>
        <v>23200</v>
      </c>
      <c r="G155" s="12">
        <v>3</v>
      </c>
      <c r="H155" s="18">
        <f>IF(A155=1,F155/(SUM(D$2:D155)*4),0)</f>
        <v>0</v>
      </c>
      <c r="I155" s="10">
        <v>87</v>
      </c>
    </row>
    <row r="156" spans="1:9" x14ac:dyDescent="0.15">
      <c r="A156" s="14">
        <v>2</v>
      </c>
      <c r="B156" s="14">
        <v>55</v>
      </c>
      <c r="C156" s="14">
        <v>22</v>
      </c>
      <c r="D156" s="15">
        <f t="shared" si="4"/>
        <v>135</v>
      </c>
      <c r="E156" s="14">
        <f t="shared" si="5"/>
        <v>234</v>
      </c>
      <c r="F156" s="14">
        <f>B156*masteryConfig!S$2+MAX(masteryExpConfig!B156-24,0)*masteryConfig!T$2+MAX(masteryExpConfig!B156-49,0)*masteryConfig!U$2</f>
        <v>23900</v>
      </c>
      <c r="G156" s="12">
        <v>3</v>
      </c>
      <c r="H156" s="18">
        <f>IF(A156=1,F156/(SUM(D$2:D156)*4),0)</f>
        <v>0</v>
      </c>
      <c r="I156" s="10">
        <v>90</v>
      </c>
    </row>
    <row r="157" spans="1:9" x14ac:dyDescent="0.15">
      <c r="A157" s="14">
        <v>2</v>
      </c>
      <c r="B157" s="14">
        <v>56</v>
      </c>
      <c r="C157" s="14">
        <v>22</v>
      </c>
      <c r="D157" s="15">
        <f t="shared" si="4"/>
        <v>139</v>
      </c>
      <c r="E157" s="14">
        <f t="shared" si="5"/>
        <v>235</v>
      </c>
      <c r="F157" s="14">
        <f>B157*masteryConfig!S$2+MAX(masteryExpConfig!B157-24,0)*masteryConfig!T$2+MAX(masteryExpConfig!B157-49,0)*masteryConfig!U$2</f>
        <v>24600</v>
      </c>
      <c r="G157" s="12">
        <v>3</v>
      </c>
      <c r="H157" s="18">
        <f>IF(A157=1,F157/(SUM(D$2:D157)*4),0)</f>
        <v>0</v>
      </c>
      <c r="I157" s="10">
        <v>93</v>
      </c>
    </row>
    <row r="158" spans="1:9" x14ac:dyDescent="0.15">
      <c r="A158" s="14">
        <v>2</v>
      </c>
      <c r="B158" s="14">
        <v>57</v>
      </c>
      <c r="C158" s="14">
        <v>22</v>
      </c>
      <c r="D158" s="15">
        <f t="shared" si="4"/>
        <v>144</v>
      </c>
      <c r="E158" s="14">
        <f t="shared" si="5"/>
        <v>236</v>
      </c>
      <c r="F158" s="14">
        <f>B158*masteryConfig!S$2+MAX(masteryExpConfig!B158-24,0)*masteryConfig!T$2+MAX(masteryExpConfig!B158-49,0)*masteryConfig!U$2</f>
        <v>25300</v>
      </c>
      <c r="G158" s="12">
        <v>3</v>
      </c>
      <c r="H158" s="18">
        <f>IF(A158=1,F158/(SUM(D$2:D158)*4),0)</f>
        <v>0</v>
      </c>
      <c r="I158" s="10">
        <v>96</v>
      </c>
    </row>
    <row r="159" spans="1:9" x14ac:dyDescent="0.15">
      <c r="A159" s="14">
        <v>2</v>
      </c>
      <c r="B159" s="14">
        <v>58</v>
      </c>
      <c r="C159" s="14">
        <v>22</v>
      </c>
      <c r="D159" s="15">
        <f t="shared" si="4"/>
        <v>148</v>
      </c>
      <c r="E159" s="14">
        <f t="shared" si="5"/>
        <v>237</v>
      </c>
      <c r="F159" s="14">
        <f>B159*masteryConfig!S$2+MAX(masteryExpConfig!B159-24,0)*masteryConfig!T$2+MAX(masteryExpConfig!B159-49,0)*masteryConfig!U$2</f>
        <v>26000</v>
      </c>
      <c r="G159" s="12">
        <v>3</v>
      </c>
      <c r="H159" s="18">
        <f>IF(A159=1,F159/(SUM(D$2:D159)*4),0)</f>
        <v>0</v>
      </c>
      <c r="I159" s="10">
        <v>99</v>
      </c>
    </row>
    <row r="160" spans="1:9" x14ac:dyDescent="0.15">
      <c r="A160" s="14">
        <v>2</v>
      </c>
      <c r="B160" s="14">
        <v>59</v>
      </c>
      <c r="C160" s="14">
        <v>22</v>
      </c>
      <c r="D160" s="15">
        <f t="shared" si="4"/>
        <v>153</v>
      </c>
      <c r="E160" s="14">
        <f t="shared" si="5"/>
        <v>238</v>
      </c>
      <c r="F160" s="14">
        <f>B160*masteryConfig!S$2+MAX(masteryExpConfig!B160-24,0)*masteryConfig!T$2+MAX(masteryExpConfig!B160-49,0)*masteryConfig!U$2</f>
        <v>26700</v>
      </c>
      <c r="G160" s="12">
        <v>3</v>
      </c>
      <c r="H160" s="18">
        <f>IF(A160=1,F160/(SUM(D$2:D160)*4),0)</f>
        <v>0</v>
      </c>
      <c r="I160" s="10">
        <v>102</v>
      </c>
    </row>
    <row r="161" spans="1:9" x14ac:dyDescent="0.15">
      <c r="A161" s="14">
        <v>2</v>
      </c>
      <c r="B161" s="14">
        <v>60</v>
      </c>
      <c r="C161" s="14">
        <v>22</v>
      </c>
      <c r="D161" s="15">
        <f t="shared" si="4"/>
        <v>157</v>
      </c>
      <c r="E161" s="14">
        <f t="shared" si="5"/>
        <v>239</v>
      </c>
      <c r="F161" s="14">
        <f>B161*masteryConfig!S$2+MAX(masteryExpConfig!B161-24,0)*masteryConfig!T$2+MAX(masteryExpConfig!B161-49,0)*masteryConfig!U$2</f>
        <v>27400</v>
      </c>
      <c r="G161" s="12">
        <v>3</v>
      </c>
      <c r="H161" s="18">
        <f>IF(A161=1,F161/(SUM(D$2:D161)*4),0)</f>
        <v>0</v>
      </c>
      <c r="I161" s="10">
        <v>105</v>
      </c>
    </row>
    <row r="162" spans="1:9" x14ac:dyDescent="0.15">
      <c r="A162" s="14">
        <v>2</v>
      </c>
      <c r="B162" s="14">
        <v>61</v>
      </c>
      <c r="C162" s="14">
        <v>22</v>
      </c>
      <c r="D162" s="15">
        <f t="shared" si="4"/>
        <v>162</v>
      </c>
      <c r="E162" s="14">
        <f t="shared" si="5"/>
        <v>240</v>
      </c>
      <c r="F162" s="14">
        <f>B162*masteryConfig!S$2+MAX(masteryExpConfig!B162-24,0)*masteryConfig!T$2+MAX(masteryExpConfig!B162-49,0)*masteryConfig!U$2</f>
        <v>28100</v>
      </c>
      <c r="G162" s="12">
        <v>3</v>
      </c>
      <c r="H162" s="18">
        <f>IF(A162=1,F162/(SUM(D$2:D162)*4),0)</f>
        <v>0</v>
      </c>
      <c r="I162" s="10">
        <v>108</v>
      </c>
    </row>
    <row r="163" spans="1:9" x14ac:dyDescent="0.15">
      <c r="A163" s="14">
        <v>2</v>
      </c>
      <c r="B163" s="14">
        <v>62</v>
      </c>
      <c r="C163" s="14">
        <v>22</v>
      </c>
      <c r="D163" s="15">
        <f t="shared" si="4"/>
        <v>166</v>
      </c>
      <c r="E163" s="14">
        <f t="shared" si="5"/>
        <v>241</v>
      </c>
      <c r="F163" s="14">
        <f>B163*masteryConfig!S$2+MAX(masteryExpConfig!B163-24,0)*masteryConfig!T$2+MAX(masteryExpConfig!B163-49,0)*masteryConfig!U$2</f>
        <v>28800</v>
      </c>
      <c r="G163" s="12">
        <v>3</v>
      </c>
      <c r="H163" s="18">
        <f>IF(A163=1,F163/(SUM(D$2:D163)*4),0)</f>
        <v>0</v>
      </c>
      <c r="I163" s="10">
        <v>111</v>
      </c>
    </row>
    <row r="164" spans="1:9" x14ac:dyDescent="0.15">
      <c r="A164" s="14">
        <v>2</v>
      </c>
      <c r="B164" s="14">
        <v>63</v>
      </c>
      <c r="C164" s="14">
        <v>22</v>
      </c>
      <c r="D164" s="15">
        <f t="shared" si="4"/>
        <v>171</v>
      </c>
      <c r="E164" s="14">
        <f t="shared" si="5"/>
        <v>242</v>
      </c>
      <c r="F164" s="14">
        <f>B164*masteryConfig!S$2+MAX(masteryExpConfig!B164-24,0)*masteryConfig!T$2+MAX(masteryExpConfig!B164-49,0)*masteryConfig!U$2</f>
        <v>29500</v>
      </c>
      <c r="G164" s="12">
        <v>3</v>
      </c>
      <c r="H164" s="18">
        <f>IF(A164=1,F164/(SUM(D$2:D164)*4),0)</f>
        <v>0</v>
      </c>
      <c r="I164" s="10">
        <v>114</v>
      </c>
    </row>
    <row r="165" spans="1:9" x14ac:dyDescent="0.15">
      <c r="A165" s="14">
        <v>2</v>
      </c>
      <c r="B165" s="14">
        <v>64</v>
      </c>
      <c r="C165" s="14">
        <v>22</v>
      </c>
      <c r="D165" s="15">
        <f t="shared" si="4"/>
        <v>175</v>
      </c>
      <c r="E165" s="14">
        <f t="shared" si="5"/>
        <v>243</v>
      </c>
      <c r="F165" s="14">
        <f>B165*masteryConfig!S$2+MAX(masteryExpConfig!B165-24,0)*masteryConfig!T$2+MAX(masteryExpConfig!B165-49,0)*masteryConfig!U$2</f>
        <v>30200</v>
      </c>
      <c r="G165" s="12">
        <v>3</v>
      </c>
      <c r="H165" s="18">
        <f>IF(A165=1,F165/(SUM(D$2:D165)*4),0)</f>
        <v>0</v>
      </c>
      <c r="I165" s="10">
        <v>117</v>
      </c>
    </row>
    <row r="166" spans="1:9" x14ac:dyDescent="0.15">
      <c r="A166" s="14">
        <v>2</v>
      </c>
      <c r="B166" s="14">
        <v>65</v>
      </c>
      <c r="C166" s="14">
        <v>22</v>
      </c>
      <c r="D166" s="15">
        <f t="shared" si="4"/>
        <v>180</v>
      </c>
      <c r="E166" s="14">
        <f t="shared" si="5"/>
        <v>244</v>
      </c>
      <c r="F166" s="14">
        <f>B166*masteryConfig!S$2+MAX(masteryExpConfig!B166-24,0)*masteryConfig!T$2+MAX(masteryExpConfig!B166-49,0)*masteryConfig!U$2</f>
        <v>30900</v>
      </c>
      <c r="G166" s="12">
        <v>3</v>
      </c>
      <c r="H166" s="18">
        <f>IF(A166=1,F166/(SUM(D$2:D166)*4),0)</f>
        <v>0</v>
      </c>
      <c r="I166" s="10">
        <v>120</v>
      </c>
    </row>
    <row r="167" spans="1:9" x14ac:dyDescent="0.15">
      <c r="A167" s="14">
        <v>2</v>
      </c>
      <c r="B167" s="14">
        <v>66</v>
      </c>
      <c r="C167" s="14">
        <v>22</v>
      </c>
      <c r="D167" s="15">
        <f t="shared" si="4"/>
        <v>184</v>
      </c>
      <c r="E167" s="14">
        <f t="shared" si="5"/>
        <v>245</v>
      </c>
      <c r="F167" s="14">
        <f>B167*masteryConfig!S$2+MAX(masteryExpConfig!B167-24,0)*masteryConfig!T$2+MAX(masteryExpConfig!B167-49,0)*masteryConfig!U$2</f>
        <v>31600</v>
      </c>
      <c r="G167" s="12">
        <v>3</v>
      </c>
      <c r="H167" s="18">
        <f>IF(A167=1,F167/(SUM(D$2:D167)*4),0)</f>
        <v>0</v>
      </c>
      <c r="I167" s="10">
        <v>123</v>
      </c>
    </row>
    <row r="168" spans="1:9" x14ac:dyDescent="0.15">
      <c r="A168" s="14">
        <v>2</v>
      </c>
      <c r="B168" s="14">
        <v>67</v>
      </c>
      <c r="C168" s="14">
        <v>22</v>
      </c>
      <c r="D168" s="15">
        <f t="shared" si="4"/>
        <v>189</v>
      </c>
      <c r="E168" s="14">
        <f t="shared" si="5"/>
        <v>246</v>
      </c>
      <c r="F168" s="14">
        <f>B168*masteryConfig!S$2+MAX(masteryExpConfig!B168-24,0)*masteryConfig!T$2+MAX(masteryExpConfig!B168-49,0)*masteryConfig!U$2</f>
        <v>32300</v>
      </c>
      <c r="G168" s="12">
        <v>3</v>
      </c>
      <c r="H168" s="18">
        <f>IF(A168=1,F168/(SUM(D$2:D168)*4),0)</f>
        <v>0</v>
      </c>
      <c r="I168" s="10">
        <v>126</v>
      </c>
    </row>
    <row r="169" spans="1:9" x14ac:dyDescent="0.15">
      <c r="A169" s="14">
        <v>2</v>
      </c>
      <c r="B169" s="14">
        <v>68</v>
      </c>
      <c r="C169" s="14">
        <v>22</v>
      </c>
      <c r="D169" s="15">
        <f t="shared" si="4"/>
        <v>193</v>
      </c>
      <c r="E169" s="14">
        <f t="shared" si="5"/>
        <v>247</v>
      </c>
      <c r="F169" s="14">
        <f>B169*masteryConfig!S$2+MAX(masteryExpConfig!B169-24,0)*masteryConfig!T$2+MAX(masteryExpConfig!B169-49,0)*masteryConfig!U$2</f>
        <v>33000</v>
      </c>
      <c r="G169" s="12">
        <v>3</v>
      </c>
      <c r="H169" s="18">
        <f>IF(A169=1,F169/(SUM(D$2:D169)*4),0)</f>
        <v>0</v>
      </c>
      <c r="I169" s="10">
        <v>129</v>
      </c>
    </row>
    <row r="170" spans="1:9" x14ac:dyDescent="0.15">
      <c r="A170" s="14">
        <v>2</v>
      </c>
      <c r="B170" s="14">
        <v>69</v>
      </c>
      <c r="C170" s="14">
        <v>22</v>
      </c>
      <c r="D170" s="15">
        <f t="shared" si="4"/>
        <v>198</v>
      </c>
      <c r="E170" s="14">
        <f t="shared" si="5"/>
        <v>248</v>
      </c>
      <c r="F170" s="14">
        <f>B170*masteryConfig!S$2+MAX(masteryExpConfig!B170-24,0)*masteryConfig!T$2+MAX(masteryExpConfig!B170-49,0)*masteryConfig!U$2</f>
        <v>33700</v>
      </c>
      <c r="G170" s="12">
        <v>3</v>
      </c>
      <c r="H170" s="18">
        <f>IF(A170=1,F170/(SUM(D$2:D170)*4),0)</f>
        <v>0</v>
      </c>
      <c r="I170" s="10">
        <v>132</v>
      </c>
    </row>
    <row r="171" spans="1:9" x14ac:dyDescent="0.15">
      <c r="A171" s="14">
        <v>2</v>
      </c>
      <c r="B171" s="14">
        <v>70</v>
      </c>
      <c r="C171" s="14">
        <v>22</v>
      </c>
      <c r="D171" s="15">
        <f t="shared" si="4"/>
        <v>202</v>
      </c>
      <c r="E171" s="14">
        <f t="shared" si="5"/>
        <v>249</v>
      </c>
      <c r="F171" s="14">
        <f>B171*masteryConfig!S$2+MAX(masteryExpConfig!B171-24,0)*masteryConfig!T$2+MAX(masteryExpConfig!B171-49,0)*masteryConfig!U$2</f>
        <v>34400</v>
      </c>
      <c r="G171" s="12">
        <v>3</v>
      </c>
      <c r="H171" s="18">
        <f>IF(A171=1,F171/(SUM(D$2:D171)*4),0)</f>
        <v>0</v>
      </c>
      <c r="I171" s="10">
        <v>135</v>
      </c>
    </row>
    <row r="172" spans="1:9" x14ac:dyDescent="0.15">
      <c r="A172" s="14">
        <v>2</v>
      </c>
      <c r="B172" s="14">
        <v>71</v>
      </c>
      <c r="C172" s="14">
        <v>22</v>
      </c>
      <c r="D172" s="15">
        <f t="shared" si="4"/>
        <v>207</v>
      </c>
      <c r="E172" s="14">
        <f t="shared" si="5"/>
        <v>250</v>
      </c>
      <c r="F172" s="14">
        <f>B172*masteryConfig!S$2+MAX(masteryExpConfig!B172-24,0)*masteryConfig!T$2+MAX(masteryExpConfig!B172-49,0)*masteryConfig!U$2</f>
        <v>35100</v>
      </c>
      <c r="G172" s="12">
        <v>3</v>
      </c>
      <c r="H172" s="18">
        <f>IF(A172=1,F172/(SUM(D$2:D172)*4),0)</f>
        <v>0</v>
      </c>
      <c r="I172" s="10">
        <v>138</v>
      </c>
    </row>
    <row r="173" spans="1:9" x14ac:dyDescent="0.15">
      <c r="A173" s="14">
        <v>2</v>
      </c>
      <c r="B173" s="14">
        <v>72</v>
      </c>
      <c r="C173" s="14">
        <v>22</v>
      </c>
      <c r="D173" s="15">
        <f t="shared" si="4"/>
        <v>211</v>
      </c>
      <c r="E173" s="14">
        <f t="shared" si="5"/>
        <v>251</v>
      </c>
      <c r="F173" s="14">
        <f>B173*masteryConfig!S$2+MAX(masteryExpConfig!B173-24,0)*masteryConfig!T$2+MAX(masteryExpConfig!B173-49,0)*masteryConfig!U$2</f>
        <v>35800</v>
      </c>
      <c r="G173" s="12">
        <v>3</v>
      </c>
      <c r="H173" s="18">
        <f>IF(A173=1,F173/(SUM(D$2:D173)*4),0)</f>
        <v>0</v>
      </c>
      <c r="I173" s="10">
        <v>141</v>
      </c>
    </row>
    <row r="174" spans="1:9" x14ac:dyDescent="0.15">
      <c r="A174" s="14">
        <v>2</v>
      </c>
      <c r="B174" s="14">
        <v>73</v>
      </c>
      <c r="C174" s="14">
        <v>22</v>
      </c>
      <c r="D174" s="15">
        <f t="shared" si="4"/>
        <v>216</v>
      </c>
      <c r="E174" s="14">
        <f t="shared" si="5"/>
        <v>252</v>
      </c>
      <c r="F174" s="14">
        <f>B174*masteryConfig!S$2+MAX(masteryExpConfig!B174-24,0)*masteryConfig!T$2+MAX(masteryExpConfig!B174-49,0)*masteryConfig!U$2</f>
        <v>36500</v>
      </c>
      <c r="G174" s="12">
        <v>3</v>
      </c>
      <c r="H174" s="18">
        <f>IF(A174=1,F174/(SUM(D$2:D174)*4),0)</f>
        <v>0</v>
      </c>
      <c r="I174" s="10">
        <v>144</v>
      </c>
    </row>
    <row r="175" spans="1:9" x14ac:dyDescent="0.15">
      <c r="A175" s="14">
        <v>2</v>
      </c>
      <c r="B175" s="14">
        <v>74</v>
      </c>
      <c r="C175" s="14">
        <v>22</v>
      </c>
      <c r="D175" s="15">
        <f t="shared" si="4"/>
        <v>220</v>
      </c>
      <c r="E175" s="14">
        <f t="shared" si="5"/>
        <v>253</v>
      </c>
      <c r="F175" s="14">
        <f>B175*masteryConfig!S$2+MAX(masteryExpConfig!B175-24,0)*masteryConfig!T$2+MAX(masteryExpConfig!B175-49,0)*masteryConfig!U$2</f>
        <v>37200</v>
      </c>
      <c r="G175" s="12">
        <v>3</v>
      </c>
      <c r="H175" s="18">
        <f>IF(A175=1,F175/(SUM(D$2:D175)*4),0)</f>
        <v>0</v>
      </c>
      <c r="I175" s="10">
        <v>147</v>
      </c>
    </row>
    <row r="176" spans="1:9" x14ac:dyDescent="0.15">
      <c r="A176" s="14">
        <v>2</v>
      </c>
      <c r="B176" s="14">
        <v>75</v>
      </c>
      <c r="C176" s="14">
        <v>22</v>
      </c>
      <c r="D176" s="15">
        <f t="shared" si="4"/>
        <v>225</v>
      </c>
      <c r="E176" s="14">
        <f t="shared" si="5"/>
        <v>254</v>
      </c>
      <c r="F176" s="14">
        <f>B176*masteryConfig!S$2+MAX(masteryExpConfig!B176-24,0)*masteryConfig!T$2+MAX(masteryExpConfig!B176-49,0)*masteryConfig!U$2</f>
        <v>37900</v>
      </c>
      <c r="G176" s="12">
        <v>3</v>
      </c>
      <c r="H176" s="18">
        <f>IF(A176=1,F176/(SUM(D$2:D176)*4),0)</f>
        <v>0</v>
      </c>
      <c r="I176" s="10">
        <v>150</v>
      </c>
    </row>
    <row r="177" spans="1:9" x14ac:dyDescent="0.15">
      <c r="A177" s="14">
        <v>2</v>
      </c>
      <c r="B177" s="14">
        <v>76</v>
      </c>
      <c r="C177" s="14">
        <v>22</v>
      </c>
      <c r="D177" s="15">
        <f t="shared" si="4"/>
        <v>229</v>
      </c>
      <c r="E177" s="14">
        <f t="shared" si="5"/>
        <v>255</v>
      </c>
      <c r="F177" s="14">
        <f>B177*masteryConfig!S$2+MAX(masteryExpConfig!B177-24,0)*masteryConfig!T$2+MAX(masteryExpConfig!B177-49,0)*masteryConfig!U$2</f>
        <v>38600</v>
      </c>
      <c r="G177" s="12">
        <v>3</v>
      </c>
      <c r="H177" s="18">
        <f>IF(A177=1,F177/(SUM(D$2:D177)*4),0)</f>
        <v>0</v>
      </c>
      <c r="I177" s="10">
        <v>153</v>
      </c>
    </row>
    <row r="178" spans="1:9" x14ac:dyDescent="0.15">
      <c r="A178" s="14">
        <v>2</v>
      </c>
      <c r="B178" s="14">
        <v>77</v>
      </c>
      <c r="C178" s="14">
        <v>22</v>
      </c>
      <c r="D178" s="15">
        <f t="shared" si="4"/>
        <v>234</v>
      </c>
      <c r="E178" s="14">
        <f t="shared" si="5"/>
        <v>256</v>
      </c>
      <c r="F178" s="14">
        <f>B178*masteryConfig!S$2+MAX(masteryExpConfig!B178-24,0)*masteryConfig!T$2+MAX(masteryExpConfig!B178-49,0)*masteryConfig!U$2</f>
        <v>39300</v>
      </c>
      <c r="G178" s="12">
        <v>3</v>
      </c>
      <c r="H178" s="18">
        <f>IF(A178=1,F178/(SUM(D$2:D178)*4),0)</f>
        <v>0</v>
      </c>
      <c r="I178" s="10">
        <v>156</v>
      </c>
    </row>
    <row r="179" spans="1:9" x14ac:dyDescent="0.15">
      <c r="A179" s="14">
        <v>2</v>
      </c>
      <c r="B179" s="14">
        <v>78</v>
      </c>
      <c r="C179" s="14">
        <v>22</v>
      </c>
      <c r="D179" s="15">
        <f t="shared" si="4"/>
        <v>238</v>
      </c>
      <c r="E179" s="14">
        <f t="shared" si="5"/>
        <v>257</v>
      </c>
      <c r="F179" s="14">
        <f>B179*masteryConfig!S$2+MAX(masteryExpConfig!B179-24,0)*masteryConfig!T$2+MAX(masteryExpConfig!B179-49,0)*masteryConfig!U$2</f>
        <v>40000</v>
      </c>
      <c r="G179" s="12">
        <v>3</v>
      </c>
      <c r="H179" s="18">
        <f>IF(A179=1,F179/(SUM(D$2:D179)*4),0)</f>
        <v>0</v>
      </c>
      <c r="I179" s="10">
        <v>159</v>
      </c>
    </row>
    <row r="180" spans="1:9" x14ac:dyDescent="0.15">
      <c r="A180" s="14">
        <v>2</v>
      </c>
      <c r="B180" s="14">
        <v>79</v>
      </c>
      <c r="C180" s="14">
        <v>22</v>
      </c>
      <c r="D180" s="15">
        <f t="shared" si="4"/>
        <v>243</v>
      </c>
      <c r="E180" s="14">
        <f t="shared" si="5"/>
        <v>258</v>
      </c>
      <c r="F180" s="14">
        <f>B180*masteryConfig!S$2+MAX(masteryExpConfig!B180-24,0)*masteryConfig!T$2+MAX(masteryExpConfig!B180-49,0)*masteryConfig!U$2</f>
        <v>40700</v>
      </c>
      <c r="G180" s="12">
        <v>3</v>
      </c>
      <c r="H180" s="18">
        <f>IF(A180=1,F180/(SUM(D$2:D180)*4),0)</f>
        <v>0</v>
      </c>
      <c r="I180" s="10">
        <v>162</v>
      </c>
    </row>
    <row r="181" spans="1:9" x14ac:dyDescent="0.15">
      <c r="A181" s="14">
        <v>2</v>
      </c>
      <c r="B181" s="14">
        <v>80</v>
      </c>
      <c r="C181" s="14">
        <v>22</v>
      </c>
      <c r="D181" s="15">
        <f t="shared" si="4"/>
        <v>247</v>
      </c>
      <c r="E181" s="14">
        <f t="shared" si="5"/>
        <v>259</v>
      </c>
      <c r="F181" s="14">
        <f>B181*masteryConfig!S$2+MAX(masteryExpConfig!B181-24,0)*masteryConfig!T$2+MAX(masteryExpConfig!B181-49,0)*masteryConfig!U$2</f>
        <v>41400</v>
      </c>
      <c r="G181" s="12">
        <v>3</v>
      </c>
      <c r="H181" s="18">
        <f>IF(A181=1,F181/(SUM(D$2:D181)*4),0)</f>
        <v>0</v>
      </c>
      <c r="I181" s="10">
        <v>165</v>
      </c>
    </row>
    <row r="182" spans="1:9" x14ac:dyDescent="0.15">
      <c r="A182" s="14">
        <v>2</v>
      </c>
      <c r="B182" s="14">
        <v>81</v>
      </c>
      <c r="C182" s="14">
        <v>22</v>
      </c>
      <c r="D182" s="15">
        <f t="shared" si="4"/>
        <v>252</v>
      </c>
      <c r="E182" s="14">
        <f t="shared" si="5"/>
        <v>260</v>
      </c>
      <c r="F182" s="14">
        <f>B182*masteryConfig!S$2+MAX(masteryExpConfig!B182-24,0)*masteryConfig!T$2+MAX(masteryExpConfig!B182-49,0)*masteryConfig!U$2</f>
        <v>42100</v>
      </c>
      <c r="G182" s="12">
        <v>3</v>
      </c>
      <c r="H182" s="18">
        <f>IF(A182=1,F182/(SUM(D$2:D182)*4),0)</f>
        <v>0</v>
      </c>
      <c r="I182" s="10">
        <v>168</v>
      </c>
    </row>
    <row r="183" spans="1:9" x14ac:dyDescent="0.15">
      <c r="A183" s="14">
        <v>2</v>
      </c>
      <c r="B183" s="14">
        <v>82</v>
      </c>
      <c r="C183" s="14">
        <v>22</v>
      </c>
      <c r="D183" s="15">
        <f t="shared" si="4"/>
        <v>256</v>
      </c>
      <c r="E183" s="14">
        <f t="shared" si="5"/>
        <v>261</v>
      </c>
      <c r="F183" s="14">
        <f>B183*masteryConfig!S$2+MAX(masteryExpConfig!B183-24,0)*masteryConfig!T$2+MAX(masteryExpConfig!B183-49,0)*masteryConfig!U$2</f>
        <v>42800</v>
      </c>
      <c r="G183" s="12">
        <v>3</v>
      </c>
      <c r="H183" s="18">
        <f>IF(A183=1,F183/(SUM(D$2:D183)*4),0)</f>
        <v>0</v>
      </c>
      <c r="I183" s="10">
        <v>171</v>
      </c>
    </row>
    <row r="184" spans="1:9" x14ac:dyDescent="0.15">
      <c r="A184" s="14">
        <v>2</v>
      </c>
      <c r="B184" s="14">
        <v>83</v>
      </c>
      <c r="C184" s="14">
        <v>22</v>
      </c>
      <c r="D184" s="15">
        <f t="shared" si="4"/>
        <v>261</v>
      </c>
      <c r="E184" s="14">
        <f t="shared" si="5"/>
        <v>262</v>
      </c>
      <c r="F184" s="14">
        <f>B184*masteryConfig!S$2+MAX(masteryExpConfig!B184-24,0)*masteryConfig!T$2+MAX(masteryExpConfig!B184-49,0)*masteryConfig!U$2</f>
        <v>43500</v>
      </c>
      <c r="G184" s="12">
        <v>3</v>
      </c>
      <c r="H184" s="18">
        <f>IF(A184=1,F184/(SUM(D$2:D184)*4),0)</f>
        <v>0</v>
      </c>
      <c r="I184" s="10">
        <v>174</v>
      </c>
    </row>
    <row r="185" spans="1:9" x14ac:dyDescent="0.15">
      <c r="A185" s="14">
        <v>2</v>
      </c>
      <c r="B185" s="14">
        <v>84</v>
      </c>
      <c r="C185" s="14">
        <v>22</v>
      </c>
      <c r="D185" s="15">
        <f t="shared" si="4"/>
        <v>265</v>
      </c>
      <c r="E185" s="14">
        <f t="shared" si="5"/>
        <v>263</v>
      </c>
      <c r="F185" s="14">
        <f>B185*masteryConfig!S$2+MAX(masteryExpConfig!B185-24,0)*masteryConfig!T$2+MAX(masteryExpConfig!B185-49,0)*masteryConfig!U$2</f>
        <v>44200</v>
      </c>
      <c r="G185" s="12">
        <v>3</v>
      </c>
      <c r="H185" s="18">
        <f>IF(A185=1,F185/(SUM(D$2:D185)*4),0)</f>
        <v>0</v>
      </c>
      <c r="I185" s="10">
        <v>177</v>
      </c>
    </row>
    <row r="186" spans="1:9" x14ac:dyDescent="0.15">
      <c r="A186" s="14">
        <v>2</v>
      </c>
      <c r="B186" s="14">
        <v>85</v>
      </c>
      <c r="C186" s="14">
        <v>22</v>
      </c>
      <c r="D186" s="15">
        <f t="shared" si="4"/>
        <v>270</v>
      </c>
      <c r="E186" s="14">
        <f t="shared" si="5"/>
        <v>264</v>
      </c>
      <c r="F186" s="14">
        <f>B186*masteryConfig!S$2+MAX(masteryExpConfig!B186-24,0)*masteryConfig!T$2+MAX(masteryExpConfig!B186-49,0)*masteryConfig!U$2</f>
        <v>44900</v>
      </c>
      <c r="G186" s="12">
        <v>3</v>
      </c>
      <c r="H186" s="18">
        <f>IF(A186=1,F186/(SUM(D$2:D186)*4),0)</f>
        <v>0</v>
      </c>
      <c r="I186" s="10">
        <v>180</v>
      </c>
    </row>
    <row r="187" spans="1:9" x14ac:dyDescent="0.15">
      <c r="A187" s="14">
        <v>2</v>
      </c>
      <c r="B187" s="14">
        <v>86</v>
      </c>
      <c r="C187" s="14">
        <v>22</v>
      </c>
      <c r="D187" s="15">
        <f t="shared" si="4"/>
        <v>274</v>
      </c>
      <c r="E187" s="14">
        <f t="shared" si="5"/>
        <v>265</v>
      </c>
      <c r="F187" s="14">
        <f>B187*masteryConfig!S$2+MAX(masteryExpConfig!B187-24,0)*masteryConfig!T$2+MAX(masteryExpConfig!B187-49,0)*masteryConfig!U$2</f>
        <v>45600</v>
      </c>
      <c r="G187" s="12">
        <v>3</v>
      </c>
      <c r="H187" s="18">
        <f>IF(A187=1,F187/(SUM(D$2:D187)*4),0)</f>
        <v>0</v>
      </c>
      <c r="I187" s="10">
        <v>183</v>
      </c>
    </row>
    <row r="188" spans="1:9" x14ac:dyDescent="0.15">
      <c r="A188" s="14">
        <v>2</v>
      </c>
      <c r="B188" s="14">
        <v>87</v>
      </c>
      <c r="C188" s="14">
        <v>22</v>
      </c>
      <c r="D188" s="15">
        <f t="shared" si="4"/>
        <v>279</v>
      </c>
      <c r="E188" s="14">
        <f t="shared" si="5"/>
        <v>266</v>
      </c>
      <c r="F188" s="14">
        <f>B188*masteryConfig!S$2+MAX(masteryExpConfig!B188-24,0)*masteryConfig!T$2+MAX(masteryExpConfig!B188-49,0)*masteryConfig!U$2</f>
        <v>46300</v>
      </c>
      <c r="G188" s="12">
        <v>3</v>
      </c>
      <c r="H188" s="18">
        <f>IF(A188=1,F188/(SUM(D$2:D188)*4),0)</f>
        <v>0</v>
      </c>
      <c r="I188" s="10">
        <v>186</v>
      </c>
    </row>
    <row r="189" spans="1:9" x14ac:dyDescent="0.15">
      <c r="A189" s="14">
        <v>2</v>
      </c>
      <c r="B189" s="14">
        <v>88</v>
      </c>
      <c r="C189" s="14">
        <v>22</v>
      </c>
      <c r="D189" s="15">
        <f t="shared" si="4"/>
        <v>283</v>
      </c>
      <c r="E189" s="14">
        <f t="shared" si="5"/>
        <v>267</v>
      </c>
      <c r="F189" s="14">
        <f>B189*masteryConfig!S$2+MAX(masteryExpConfig!B189-24,0)*masteryConfig!T$2+MAX(masteryExpConfig!B189-49,0)*masteryConfig!U$2</f>
        <v>47000</v>
      </c>
      <c r="G189" s="12">
        <v>3</v>
      </c>
      <c r="H189" s="18">
        <f>IF(A189=1,F189/(SUM(D$2:D189)*4),0)</f>
        <v>0</v>
      </c>
      <c r="I189" s="10">
        <v>189</v>
      </c>
    </row>
    <row r="190" spans="1:9" x14ac:dyDescent="0.15">
      <c r="A190" s="14">
        <v>2</v>
      </c>
      <c r="B190" s="14">
        <v>89</v>
      </c>
      <c r="C190" s="14">
        <v>22</v>
      </c>
      <c r="D190" s="15">
        <f t="shared" si="4"/>
        <v>288</v>
      </c>
      <c r="E190" s="14">
        <f t="shared" si="5"/>
        <v>268</v>
      </c>
      <c r="F190" s="14">
        <f>B190*masteryConfig!S$2+MAX(masteryExpConfig!B190-24,0)*masteryConfig!T$2+MAX(masteryExpConfig!B190-49,0)*masteryConfig!U$2</f>
        <v>47700</v>
      </c>
      <c r="G190" s="12">
        <v>3</v>
      </c>
      <c r="H190" s="18">
        <f>IF(A190=1,F190/(SUM(D$2:D190)*4),0)</f>
        <v>0</v>
      </c>
      <c r="I190" s="10">
        <v>192</v>
      </c>
    </row>
    <row r="191" spans="1:9" x14ac:dyDescent="0.15">
      <c r="A191" s="14">
        <v>2</v>
      </c>
      <c r="B191" s="14">
        <v>90</v>
      </c>
      <c r="C191" s="14">
        <v>22</v>
      </c>
      <c r="D191" s="15">
        <f t="shared" si="4"/>
        <v>292</v>
      </c>
      <c r="E191" s="14">
        <f t="shared" si="5"/>
        <v>269</v>
      </c>
      <c r="F191" s="14">
        <f>B191*masteryConfig!S$2+MAX(masteryExpConfig!B191-24,0)*masteryConfig!T$2+MAX(masteryExpConfig!B191-49,0)*masteryConfig!U$2</f>
        <v>48400</v>
      </c>
      <c r="G191" s="12">
        <v>3</v>
      </c>
      <c r="H191" s="18">
        <f>IF(A191=1,F191/(SUM(D$2:D191)*4),0)</f>
        <v>0</v>
      </c>
      <c r="I191" s="10">
        <v>195</v>
      </c>
    </row>
    <row r="192" spans="1:9" x14ac:dyDescent="0.15">
      <c r="A192" s="14">
        <v>2</v>
      </c>
      <c r="B192" s="14">
        <v>91</v>
      </c>
      <c r="C192" s="14">
        <v>22</v>
      </c>
      <c r="D192" s="15">
        <f t="shared" si="4"/>
        <v>297</v>
      </c>
      <c r="E192" s="14">
        <f t="shared" si="5"/>
        <v>270</v>
      </c>
      <c r="F192" s="14">
        <f>B192*masteryConfig!S$2+MAX(masteryExpConfig!B192-24,0)*masteryConfig!T$2+MAX(masteryExpConfig!B192-49,0)*masteryConfig!U$2</f>
        <v>49100</v>
      </c>
      <c r="G192" s="12">
        <v>3</v>
      </c>
      <c r="H192" s="18">
        <f>IF(A192=1,F192/(SUM(D$2:D192)*4),0)</f>
        <v>0</v>
      </c>
      <c r="I192" s="10">
        <v>198</v>
      </c>
    </row>
    <row r="193" spans="1:9" x14ac:dyDescent="0.15">
      <c r="A193" s="14">
        <v>2</v>
      </c>
      <c r="B193" s="14">
        <v>92</v>
      </c>
      <c r="C193" s="14">
        <v>22</v>
      </c>
      <c r="D193" s="15">
        <f t="shared" si="4"/>
        <v>301</v>
      </c>
      <c r="E193" s="14">
        <f t="shared" si="5"/>
        <v>271</v>
      </c>
      <c r="F193" s="14">
        <f>B193*masteryConfig!S$2+MAX(masteryExpConfig!B193-24,0)*masteryConfig!T$2+MAX(masteryExpConfig!B193-49,0)*masteryConfig!U$2</f>
        <v>49800</v>
      </c>
      <c r="G193" s="12">
        <v>3</v>
      </c>
      <c r="H193" s="18">
        <f>IF(A193=1,F193/(SUM(D$2:D193)*4),0)</f>
        <v>0</v>
      </c>
      <c r="I193" s="10">
        <v>201</v>
      </c>
    </row>
    <row r="194" spans="1:9" x14ac:dyDescent="0.15">
      <c r="A194" s="14">
        <v>2</v>
      </c>
      <c r="B194" s="14">
        <v>93</v>
      </c>
      <c r="C194" s="14">
        <v>22</v>
      </c>
      <c r="D194" s="15">
        <f t="shared" si="4"/>
        <v>306</v>
      </c>
      <c r="E194" s="14">
        <f t="shared" si="5"/>
        <v>272</v>
      </c>
      <c r="F194" s="14">
        <f>B194*masteryConfig!S$2+MAX(masteryExpConfig!B194-24,0)*masteryConfig!T$2+MAX(masteryExpConfig!B194-49,0)*masteryConfig!U$2</f>
        <v>50500</v>
      </c>
      <c r="G194" s="12">
        <v>3</v>
      </c>
      <c r="H194" s="18">
        <f>IF(A194=1,F194/(SUM(D$2:D194)*4),0)</f>
        <v>0</v>
      </c>
      <c r="I194" s="10">
        <v>204</v>
      </c>
    </row>
    <row r="195" spans="1:9" x14ac:dyDescent="0.15">
      <c r="A195" s="14">
        <v>2</v>
      </c>
      <c r="B195" s="14">
        <v>94</v>
      </c>
      <c r="C195" s="14">
        <v>22</v>
      </c>
      <c r="D195" s="15">
        <f t="shared" ref="D195:D258" si="6">INT(MAX(12,I195*1.5))</f>
        <v>310</v>
      </c>
      <c r="E195" s="14">
        <f t="shared" ref="E195:E258" si="7">B195+179</f>
        <v>273</v>
      </c>
      <c r="F195" s="14">
        <f>B195*masteryConfig!S$2+MAX(masteryExpConfig!B195-24,0)*masteryConfig!T$2+MAX(masteryExpConfig!B195-49,0)*masteryConfig!U$2</f>
        <v>51200</v>
      </c>
      <c r="G195" s="12">
        <v>3</v>
      </c>
      <c r="H195" s="18">
        <f>IF(A195=1,F195/(SUM(D$2:D195)*4),0)</f>
        <v>0</v>
      </c>
      <c r="I195" s="10">
        <v>207</v>
      </c>
    </row>
    <row r="196" spans="1:9" x14ac:dyDescent="0.15">
      <c r="A196" s="14">
        <v>2</v>
      </c>
      <c r="B196" s="14">
        <v>95</v>
      </c>
      <c r="C196" s="14">
        <v>22</v>
      </c>
      <c r="D196" s="15">
        <f t="shared" si="6"/>
        <v>315</v>
      </c>
      <c r="E196" s="14">
        <f t="shared" si="7"/>
        <v>274</v>
      </c>
      <c r="F196" s="14">
        <f>B196*masteryConfig!S$2+MAX(masteryExpConfig!B196-24,0)*masteryConfig!T$2+MAX(masteryExpConfig!B196-49,0)*masteryConfig!U$2</f>
        <v>51900</v>
      </c>
      <c r="G196" s="12">
        <v>3</v>
      </c>
      <c r="H196" s="18">
        <f>IF(A196=1,F196/(SUM(D$2:D196)*4),0)</f>
        <v>0</v>
      </c>
      <c r="I196" s="10">
        <v>210</v>
      </c>
    </row>
    <row r="197" spans="1:9" x14ac:dyDescent="0.15">
      <c r="A197" s="14">
        <v>2</v>
      </c>
      <c r="B197" s="14">
        <v>96</v>
      </c>
      <c r="C197" s="14">
        <v>22</v>
      </c>
      <c r="D197" s="15">
        <f t="shared" si="6"/>
        <v>319</v>
      </c>
      <c r="E197" s="14">
        <f t="shared" si="7"/>
        <v>275</v>
      </c>
      <c r="F197" s="14">
        <f>B197*masteryConfig!S$2+MAX(masteryExpConfig!B197-24,0)*masteryConfig!T$2+MAX(masteryExpConfig!B197-49,0)*masteryConfig!U$2</f>
        <v>52600</v>
      </c>
      <c r="G197" s="12">
        <v>3</v>
      </c>
      <c r="H197" s="18">
        <f>IF(A197=1,F197/(SUM(D$2:D197)*4),0)</f>
        <v>0</v>
      </c>
      <c r="I197" s="10">
        <v>213</v>
      </c>
    </row>
    <row r="198" spans="1:9" x14ac:dyDescent="0.15">
      <c r="A198" s="14">
        <v>2</v>
      </c>
      <c r="B198" s="14">
        <v>97</v>
      </c>
      <c r="C198" s="14">
        <v>22</v>
      </c>
      <c r="D198" s="15">
        <f t="shared" si="6"/>
        <v>324</v>
      </c>
      <c r="E198" s="14">
        <f t="shared" si="7"/>
        <v>276</v>
      </c>
      <c r="F198" s="14">
        <f>B198*masteryConfig!S$2+MAX(masteryExpConfig!B198-24,0)*masteryConfig!T$2+MAX(masteryExpConfig!B198-49,0)*masteryConfig!U$2</f>
        <v>53300</v>
      </c>
      <c r="G198" s="12">
        <v>3</v>
      </c>
      <c r="H198" s="18">
        <f>IF(A198=1,F198/(SUM(D$2:D198)*4),0)</f>
        <v>0</v>
      </c>
      <c r="I198" s="10">
        <v>216</v>
      </c>
    </row>
    <row r="199" spans="1:9" x14ac:dyDescent="0.15">
      <c r="A199" s="14">
        <v>2</v>
      </c>
      <c r="B199" s="14">
        <v>98</v>
      </c>
      <c r="C199" s="14">
        <v>22</v>
      </c>
      <c r="D199" s="15">
        <f t="shared" si="6"/>
        <v>328</v>
      </c>
      <c r="E199" s="14">
        <f t="shared" si="7"/>
        <v>277</v>
      </c>
      <c r="F199" s="14">
        <f>B199*masteryConfig!S$2+MAX(masteryExpConfig!B199-24,0)*masteryConfig!T$2+MAX(masteryExpConfig!B199-49,0)*masteryConfig!U$2</f>
        <v>54000</v>
      </c>
      <c r="G199" s="12">
        <v>3</v>
      </c>
      <c r="H199" s="18">
        <f>IF(A199=1,F199/(SUM(D$2:D199)*4),0)</f>
        <v>0</v>
      </c>
      <c r="I199" s="10">
        <v>219</v>
      </c>
    </row>
    <row r="200" spans="1:9" x14ac:dyDescent="0.15">
      <c r="A200" s="14">
        <v>2</v>
      </c>
      <c r="B200" s="14">
        <v>99</v>
      </c>
      <c r="C200" s="14">
        <v>22</v>
      </c>
      <c r="D200" s="15">
        <f t="shared" si="6"/>
        <v>333</v>
      </c>
      <c r="E200" s="14">
        <f t="shared" si="7"/>
        <v>278</v>
      </c>
      <c r="F200" s="14">
        <f>B200*masteryConfig!S$2+MAX(masteryExpConfig!B200-24,0)*masteryConfig!T$2+MAX(masteryExpConfig!B200-49,0)*masteryConfig!U$2</f>
        <v>54700</v>
      </c>
      <c r="G200" s="12">
        <v>3</v>
      </c>
      <c r="H200" s="18">
        <f>IF(A200=1,F200/(SUM(D$2:D200)*4),0)</f>
        <v>0</v>
      </c>
      <c r="I200" s="10">
        <v>222</v>
      </c>
    </row>
    <row r="201" spans="1:9" x14ac:dyDescent="0.15">
      <c r="A201" s="14">
        <v>2</v>
      </c>
      <c r="B201" s="14">
        <v>100</v>
      </c>
      <c r="C201" s="14">
        <v>22</v>
      </c>
      <c r="D201" s="15">
        <f t="shared" si="6"/>
        <v>337</v>
      </c>
      <c r="E201" s="14">
        <f t="shared" si="7"/>
        <v>279</v>
      </c>
      <c r="F201" s="14">
        <f>B201*masteryConfig!S$2+MAX(masteryExpConfig!B201-24,0)*masteryConfig!T$2+MAX(masteryExpConfig!B201-49,0)*masteryConfig!U$2</f>
        <v>55400</v>
      </c>
      <c r="G201" s="12">
        <v>3</v>
      </c>
      <c r="H201" s="18">
        <f>IF(A201=1,F201/(SUM(D$2:D201)*4),0)</f>
        <v>0</v>
      </c>
      <c r="I201" s="10">
        <v>225</v>
      </c>
    </row>
    <row r="202" spans="1:9" x14ac:dyDescent="0.15">
      <c r="A202" s="14">
        <v>3</v>
      </c>
      <c r="B202" s="14">
        <v>1</v>
      </c>
      <c r="C202" s="14">
        <v>23</v>
      </c>
      <c r="D202" s="15">
        <f t="shared" si="6"/>
        <v>12</v>
      </c>
      <c r="E202" s="14">
        <f t="shared" si="7"/>
        <v>180</v>
      </c>
      <c r="F202" s="14">
        <f>B202*masteryConfig!S$2+MAX(masteryExpConfig!B202-24,0)*masteryConfig!T$2+MAX(masteryExpConfig!B202-49,0)*masteryConfig!U$2</f>
        <v>300</v>
      </c>
      <c r="G202" s="12">
        <v>1</v>
      </c>
      <c r="H202" s="18">
        <f>IF(A202=1,F202/(SUM(D$2:D202)*4),0)</f>
        <v>0</v>
      </c>
      <c r="I202" s="10">
        <v>1</v>
      </c>
    </row>
    <row r="203" spans="1:9" x14ac:dyDescent="0.15">
      <c r="A203" s="14">
        <v>3</v>
      </c>
      <c r="B203" s="14">
        <v>2</v>
      </c>
      <c r="C203" s="14">
        <v>23</v>
      </c>
      <c r="D203" s="15">
        <f t="shared" si="6"/>
        <v>12</v>
      </c>
      <c r="E203" s="14">
        <f t="shared" si="7"/>
        <v>181</v>
      </c>
      <c r="F203" s="14">
        <f>B203*masteryConfig!S$2+MAX(masteryExpConfig!B203-24,0)*masteryConfig!T$2+MAX(masteryExpConfig!B203-49,0)*masteryConfig!U$2</f>
        <v>600</v>
      </c>
      <c r="G203" s="12">
        <v>1</v>
      </c>
      <c r="H203" s="18">
        <f>IF(A203=1,F203/(SUM(D$2:D203)*4),0)</f>
        <v>0</v>
      </c>
      <c r="I203" s="10">
        <v>2</v>
      </c>
    </row>
    <row r="204" spans="1:9" x14ac:dyDescent="0.15">
      <c r="A204" s="14">
        <v>3</v>
      </c>
      <c r="B204" s="14">
        <v>3</v>
      </c>
      <c r="C204" s="14">
        <v>23</v>
      </c>
      <c r="D204" s="15">
        <f t="shared" si="6"/>
        <v>12</v>
      </c>
      <c r="E204" s="14">
        <f t="shared" si="7"/>
        <v>182</v>
      </c>
      <c r="F204" s="14">
        <f>B204*masteryConfig!S$2+MAX(masteryExpConfig!B204-24,0)*masteryConfig!T$2+MAX(masteryExpConfig!B204-49,0)*masteryConfig!U$2</f>
        <v>900</v>
      </c>
      <c r="G204" s="12">
        <v>1</v>
      </c>
      <c r="H204" s="18">
        <f>IF(A204=1,F204/(SUM(D$2:D204)*4),0)</f>
        <v>0</v>
      </c>
      <c r="I204" s="10">
        <v>3</v>
      </c>
    </row>
    <row r="205" spans="1:9" x14ac:dyDescent="0.15">
      <c r="A205" s="14">
        <v>3</v>
      </c>
      <c r="B205" s="14">
        <v>4</v>
      </c>
      <c r="C205" s="14">
        <v>23</v>
      </c>
      <c r="D205" s="15">
        <f t="shared" si="6"/>
        <v>12</v>
      </c>
      <c r="E205" s="14">
        <f t="shared" si="7"/>
        <v>183</v>
      </c>
      <c r="F205" s="14">
        <f>B205*masteryConfig!S$2+MAX(masteryExpConfig!B205-24,0)*masteryConfig!T$2+MAX(masteryExpConfig!B205-49,0)*masteryConfig!U$2</f>
        <v>1200</v>
      </c>
      <c r="G205" s="12">
        <v>1</v>
      </c>
      <c r="H205" s="18">
        <f>IF(A205=1,F205/(SUM(D$2:D205)*4),0)</f>
        <v>0</v>
      </c>
      <c r="I205" s="10">
        <v>4</v>
      </c>
    </row>
    <row r="206" spans="1:9" x14ac:dyDescent="0.15">
      <c r="A206" s="14">
        <v>3</v>
      </c>
      <c r="B206" s="14">
        <v>5</v>
      </c>
      <c r="C206" s="14">
        <v>23</v>
      </c>
      <c r="D206" s="15">
        <f t="shared" si="6"/>
        <v>12</v>
      </c>
      <c r="E206" s="14">
        <f t="shared" si="7"/>
        <v>184</v>
      </c>
      <c r="F206" s="14">
        <f>B206*masteryConfig!S$2+MAX(masteryExpConfig!B206-24,0)*masteryConfig!T$2+MAX(masteryExpConfig!B206-49,0)*masteryConfig!U$2</f>
        <v>1500</v>
      </c>
      <c r="G206" s="12">
        <v>1</v>
      </c>
      <c r="H206" s="18">
        <f>IF(A206=1,F206/(SUM(D$2:D206)*4),0)</f>
        <v>0</v>
      </c>
      <c r="I206" s="10">
        <v>5</v>
      </c>
    </row>
    <row r="207" spans="1:9" x14ac:dyDescent="0.15">
      <c r="A207" s="14">
        <v>3</v>
      </c>
      <c r="B207" s="14">
        <v>6</v>
      </c>
      <c r="C207" s="14">
        <v>23</v>
      </c>
      <c r="D207" s="15">
        <f t="shared" si="6"/>
        <v>12</v>
      </c>
      <c r="E207" s="14">
        <f t="shared" si="7"/>
        <v>185</v>
      </c>
      <c r="F207" s="14">
        <f>B207*masteryConfig!S$2+MAX(masteryExpConfig!B207-24,0)*masteryConfig!T$2+MAX(masteryExpConfig!B207-49,0)*masteryConfig!U$2</f>
        <v>1800</v>
      </c>
      <c r="G207" s="12">
        <v>1</v>
      </c>
      <c r="H207" s="18">
        <f>IF(A207=1,F207/(SUM(D$2:D207)*4),0)</f>
        <v>0</v>
      </c>
      <c r="I207" s="10">
        <v>6</v>
      </c>
    </row>
    <row r="208" spans="1:9" x14ac:dyDescent="0.15">
      <c r="A208" s="14">
        <v>3</v>
      </c>
      <c r="B208" s="14">
        <v>7</v>
      </c>
      <c r="C208" s="14">
        <v>23</v>
      </c>
      <c r="D208" s="15">
        <f t="shared" si="6"/>
        <v>12</v>
      </c>
      <c r="E208" s="14">
        <f t="shared" si="7"/>
        <v>186</v>
      </c>
      <c r="F208" s="14">
        <f>B208*masteryConfig!S$2+MAX(masteryExpConfig!B208-24,0)*masteryConfig!T$2+MAX(masteryExpConfig!B208-49,0)*masteryConfig!U$2</f>
        <v>2100</v>
      </c>
      <c r="G208" s="12">
        <v>1</v>
      </c>
      <c r="H208" s="18">
        <f>IF(A208=1,F208/(SUM(D$2:D208)*4),0)</f>
        <v>0</v>
      </c>
      <c r="I208" s="10">
        <v>7</v>
      </c>
    </row>
    <row r="209" spans="1:9" x14ac:dyDescent="0.15">
      <c r="A209" s="14">
        <v>3</v>
      </c>
      <c r="B209" s="14">
        <v>8</v>
      </c>
      <c r="C209" s="14">
        <v>23</v>
      </c>
      <c r="D209" s="15">
        <f t="shared" si="6"/>
        <v>12</v>
      </c>
      <c r="E209" s="14">
        <f t="shared" si="7"/>
        <v>187</v>
      </c>
      <c r="F209" s="14">
        <f>B209*masteryConfig!S$2+MAX(masteryExpConfig!B209-24,0)*masteryConfig!T$2+MAX(masteryExpConfig!B209-49,0)*masteryConfig!U$2</f>
        <v>2400</v>
      </c>
      <c r="G209" s="12">
        <v>1</v>
      </c>
      <c r="H209" s="18">
        <f>IF(A209=1,F209/(SUM(D$2:D209)*4),0)</f>
        <v>0</v>
      </c>
      <c r="I209" s="10">
        <v>8</v>
      </c>
    </row>
    <row r="210" spans="1:9" x14ac:dyDescent="0.15">
      <c r="A210" s="14">
        <v>3</v>
      </c>
      <c r="B210" s="14">
        <v>9</v>
      </c>
      <c r="C210" s="14">
        <v>23</v>
      </c>
      <c r="D210" s="15">
        <f t="shared" si="6"/>
        <v>13</v>
      </c>
      <c r="E210" s="14">
        <f t="shared" si="7"/>
        <v>188</v>
      </c>
      <c r="F210" s="14">
        <f>B210*masteryConfig!S$2+MAX(masteryExpConfig!B210-24,0)*masteryConfig!T$2+MAX(masteryExpConfig!B210-49,0)*masteryConfig!U$2</f>
        <v>2700</v>
      </c>
      <c r="G210" s="12">
        <v>1</v>
      </c>
      <c r="H210" s="18">
        <f>IF(A210=1,F210/(SUM(D$2:D210)*4),0)</f>
        <v>0</v>
      </c>
      <c r="I210" s="10">
        <v>9</v>
      </c>
    </row>
    <row r="211" spans="1:9" x14ac:dyDescent="0.15">
      <c r="A211" s="14">
        <v>3</v>
      </c>
      <c r="B211" s="14">
        <v>10</v>
      </c>
      <c r="C211" s="14">
        <v>23</v>
      </c>
      <c r="D211" s="15">
        <f t="shared" si="6"/>
        <v>15</v>
      </c>
      <c r="E211" s="14">
        <f t="shared" si="7"/>
        <v>189</v>
      </c>
      <c r="F211" s="14">
        <f>B211*masteryConfig!S$2+MAX(masteryExpConfig!B211-24,0)*masteryConfig!T$2+MAX(masteryExpConfig!B211-49,0)*masteryConfig!U$2</f>
        <v>3000</v>
      </c>
      <c r="G211" s="12">
        <v>1</v>
      </c>
      <c r="H211" s="18">
        <f>IF(A211=1,F211/(SUM(D$2:D211)*4),0)</f>
        <v>0</v>
      </c>
      <c r="I211" s="10">
        <v>10</v>
      </c>
    </row>
    <row r="212" spans="1:9" x14ac:dyDescent="0.15">
      <c r="A212" s="14">
        <v>3</v>
      </c>
      <c r="B212" s="14">
        <v>11</v>
      </c>
      <c r="C212" s="14">
        <v>23</v>
      </c>
      <c r="D212" s="15">
        <f t="shared" si="6"/>
        <v>16</v>
      </c>
      <c r="E212" s="14">
        <f t="shared" si="7"/>
        <v>190</v>
      </c>
      <c r="F212" s="14">
        <f>B212*masteryConfig!S$2+MAX(masteryExpConfig!B212-24,0)*masteryConfig!T$2+MAX(masteryExpConfig!B212-49,0)*masteryConfig!U$2</f>
        <v>3300</v>
      </c>
      <c r="G212" s="12">
        <v>1</v>
      </c>
      <c r="H212" s="18">
        <f>IF(A212=1,F212/(SUM(D$2:D212)*4),0)</f>
        <v>0</v>
      </c>
      <c r="I212" s="10">
        <v>11</v>
      </c>
    </row>
    <row r="213" spans="1:9" x14ac:dyDescent="0.15">
      <c r="A213" s="14">
        <v>3</v>
      </c>
      <c r="B213" s="14">
        <v>12</v>
      </c>
      <c r="C213" s="14">
        <v>23</v>
      </c>
      <c r="D213" s="15">
        <f t="shared" si="6"/>
        <v>18</v>
      </c>
      <c r="E213" s="14">
        <f t="shared" si="7"/>
        <v>191</v>
      </c>
      <c r="F213" s="14">
        <f>B213*masteryConfig!S$2+MAX(masteryExpConfig!B213-24,0)*masteryConfig!T$2+MAX(masteryExpConfig!B213-49,0)*masteryConfig!U$2</f>
        <v>3600</v>
      </c>
      <c r="G213" s="12">
        <v>1</v>
      </c>
      <c r="H213" s="18">
        <f>IF(A213=1,F213/(SUM(D$2:D213)*4),0)</f>
        <v>0</v>
      </c>
      <c r="I213" s="10">
        <v>12</v>
      </c>
    </row>
    <row r="214" spans="1:9" x14ac:dyDescent="0.15">
      <c r="A214" s="14">
        <v>3</v>
      </c>
      <c r="B214" s="14">
        <v>13</v>
      </c>
      <c r="C214" s="14">
        <v>23</v>
      </c>
      <c r="D214" s="15">
        <f t="shared" si="6"/>
        <v>19</v>
      </c>
      <c r="E214" s="14">
        <f t="shared" si="7"/>
        <v>192</v>
      </c>
      <c r="F214" s="14">
        <f>B214*masteryConfig!S$2+MAX(masteryExpConfig!B214-24,0)*masteryConfig!T$2+MAX(masteryExpConfig!B214-49,0)*masteryConfig!U$2</f>
        <v>3900</v>
      </c>
      <c r="G214" s="12">
        <v>1</v>
      </c>
      <c r="H214" s="18">
        <f>IF(A214=1,F214/(SUM(D$2:D214)*4),0)</f>
        <v>0</v>
      </c>
      <c r="I214" s="10">
        <v>13</v>
      </c>
    </row>
    <row r="215" spans="1:9" x14ac:dyDescent="0.15">
      <c r="A215" s="14">
        <v>3</v>
      </c>
      <c r="B215" s="14">
        <v>14</v>
      </c>
      <c r="C215" s="14">
        <v>23</v>
      </c>
      <c r="D215" s="15">
        <f t="shared" si="6"/>
        <v>21</v>
      </c>
      <c r="E215" s="14">
        <f t="shared" si="7"/>
        <v>193</v>
      </c>
      <c r="F215" s="14">
        <f>B215*masteryConfig!S$2+MAX(masteryExpConfig!B215-24,0)*masteryConfig!T$2+MAX(masteryExpConfig!B215-49,0)*masteryConfig!U$2</f>
        <v>4200</v>
      </c>
      <c r="G215" s="12">
        <v>1</v>
      </c>
      <c r="H215" s="18">
        <f>IF(A215=1,F215/(SUM(D$2:D215)*4),0)</f>
        <v>0</v>
      </c>
      <c r="I215" s="10">
        <v>14</v>
      </c>
    </row>
    <row r="216" spans="1:9" x14ac:dyDescent="0.15">
      <c r="A216" s="14">
        <v>3</v>
      </c>
      <c r="B216" s="14">
        <v>15</v>
      </c>
      <c r="C216" s="14">
        <v>23</v>
      </c>
      <c r="D216" s="15">
        <f t="shared" si="6"/>
        <v>22</v>
      </c>
      <c r="E216" s="14">
        <f t="shared" si="7"/>
        <v>194</v>
      </c>
      <c r="F216" s="14">
        <f>B216*masteryConfig!S$2+MAX(masteryExpConfig!B216-24,0)*masteryConfig!T$2+MAX(masteryExpConfig!B216-49,0)*masteryConfig!U$2</f>
        <v>4500</v>
      </c>
      <c r="G216" s="12">
        <v>1</v>
      </c>
      <c r="H216" s="18">
        <f>IF(A216=1,F216/(SUM(D$2:D216)*4),0)</f>
        <v>0</v>
      </c>
      <c r="I216" s="10">
        <v>15</v>
      </c>
    </row>
    <row r="217" spans="1:9" x14ac:dyDescent="0.15">
      <c r="A217" s="14">
        <v>3</v>
      </c>
      <c r="B217" s="14">
        <v>16</v>
      </c>
      <c r="C217" s="14">
        <v>23</v>
      </c>
      <c r="D217" s="15">
        <f t="shared" si="6"/>
        <v>24</v>
      </c>
      <c r="E217" s="14">
        <f t="shared" si="7"/>
        <v>195</v>
      </c>
      <c r="F217" s="14">
        <f>B217*masteryConfig!S$2+MAX(masteryExpConfig!B217-24,0)*masteryConfig!T$2+MAX(masteryExpConfig!B217-49,0)*masteryConfig!U$2</f>
        <v>4800</v>
      </c>
      <c r="G217" s="12">
        <v>1</v>
      </c>
      <c r="H217" s="18">
        <f>IF(A217=1,F217/(SUM(D$2:D217)*4),0)</f>
        <v>0</v>
      </c>
      <c r="I217" s="10">
        <v>16</v>
      </c>
    </row>
    <row r="218" spans="1:9" x14ac:dyDescent="0.15">
      <c r="A218" s="14">
        <v>3</v>
      </c>
      <c r="B218" s="14">
        <v>17</v>
      </c>
      <c r="C218" s="14">
        <v>23</v>
      </c>
      <c r="D218" s="15">
        <f t="shared" si="6"/>
        <v>25</v>
      </c>
      <c r="E218" s="14">
        <f t="shared" si="7"/>
        <v>196</v>
      </c>
      <c r="F218" s="14">
        <f>B218*masteryConfig!S$2+MAX(masteryExpConfig!B218-24,0)*masteryConfig!T$2+MAX(masteryExpConfig!B218-49,0)*masteryConfig!U$2</f>
        <v>5100</v>
      </c>
      <c r="G218" s="12">
        <v>1</v>
      </c>
      <c r="H218" s="18">
        <f>IF(A218=1,F218/(SUM(D$2:D218)*4),0)</f>
        <v>0</v>
      </c>
      <c r="I218" s="10">
        <v>17</v>
      </c>
    </row>
    <row r="219" spans="1:9" x14ac:dyDescent="0.15">
      <c r="A219" s="14">
        <v>3</v>
      </c>
      <c r="B219" s="14">
        <v>18</v>
      </c>
      <c r="C219" s="14">
        <v>23</v>
      </c>
      <c r="D219" s="15">
        <f t="shared" si="6"/>
        <v>27</v>
      </c>
      <c r="E219" s="14">
        <f t="shared" si="7"/>
        <v>197</v>
      </c>
      <c r="F219" s="14">
        <f>B219*masteryConfig!S$2+MAX(masteryExpConfig!B219-24,0)*masteryConfig!T$2+MAX(masteryExpConfig!B219-49,0)*masteryConfig!U$2</f>
        <v>5400</v>
      </c>
      <c r="G219" s="12">
        <v>1</v>
      </c>
      <c r="H219" s="18">
        <f>IF(A219=1,F219/(SUM(D$2:D219)*4),0)</f>
        <v>0</v>
      </c>
      <c r="I219" s="10">
        <v>18</v>
      </c>
    </row>
    <row r="220" spans="1:9" x14ac:dyDescent="0.15">
      <c r="A220" s="14">
        <v>3</v>
      </c>
      <c r="B220" s="14">
        <v>19</v>
      </c>
      <c r="C220" s="14">
        <v>23</v>
      </c>
      <c r="D220" s="15">
        <f t="shared" si="6"/>
        <v>28</v>
      </c>
      <c r="E220" s="14">
        <f t="shared" si="7"/>
        <v>198</v>
      </c>
      <c r="F220" s="14">
        <f>B220*masteryConfig!S$2+MAX(masteryExpConfig!B220-24,0)*masteryConfig!T$2+MAX(masteryExpConfig!B220-49,0)*masteryConfig!U$2</f>
        <v>5700</v>
      </c>
      <c r="G220" s="12">
        <v>1</v>
      </c>
      <c r="H220" s="18">
        <f>IF(A220=1,F220/(SUM(D$2:D220)*4),0)</f>
        <v>0</v>
      </c>
      <c r="I220" s="10">
        <v>19</v>
      </c>
    </row>
    <row r="221" spans="1:9" x14ac:dyDescent="0.15">
      <c r="A221" s="14">
        <v>3</v>
      </c>
      <c r="B221" s="14">
        <v>20</v>
      </c>
      <c r="C221" s="14">
        <v>23</v>
      </c>
      <c r="D221" s="15">
        <f t="shared" si="6"/>
        <v>30</v>
      </c>
      <c r="E221" s="14">
        <f t="shared" si="7"/>
        <v>199</v>
      </c>
      <c r="F221" s="14">
        <f>B221*masteryConfig!S$2+MAX(masteryExpConfig!B221-24,0)*masteryConfig!T$2+MAX(masteryExpConfig!B221-49,0)*masteryConfig!U$2</f>
        <v>6000</v>
      </c>
      <c r="G221" s="12">
        <v>1</v>
      </c>
      <c r="H221" s="18">
        <f>IF(A221=1,F221/(SUM(D$2:D221)*4),0)</f>
        <v>0</v>
      </c>
      <c r="I221" s="10">
        <v>20</v>
      </c>
    </row>
    <row r="222" spans="1:9" x14ac:dyDescent="0.15">
      <c r="A222" s="14">
        <v>3</v>
      </c>
      <c r="B222" s="14">
        <v>21</v>
      </c>
      <c r="C222" s="14">
        <v>23</v>
      </c>
      <c r="D222" s="15">
        <f t="shared" si="6"/>
        <v>31</v>
      </c>
      <c r="E222" s="14">
        <f t="shared" si="7"/>
        <v>200</v>
      </c>
      <c r="F222" s="14">
        <f>B222*masteryConfig!S$2+MAX(masteryExpConfig!B222-24,0)*masteryConfig!T$2+MAX(masteryExpConfig!B222-49,0)*masteryConfig!U$2</f>
        <v>6300</v>
      </c>
      <c r="G222" s="12">
        <v>1</v>
      </c>
      <c r="H222" s="18">
        <f>IF(A222=1,F222/(SUM(D$2:D222)*4),0)</f>
        <v>0</v>
      </c>
      <c r="I222" s="10">
        <v>21</v>
      </c>
    </row>
    <row r="223" spans="1:9" x14ac:dyDescent="0.15">
      <c r="A223" s="14">
        <v>3</v>
      </c>
      <c r="B223" s="14">
        <v>22</v>
      </c>
      <c r="C223" s="14">
        <v>23</v>
      </c>
      <c r="D223" s="15">
        <f t="shared" si="6"/>
        <v>33</v>
      </c>
      <c r="E223" s="14">
        <f t="shared" si="7"/>
        <v>201</v>
      </c>
      <c r="F223" s="14">
        <f>B223*masteryConfig!S$2+MAX(masteryExpConfig!B223-24,0)*masteryConfig!T$2+MAX(masteryExpConfig!B223-49,0)*masteryConfig!U$2</f>
        <v>6600</v>
      </c>
      <c r="G223" s="12">
        <v>1</v>
      </c>
      <c r="H223" s="18">
        <f>IF(A223=1,F223/(SUM(D$2:D223)*4),0)</f>
        <v>0</v>
      </c>
      <c r="I223" s="10">
        <v>22</v>
      </c>
    </row>
    <row r="224" spans="1:9" x14ac:dyDescent="0.15">
      <c r="A224" s="14">
        <v>3</v>
      </c>
      <c r="B224" s="14">
        <v>23</v>
      </c>
      <c r="C224" s="14">
        <v>23</v>
      </c>
      <c r="D224" s="15">
        <f t="shared" si="6"/>
        <v>34</v>
      </c>
      <c r="E224" s="14">
        <f t="shared" si="7"/>
        <v>202</v>
      </c>
      <c r="F224" s="14">
        <f>B224*masteryConfig!S$2+MAX(masteryExpConfig!B224-24,0)*masteryConfig!T$2+MAX(masteryExpConfig!B224-49,0)*masteryConfig!U$2</f>
        <v>6900</v>
      </c>
      <c r="G224" s="12">
        <v>1</v>
      </c>
      <c r="H224" s="18">
        <f>IF(A224=1,F224/(SUM(D$2:D224)*4),0)</f>
        <v>0</v>
      </c>
      <c r="I224" s="10">
        <v>23</v>
      </c>
    </row>
    <row r="225" spans="1:9" x14ac:dyDescent="0.15">
      <c r="A225" s="14">
        <v>3</v>
      </c>
      <c r="B225" s="14">
        <v>24</v>
      </c>
      <c r="C225" s="14">
        <v>23</v>
      </c>
      <c r="D225" s="15">
        <f t="shared" si="6"/>
        <v>36</v>
      </c>
      <c r="E225" s="14">
        <f t="shared" si="7"/>
        <v>203</v>
      </c>
      <c r="F225" s="14">
        <f>B225*masteryConfig!S$2+MAX(masteryExpConfig!B225-24,0)*masteryConfig!T$2+MAX(masteryExpConfig!B225-49,0)*masteryConfig!U$2</f>
        <v>7200</v>
      </c>
      <c r="G225" s="12">
        <v>1</v>
      </c>
      <c r="H225" s="18">
        <f>IF(A225=1,F225/(SUM(D$2:D225)*4),0)</f>
        <v>0</v>
      </c>
      <c r="I225" s="10">
        <v>24</v>
      </c>
    </row>
    <row r="226" spans="1:9" x14ac:dyDescent="0.15">
      <c r="A226" s="14">
        <v>3</v>
      </c>
      <c r="B226" s="14">
        <v>25</v>
      </c>
      <c r="C226" s="14">
        <v>23</v>
      </c>
      <c r="D226" s="15">
        <f t="shared" si="6"/>
        <v>37</v>
      </c>
      <c r="E226" s="14">
        <f t="shared" si="7"/>
        <v>204</v>
      </c>
      <c r="F226" s="14">
        <f>B226*masteryConfig!S$2+MAX(masteryExpConfig!B226-24,0)*masteryConfig!T$2+MAX(masteryExpConfig!B226-49,0)*masteryConfig!U$2</f>
        <v>7700</v>
      </c>
      <c r="G226" s="12">
        <v>2</v>
      </c>
      <c r="H226" s="18">
        <f>IF(A226=1,F226/(SUM(D$2:D226)*4),0)</f>
        <v>0</v>
      </c>
      <c r="I226" s="10">
        <v>25</v>
      </c>
    </row>
    <row r="227" spans="1:9" x14ac:dyDescent="0.15">
      <c r="A227" s="14">
        <v>3</v>
      </c>
      <c r="B227" s="14">
        <v>26</v>
      </c>
      <c r="C227" s="14">
        <v>23</v>
      </c>
      <c r="D227" s="15">
        <f t="shared" si="6"/>
        <v>40</v>
      </c>
      <c r="E227" s="14">
        <f t="shared" si="7"/>
        <v>205</v>
      </c>
      <c r="F227" s="14">
        <f>B227*masteryConfig!S$2+MAX(masteryExpConfig!B227-24,0)*masteryConfig!T$2+MAX(masteryExpConfig!B227-49,0)*masteryConfig!U$2</f>
        <v>8200</v>
      </c>
      <c r="G227" s="12">
        <v>2</v>
      </c>
      <c r="H227" s="18">
        <f>IF(A227=1,F227/(SUM(D$2:D227)*4),0)</f>
        <v>0</v>
      </c>
      <c r="I227" s="10">
        <v>27</v>
      </c>
    </row>
    <row r="228" spans="1:9" x14ac:dyDescent="0.15">
      <c r="A228" s="14">
        <v>3</v>
      </c>
      <c r="B228" s="14">
        <v>27</v>
      </c>
      <c r="C228" s="14">
        <v>23</v>
      </c>
      <c r="D228" s="15">
        <f t="shared" si="6"/>
        <v>43</v>
      </c>
      <c r="E228" s="14">
        <f t="shared" si="7"/>
        <v>206</v>
      </c>
      <c r="F228" s="14">
        <f>B228*masteryConfig!S$2+MAX(masteryExpConfig!B228-24,0)*masteryConfig!T$2+MAX(masteryExpConfig!B228-49,0)*masteryConfig!U$2</f>
        <v>8700</v>
      </c>
      <c r="G228" s="12">
        <v>2</v>
      </c>
      <c r="H228" s="18">
        <f>IF(A228=1,F228/(SUM(D$2:D228)*4),0)</f>
        <v>0</v>
      </c>
      <c r="I228" s="10">
        <v>29</v>
      </c>
    </row>
    <row r="229" spans="1:9" x14ac:dyDescent="0.15">
      <c r="A229" s="14">
        <v>3</v>
      </c>
      <c r="B229" s="14">
        <v>28</v>
      </c>
      <c r="C229" s="14">
        <v>23</v>
      </c>
      <c r="D229" s="15">
        <f t="shared" si="6"/>
        <v>46</v>
      </c>
      <c r="E229" s="14">
        <f t="shared" si="7"/>
        <v>207</v>
      </c>
      <c r="F229" s="14">
        <f>B229*masteryConfig!S$2+MAX(masteryExpConfig!B229-24,0)*masteryConfig!T$2+MAX(masteryExpConfig!B229-49,0)*masteryConfig!U$2</f>
        <v>9200</v>
      </c>
      <c r="G229" s="12">
        <v>2</v>
      </c>
      <c r="H229" s="18">
        <f>IF(A229=1,F229/(SUM(D$2:D229)*4),0)</f>
        <v>0</v>
      </c>
      <c r="I229" s="10">
        <v>31</v>
      </c>
    </row>
    <row r="230" spans="1:9" x14ac:dyDescent="0.15">
      <c r="A230" s="14">
        <v>3</v>
      </c>
      <c r="B230" s="14">
        <v>29</v>
      </c>
      <c r="C230" s="14">
        <v>23</v>
      </c>
      <c r="D230" s="15">
        <f t="shared" si="6"/>
        <v>49</v>
      </c>
      <c r="E230" s="14">
        <f t="shared" si="7"/>
        <v>208</v>
      </c>
      <c r="F230" s="14">
        <f>B230*masteryConfig!S$2+MAX(masteryExpConfig!B230-24,0)*masteryConfig!T$2+MAX(masteryExpConfig!B230-49,0)*masteryConfig!U$2</f>
        <v>9700</v>
      </c>
      <c r="G230" s="12">
        <v>2</v>
      </c>
      <c r="H230" s="18">
        <f>IF(A230=1,F230/(SUM(D$2:D230)*4),0)</f>
        <v>0</v>
      </c>
      <c r="I230" s="10">
        <v>33</v>
      </c>
    </row>
    <row r="231" spans="1:9" x14ac:dyDescent="0.15">
      <c r="A231" s="14">
        <v>3</v>
      </c>
      <c r="B231" s="14">
        <v>30</v>
      </c>
      <c r="C231" s="14">
        <v>23</v>
      </c>
      <c r="D231" s="15">
        <f t="shared" si="6"/>
        <v>52</v>
      </c>
      <c r="E231" s="14">
        <f t="shared" si="7"/>
        <v>209</v>
      </c>
      <c r="F231" s="14">
        <f>B231*masteryConfig!S$2+MAX(masteryExpConfig!B231-24,0)*masteryConfig!T$2+MAX(masteryExpConfig!B231-49,0)*masteryConfig!U$2</f>
        <v>10200</v>
      </c>
      <c r="G231" s="12">
        <v>2</v>
      </c>
      <c r="H231" s="18">
        <f>IF(A231=1,F231/(SUM(D$2:D231)*4),0)</f>
        <v>0</v>
      </c>
      <c r="I231" s="10">
        <v>35</v>
      </c>
    </row>
    <row r="232" spans="1:9" x14ac:dyDescent="0.15">
      <c r="A232" s="14">
        <v>3</v>
      </c>
      <c r="B232" s="14">
        <v>31</v>
      </c>
      <c r="C232" s="14">
        <v>23</v>
      </c>
      <c r="D232" s="15">
        <f t="shared" si="6"/>
        <v>55</v>
      </c>
      <c r="E232" s="14">
        <f t="shared" si="7"/>
        <v>210</v>
      </c>
      <c r="F232" s="14">
        <f>B232*masteryConfig!S$2+MAX(masteryExpConfig!B232-24,0)*masteryConfig!T$2+MAX(masteryExpConfig!B232-49,0)*masteryConfig!U$2</f>
        <v>10700</v>
      </c>
      <c r="G232" s="12">
        <v>2</v>
      </c>
      <c r="H232" s="18">
        <f>IF(A232=1,F232/(SUM(D$2:D232)*4),0)</f>
        <v>0</v>
      </c>
      <c r="I232" s="10">
        <v>37</v>
      </c>
    </row>
    <row r="233" spans="1:9" x14ac:dyDescent="0.15">
      <c r="A233" s="14">
        <v>3</v>
      </c>
      <c r="B233" s="14">
        <v>32</v>
      </c>
      <c r="C233" s="14">
        <v>23</v>
      </c>
      <c r="D233" s="15">
        <f t="shared" si="6"/>
        <v>58</v>
      </c>
      <c r="E233" s="14">
        <f t="shared" si="7"/>
        <v>211</v>
      </c>
      <c r="F233" s="14">
        <f>B233*masteryConfig!S$2+MAX(masteryExpConfig!B233-24,0)*masteryConfig!T$2+MAX(masteryExpConfig!B233-49,0)*masteryConfig!U$2</f>
        <v>11200</v>
      </c>
      <c r="G233" s="12">
        <v>2</v>
      </c>
      <c r="H233" s="18">
        <f>IF(A233=1,F233/(SUM(D$2:D233)*4),0)</f>
        <v>0</v>
      </c>
      <c r="I233" s="10">
        <v>39</v>
      </c>
    </row>
    <row r="234" spans="1:9" x14ac:dyDescent="0.15">
      <c r="A234" s="14">
        <v>3</v>
      </c>
      <c r="B234" s="14">
        <v>33</v>
      </c>
      <c r="C234" s="14">
        <v>23</v>
      </c>
      <c r="D234" s="15">
        <f t="shared" si="6"/>
        <v>61</v>
      </c>
      <c r="E234" s="14">
        <f t="shared" si="7"/>
        <v>212</v>
      </c>
      <c r="F234" s="14">
        <f>B234*masteryConfig!S$2+MAX(masteryExpConfig!B234-24,0)*masteryConfig!T$2+MAX(masteryExpConfig!B234-49,0)*masteryConfig!U$2</f>
        <v>11700</v>
      </c>
      <c r="G234" s="12">
        <v>2</v>
      </c>
      <c r="H234" s="18">
        <f>IF(A234=1,F234/(SUM(D$2:D234)*4),0)</f>
        <v>0</v>
      </c>
      <c r="I234" s="10">
        <v>41</v>
      </c>
    </row>
    <row r="235" spans="1:9" x14ac:dyDescent="0.15">
      <c r="A235" s="14">
        <v>3</v>
      </c>
      <c r="B235" s="14">
        <v>34</v>
      </c>
      <c r="C235" s="14">
        <v>23</v>
      </c>
      <c r="D235" s="15">
        <f t="shared" si="6"/>
        <v>64</v>
      </c>
      <c r="E235" s="14">
        <f t="shared" si="7"/>
        <v>213</v>
      </c>
      <c r="F235" s="14">
        <f>B235*masteryConfig!S$2+MAX(masteryExpConfig!B235-24,0)*masteryConfig!T$2+MAX(masteryExpConfig!B235-49,0)*masteryConfig!U$2</f>
        <v>12200</v>
      </c>
      <c r="G235" s="12">
        <v>2</v>
      </c>
      <c r="H235" s="18">
        <f>IF(A235=1,F235/(SUM(D$2:D235)*4),0)</f>
        <v>0</v>
      </c>
      <c r="I235" s="10">
        <v>43</v>
      </c>
    </row>
    <row r="236" spans="1:9" x14ac:dyDescent="0.15">
      <c r="A236" s="14">
        <v>3</v>
      </c>
      <c r="B236" s="14">
        <v>35</v>
      </c>
      <c r="C236" s="14">
        <v>23</v>
      </c>
      <c r="D236" s="15">
        <f t="shared" si="6"/>
        <v>67</v>
      </c>
      <c r="E236" s="14">
        <f t="shared" si="7"/>
        <v>214</v>
      </c>
      <c r="F236" s="14">
        <f>B236*masteryConfig!S$2+MAX(masteryExpConfig!B236-24,0)*masteryConfig!T$2+MAX(masteryExpConfig!B236-49,0)*masteryConfig!U$2</f>
        <v>12700</v>
      </c>
      <c r="G236" s="12">
        <v>2</v>
      </c>
      <c r="H236" s="18">
        <f>IF(A236=1,F236/(SUM(D$2:D236)*4),0)</f>
        <v>0</v>
      </c>
      <c r="I236" s="10">
        <v>45</v>
      </c>
    </row>
    <row r="237" spans="1:9" x14ac:dyDescent="0.15">
      <c r="A237" s="14">
        <v>3</v>
      </c>
      <c r="B237" s="14">
        <v>36</v>
      </c>
      <c r="C237" s="14">
        <v>23</v>
      </c>
      <c r="D237" s="15">
        <f t="shared" si="6"/>
        <v>70</v>
      </c>
      <c r="E237" s="14">
        <f t="shared" si="7"/>
        <v>215</v>
      </c>
      <c r="F237" s="14">
        <f>B237*masteryConfig!S$2+MAX(masteryExpConfig!B237-24,0)*masteryConfig!T$2+MAX(masteryExpConfig!B237-49,0)*masteryConfig!U$2</f>
        <v>13200</v>
      </c>
      <c r="G237" s="12">
        <v>2</v>
      </c>
      <c r="H237" s="18">
        <f>IF(A237=1,F237/(SUM(D$2:D237)*4),0)</f>
        <v>0</v>
      </c>
      <c r="I237" s="10">
        <v>47</v>
      </c>
    </row>
    <row r="238" spans="1:9" x14ac:dyDescent="0.15">
      <c r="A238" s="14">
        <v>3</v>
      </c>
      <c r="B238" s="14">
        <v>37</v>
      </c>
      <c r="C238" s="14">
        <v>23</v>
      </c>
      <c r="D238" s="15">
        <f t="shared" si="6"/>
        <v>73</v>
      </c>
      <c r="E238" s="14">
        <f t="shared" si="7"/>
        <v>216</v>
      </c>
      <c r="F238" s="14">
        <f>B238*masteryConfig!S$2+MAX(masteryExpConfig!B238-24,0)*masteryConfig!T$2+MAX(masteryExpConfig!B238-49,0)*masteryConfig!U$2</f>
        <v>13700</v>
      </c>
      <c r="G238" s="12">
        <v>2</v>
      </c>
      <c r="H238" s="18">
        <f>IF(A238=1,F238/(SUM(D$2:D238)*4),0)</f>
        <v>0</v>
      </c>
      <c r="I238" s="10">
        <v>49</v>
      </c>
    </row>
    <row r="239" spans="1:9" x14ac:dyDescent="0.15">
      <c r="A239" s="14">
        <v>3</v>
      </c>
      <c r="B239" s="14">
        <v>38</v>
      </c>
      <c r="C239" s="14">
        <v>23</v>
      </c>
      <c r="D239" s="15">
        <f t="shared" si="6"/>
        <v>76</v>
      </c>
      <c r="E239" s="14">
        <f t="shared" si="7"/>
        <v>217</v>
      </c>
      <c r="F239" s="14">
        <f>B239*masteryConfig!S$2+MAX(masteryExpConfig!B239-24,0)*masteryConfig!T$2+MAX(masteryExpConfig!B239-49,0)*masteryConfig!U$2</f>
        <v>14200</v>
      </c>
      <c r="G239" s="12">
        <v>2</v>
      </c>
      <c r="H239" s="18">
        <f>IF(A239=1,F239/(SUM(D$2:D239)*4),0)</f>
        <v>0</v>
      </c>
      <c r="I239" s="10">
        <v>51</v>
      </c>
    </row>
    <row r="240" spans="1:9" x14ac:dyDescent="0.15">
      <c r="A240" s="14">
        <v>3</v>
      </c>
      <c r="B240" s="14">
        <v>39</v>
      </c>
      <c r="C240" s="14">
        <v>23</v>
      </c>
      <c r="D240" s="15">
        <f t="shared" si="6"/>
        <v>79</v>
      </c>
      <c r="E240" s="14">
        <f t="shared" si="7"/>
        <v>218</v>
      </c>
      <c r="F240" s="14">
        <f>B240*masteryConfig!S$2+MAX(masteryExpConfig!B240-24,0)*masteryConfig!T$2+MAX(masteryExpConfig!B240-49,0)*masteryConfig!U$2</f>
        <v>14700</v>
      </c>
      <c r="G240" s="12">
        <v>2</v>
      </c>
      <c r="H240" s="18">
        <f>IF(A240=1,F240/(SUM(D$2:D240)*4),0)</f>
        <v>0</v>
      </c>
      <c r="I240" s="10">
        <v>53</v>
      </c>
    </row>
    <row r="241" spans="1:9" x14ac:dyDescent="0.15">
      <c r="A241" s="14">
        <v>3</v>
      </c>
      <c r="B241" s="14">
        <v>40</v>
      </c>
      <c r="C241" s="14">
        <v>23</v>
      </c>
      <c r="D241" s="15">
        <f t="shared" si="6"/>
        <v>82</v>
      </c>
      <c r="E241" s="14">
        <f t="shared" si="7"/>
        <v>219</v>
      </c>
      <c r="F241" s="14">
        <f>B241*masteryConfig!S$2+MAX(masteryExpConfig!B241-24,0)*masteryConfig!T$2+MAX(masteryExpConfig!B241-49,0)*masteryConfig!U$2</f>
        <v>15200</v>
      </c>
      <c r="G241" s="12">
        <v>2</v>
      </c>
      <c r="H241" s="18">
        <f>IF(A241=1,F241/(SUM(D$2:D241)*4),0)</f>
        <v>0</v>
      </c>
      <c r="I241" s="10">
        <v>55</v>
      </c>
    </row>
    <row r="242" spans="1:9" x14ac:dyDescent="0.15">
      <c r="A242" s="14">
        <v>3</v>
      </c>
      <c r="B242" s="14">
        <v>41</v>
      </c>
      <c r="C242" s="14">
        <v>23</v>
      </c>
      <c r="D242" s="15">
        <f t="shared" si="6"/>
        <v>85</v>
      </c>
      <c r="E242" s="14">
        <f t="shared" si="7"/>
        <v>220</v>
      </c>
      <c r="F242" s="14">
        <f>B242*masteryConfig!S$2+MAX(masteryExpConfig!B242-24,0)*masteryConfig!T$2+MAX(masteryExpConfig!B242-49,0)*masteryConfig!U$2</f>
        <v>15700</v>
      </c>
      <c r="G242" s="12">
        <v>2</v>
      </c>
      <c r="H242" s="18">
        <f>IF(A242=1,F242/(SUM(D$2:D242)*4),0)</f>
        <v>0</v>
      </c>
      <c r="I242" s="10">
        <v>57</v>
      </c>
    </row>
    <row r="243" spans="1:9" x14ac:dyDescent="0.15">
      <c r="A243" s="14">
        <v>3</v>
      </c>
      <c r="B243" s="14">
        <v>42</v>
      </c>
      <c r="C243" s="14">
        <v>23</v>
      </c>
      <c r="D243" s="15">
        <f t="shared" si="6"/>
        <v>88</v>
      </c>
      <c r="E243" s="14">
        <f t="shared" si="7"/>
        <v>221</v>
      </c>
      <c r="F243" s="14">
        <f>B243*masteryConfig!S$2+MAX(masteryExpConfig!B243-24,0)*masteryConfig!T$2+MAX(masteryExpConfig!B243-49,0)*masteryConfig!U$2</f>
        <v>16200</v>
      </c>
      <c r="G243" s="12">
        <v>2</v>
      </c>
      <c r="H243" s="18">
        <f>IF(A243=1,F243/(SUM(D$2:D243)*4),0)</f>
        <v>0</v>
      </c>
      <c r="I243" s="10">
        <v>59</v>
      </c>
    </row>
    <row r="244" spans="1:9" x14ac:dyDescent="0.15">
      <c r="A244" s="14">
        <v>3</v>
      </c>
      <c r="B244" s="14">
        <v>43</v>
      </c>
      <c r="C244" s="14">
        <v>23</v>
      </c>
      <c r="D244" s="15">
        <f t="shared" si="6"/>
        <v>91</v>
      </c>
      <c r="E244" s="14">
        <f t="shared" si="7"/>
        <v>222</v>
      </c>
      <c r="F244" s="14">
        <f>B244*masteryConfig!S$2+MAX(masteryExpConfig!B244-24,0)*masteryConfig!T$2+MAX(masteryExpConfig!B244-49,0)*masteryConfig!U$2</f>
        <v>16700</v>
      </c>
      <c r="G244" s="12">
        <v>2</v>
      </c>
      <c r="H244" s="18">
        <f>IF(A244=1,F244/(SUM(D$2:D244)*4),0)</f>
        <v>0</v>
      </c>
      <c r="I244" s="10">
        <v>61</v>
      </c>
    </row>
    <row r="245" spans="1:9" x14ac:dyDescent="0.15">
      <c r="A245" s="14">
        <v>3</v>
      </c>
      <c r="B245" s="14">
        <v>44</v>
      </c>
      <c r="C245" s="14">
        <v>23</v>
      </c>
      <c r="D245" s="15">
        <f t="shared" si="6"/>
        <v>94</v>
      </c>
      <c r="E245" s="14">
        <f t="shared" si="7"/>
        <v>223</v>
      </c>
      <c r="F245" s="14">
        <f>B245*masteryConfig!S$2+MAX(masteryExpConfig!B245-24,0)*masteryConfig!T$2+MAX(masteryExpConfig!B245-49,0)*masteryConfig!U$2</f>
        <v>17200</v>
      </c>
      <c r="G245" s="12">
        <v>2</v>
      </c>
      <c r="H245" s="18">
        <f>IF(A245=1,F245/(SUM(D$2:D245)*4),0)</f>
        <v>0</v>
      </c>
      <c r="I245" s="10">
        <v>63</v>
      </c>
    </row>
    <row r="246" spans="1:9" x14ac:dyDescent="0.15">
      <c r="A246" s="14">
        <v>3</v>
      </c>
      <c r="B246" s="14">
        <v>45</v>
      </c>
      <c r="C246" s="14">
        <v>23</v>
      </c>
      <c r="D246" s="15">
        <f t="shared" si="6"/>
        <v>97</v>
      </c>
      <c r="E246" s="14">
        <f t="shared" si="7"/>
        <v>224</v>
      </c>
      <c r="F246" s="14">
        <f>B246*masteryConfig!S$2+MAX(masteryExpConfig!B246-24,0)*masteryConfig!T$2+MAX(masteryExpConfig!B246-49,0)*masteryConfig!U$2</f>
        <v>17700</v>
      </c>
      <c r="G246" s="12">
        <v>2</v>
      </c>
      <c r="H246" s="18">
        <f>IF(A246=1,F246/(SUM(D$2:D246)*4),0)</f>
        <v>0</v>
      </c>
      <c r="I246" s="10">
        <v>65</v>
      </c>
    </row>
    <row r="247" spans="1:9" x14ac:dyDescent="0.15">
      <c r="A247" s="14">
        <v>3</v>
      </c>
      <c r="B247" s="14">
        <v>46</v>
      </c>
      <c r="C247" s="14">
        <v>23</v>
      </c>
      <c r="D247" s="15">
        <f t="shared" si="6"/>
        <v>100</v>
      </c>
      <c r="E247" s="14">
        <f t="shared" si="7"/>
        <v>225</v>
      </c>
      <c r="F247" s="14">
        <f>B247*masteryConfig!S$2+MAX(masteryExpConfig!B247-24,0)*masteryConfig!T$2+MAX(masteryExpConfig!B247-49,0)*masteryConfig!U$2</f>
        <v>18200</v>
      </c>
      <c r="G247" s="12">
        <v>2</v>
      </c>
      <c r="H247" s="18">
        <f>IF(A247=1,F247/(SUM(D$2:D247)*4),0)</f>
        <v>0</v>
      </c>
      <c r="I247" s="10">
        <v>67</v>
      </c>
    </row>
    <row r="248" spans="1:9" x14ac:dyDescent="0.15">
      <c r="A248" s="14">
        <v>3</v>
      </c>
      <c r="B248" s="14">
        <v>47</v>
      </c>
      <c r="C248" s="14">
        <v>23</v>
      </c>
      <c r="D248" s="15">
        <f t="shared" si="6"/>
        <v>103</v>
      </c>
      <c r="E248" s="14">
        <f t="shared" si="7"/>
        <v>226</v>
      </c>
      <c r="F248" s="14">
        <f>B248*masteryConfig!S$2+MAX(masteryExpConfig!B248-24,0)*masteryConfig!T$2+MAX(masteryExpConfig!B248-49,0)*masteryConfig!U$2</f>
        <v>18700</v>
      </c>
      <c r="G248" s="12">
        <v>2</v>
      </c>
      <c r="H248" s="18">
        <f>IF(A248=1,F248/(SUM(D$2:D248)*4),0)</f>
        <v>0</v>
      </c>
      <c r="I248" s="10">
        <v>69</v>
      </c>
    </row>
    <row r="249" spans="1:9" x14ac:dyDescent="0.15">
      <c r="A249" s="14">
        <v>3</v>
      </c>
      <c r="B249" s="14">
        <v>48</v>
      </c>
      <c r="C249" s="14">
        <v>23</v>
      </c>
      <c r="D249" s="15">
        <f t="shared" si="6"/>
        <v>106</v>
      </c>
      <c r="E249" s="14">
        <f t="shared" si="7"/>
        <v>227</v>
      </c>
      <c r="F249" s="14">
        <f>B249*masteryConfig!S$2+MAX(masteryExpConfig!B249-24,0)*masteryConfig!T$2+MAX(masteryExpConfig!B249-49,0)*masteryConfig!U$2</f>
        <v>19200</v>
      </c>
      <c r="G249" s="12">
        <v>2</v>
      </c>
      <c r="H249" s="18">
        <f>IF(A249=1,F249/(SUM(D$2:D249)*4),0)</f>
        <v>0</v>
      </c>
      <c r="I249" s="10">
        <v>71</v>
      </c>
    </row>
    <row r="250" spans="1:9" x14ac:dyDescent="0.15">
      <c r="A250" s="14">
        <v>3</v>
      </c>
      <c r="B250" s="14">
        <v>49</v>
      </c>
      <c r="C250" s="14">
        <v>23</v>
      </c>
      <c r="D250" s="15">
        <f t="shared" si="6"/>
        <v>109</v>
      </c>
      <c r="E250" s="14">
        <f t="shared" si="7"/>
        <v>228</v>
      </c>
      <c r="F250" s="14">
        <f>B250*masteryConfig!S$2+MAX(masteryExpConfig!B250-24,0)*masteryConfig!T$2+MAX(masteryExpConfig!B250-49,0)*masteryConfig!U$2</f>
        <v>19700</v>
      </c>
      <c r="G250" s="12">
        <v>2</v>
      </c>
      <c r="H250" s="18">
        <f>IF(A250=1,F250/(SUM(D$2:D250)*4),0)</f>
        <v>0</v>
      </c>
      <c r="I250" s="10">
        <v>73</v>
      </c>
    </row>
    <row r="251" spans="1:9" x14ac:dyDescent="0.15">
      <c r="A251" s="14">
        <v>3</v>
      </c>
      <c r="B251" s="14">
        <v>50</v>
      </c>
      <c r="C251" s="14">
        <v>23</v>
      </c>
      <c r="D251" s="15">
        <f t="shared" si="6"/>
        <v>112</v>
      </c>
      <c r="E251" s="14">
        <f t="shared" si="7"/>
        <v>229</v>
      </c>
      <c r="F251" s="14">
        <f>B251*masteryConfig!S$2+MAX(masteryExpConfig!B251-24,0)*masteryConfig!T$2+MAX(masteryExpConfig!B251-49,0)*masteryConfig!U$2</f>
        <v>20400</v>
      </c>
      <c r="G251" s="12">
        <v>3</v>
      </c>
      <c r="H251" s="18">
        <f>IF(A251=1,F251/(SUM(D$2:D251)*4),0)</f>
        <v>0</v>
      </c>
      <c r="I251" s="10">
        <v>75</v>
      </c>
    </row>
    <row r="252" spans="1:9" x14ac:dyDescent="0.15">
      <c r="A252" s="14">
        <v>3</v>
      </c>
      <c r="B252" s="14">
        <v>51</v>
      </c>
      <c r="C252" s="14">
        <v>23</v>
      </c>
      <c r="D252" s="15">
        <f t="shared" si="6"/>
        <v>117</v>
      </c>
      <c r="E252" s="14">
        <f t="shared" si="7"/>
        <v>230</v>
      </c>
      <c r="F252" s="14">
        <f>B252*masteryConfig!S$2+MAX(masteryExpConfig!B252-24,0)*masteryConfig!T$2+MAX(masteryExpConfig!B252-49,0)*masteryConfig!U$2</f>
        <v>21100</v>
      </c>
      <c r="G252" s="12">
        <v>3</v>
      </c>
      <c r="H252" s="18">
        <f>IF(A252=1,F252/(SUM(D$2:D252)*4),0)</f>
        <v>0</v>
      </c>
      <c r="I252" s="10">
        <v>78</v>
      </c>
    </row>
    <row r="253" spans="1:9" x14ac:dyDescent="0.15">
      <c r="A253" s="14">
        <v>3</v>
      </c>
      <c r="B253" s="14">
        <v>52</v>
      </c>
      <c r="C253" s="14">
        <v>23</v>
      </c>
      <c r="D253" s="15">
        <f t="shared" si="6"/>
        <v>121</v>
      </c>
      <c r="E253" s="14">
        <f t="shared" si="7"/>
        <v>231</v>
      </c>
      <c r="F253" s="14">
        <f>B253*masteryConfig!S$2+MAX(masteryExpConfig!B253-24,0)*masteryConfig!T$2+MAX(masteryExpConfig!B253-49,0)*masteryConfig!U$2</f>
        <v>21800</v>
      </c>
      <c r="G253" s="12">
        <v>3</v>
      </c>
      <c r="H253" s="18">
        <f>IF(A253=1,F253/(SUM(D$2:D253)*4),0)</f>
        <v>0</v>
      </c>
      <c r="I253" s="10">
        <v>81</v>
      </c>
    </row>
    <row r="254" spans="1:9" x14ac:dyDescent="0.15">
      <c r="A254" s="14">
        <v>3</v>
      </c>
      <c r="B254" s="14">
        <v>53</v>
      </c>
      <c r="C254" s="14">
        <v>23</v>
      </c>
      <c r="D254" s="15">
        <f t="shared" si="6"/>
        <v>126</v>
      </c>
      <c r="E254" s="14">
        <f t="shared" si="7"/>
        <v>232</v>
      </c>
      <c r="F254" s="14">
        <f>B254*masteryConfig!S$2+MAX(masteryExpConfig!B254-24,0)*masteryConfig!T$2+MAX(masteryExpConfig!B254-49,0)*masteryConfig!U$2</f>
        <v>22500</v>
      </c>
      <c r="G254" s="12">
        <v>3</v>
      </c>
      <c r="H254" s="18">
        <f>IF(A254=1,F254/(SUM(D$2:D254)*4),0)</f>
        <v>0</v>
      </c>
      <c r="I254" s="10">
        <v>84</v>
      </c>
    </row>
    <row r="255" spans="1:9" x14ac:dyDescent="0.15">
      <c r="A255" s="14">
        <v>3</v>
      </c>
      <c r="B255" s="14">
        <v>54</v>
      </c>
      <c r="C255" s="14">
        <v>23</v>
      </c>
      <c r="D255" s="15">
        <f t="shared" si="6"/>
        <v>130</v>
      </c>
      <c r="E255" s="14">
        <f t="shared" si="7"/>
        <v>233</v>
      </c>
      <c r="F255" s="14">
        <f>B255*masteryConfig!S$2+MAX(masteryExpConfig!B255-24,0)*masteryConfig!T$2+MAX(masteryExpConfig!B255-49,0)*masteryConfig!U$2</f>
        <v>23200</v>
      </c>
      <c r="G255" s="12">
        <v>3</v>
      </c>
      <c r="H255" s="18">
        <f>IF(A255=1,F255/(SUM(D$2:D255)*4),0)</f>
        <v>0</v>
      </c>
      <c r="I255" s="10">
        <v>87</v>
      </c>
    </row>
    <row r="256" spans="1:9" x14ac:dyDescent="0.15">
      <c r="A256" s="14">
        <v>3</v>
      </c>
      <c r="B256" s="14">
        <v>55</v>
      </c>
      <c r="C256" s="14">
        <v>23</v>
      </c>
      <c r="D256" s="15">
        <f t="shared" si="6"/>
        <v>135</v>
      </c>
      <c r="E256" s="14">
        <f t="shared" si="7"/>
        <v>234</v>
      </c>
      <c r="F256" s="14">
        <f>B256*masteryConfig!S$2+MAX(masteryExpConfig!B256-24,0)*masteryConfig!T$2+MAX(masteryExpConfig!B256-49,0)*masteryConfig!U$2</f>
        <v>23900</v>
      </c>
      <c r="G256" s="12">
        <v>3</v>
      </c>
      <c r="H256" s="18">
        <f>IF(A256=1,F256/(SUM(D$2:D256)*4),0)</f>
        <v>0</v>
      </c>
      <c r="I256" s="10">
        <v>90</v>
      </c>
    </row>
    <row r="257" spans="1:9" x14ac:dyDescent="0.15">
      <c r="A257" s="14">
        <v>3</v>
      </c>
      <c r="B257" s="14">
        <v>56</v>
      </c>
      <c r="C257" s="14">
        <v>23</v>
      </c>
      <c r="D257" s="15">
        <f t="shared" si="6"/>
        <v>139</v>
      </c>
      <c r="E257" s="14">
        <f t="shared" si="7"/>
        <v>235</v>
      </c>
      <c r="F257" s="14">
        <f>B257*masteryConfig!S$2+MAX(masteryExpConfig!B257-24,0)*masteryConfig!T$2+MAX(masteryExpConfig!B257-49,0)*masteryConfig!U$2</f>
        <v>24600</v>
      </c>
      <c r="G257" s="12">
        <v>3</v>
      </c>
      <c r="H257" s="18">
        <f>IF(A257=1,F257/(SUM(D$2:D257)*4),0)</f>
        <v>0</v>
      </c>
      <c r="I257" s="10">
        <v>93</v>
      </c>
    </row>
    <row r="258" spans="1:9" x14ac:dyDescent="0.15">
      <c r="A258" s="14">
        <v>3</v>
      </c>
      <c r="B258" s="14">
        <v>57</v>
      </c>
      <c r="C258" s="14">
        <v>23</v>
      </c>
      <c r="D258" s="15">
        <f t="shared" si="6"/>
        <v>144</v>
      </c>
      <c r="E258" s="14">
        <f t="shared" si="7"/>
        <v>236</v>
      </c>
      <c r="F258" s="14">
        <f>B258*masteryConfig!S$2+MAX(masteryExpConfig!B258-24,0)*masteryConfig!T$2+MAX(masteryExpConfig!B258-49,0)*masteryConfig!U$2</f>
        <v>25300</v>
      </c>
      <c r="G258" s="12">
        <v>3</v>
      </c>
      <c r="H258" s="18">
        <f>IF(A258=1,F258/(SUM(D$2:D258)*4),0)</f>
        <v>0</v>
      </c>
      <c r="I258" s="10">
        <v>96</v>
      </c>
    </row>
    <row r="259" spans="1:9" x14ac:dyDescent="0.15">
      <c r="A259" s="14">
        <v>3</v>
      </c>
      <c r="B259" s="14">
        <v>58</v>
      </c>
      <c r="C259" s="14">
        <v>23</v>
      </c>
      <c r="D259" s="15">
        <f t="shared" ref="D259:D322" si="8">INT(MAX(12,I259*1.5))</f>
        <v>148</v>
      </c>
      <c r="E259" s="14">
        <f t="shared" ref="E259:E322" si="9">B259+179</f>
        <v>237</v>
      </c>
      <c r="F259" s="14">
        <f>B259*masteryConfig!S$2+MAX(masteryExpConfig!B259-24,0)*masteryConfig!T$2+MAX(masteryExpConfig!B259-49,0)*masteryConfig!U$2</f>
        <v>26000</v>
      </c>
      <c r="G259" s="12">
        <v>3</v>
      </c>
      <c r="H259" s="18">
        <f>IF(A259=1,F259/(SUM(D$2:D259)*4),0)</f>
        <v>0</v>
      </c>
      <c r="I259" s="10">
        <v>99</v>
      </c>
    </row>
    <row r="260" spans="1:9" x14ac:dyDescent="0.15">
      <c r="A260" s="14">
        <v>3</v>
      </c>
      <c r="B260" s="14">
        <v>59</v>
      </c>
      <c r="C260" s="14">
        <v>23</v>
      </c>
      <c r="D260" s="15">
        <f t="shared" si="8"/>
        <v>153</v>
      </c>
      <c r="E260" s="14">
        <f t="shared" si="9"/>
        <v>238</v>
      </c>
      <c r="F260" s="14">
        <f>B260*masteryConfig!S$2+MAX(masteryExpConfig!B260-24,0)*masteryConfig!T$2+MAX(masteryExpConfig!B260-49,0)*masteryConfig!U$2</f>
        <v>26700</v>
      </c>
      <c r="G260" s="12">
        <v>3</v>
      </c>
      <c r="H260" s="18">
        <f>IF(A260=1,F260/(SUM(D$2:D260)*4),0)</f>
        <v>0</v>
      </c>
      <c r="I260" s="10">
        <v>102</v>
      </c>
    </row>
    <row r="261" spans="1:9" x14ac:dyDescent="0.15">
      <c r="A261" s="14">
        <v>3</v>
      </c>
      <c r="B261" s="14">
        <v>60</v>
      </c>
      <c r="C261" s="14">
        <v>23</v>
      </c>
      <c r="D261" s="15">
        <f t="shared" si="8"/>
        <v>157</v>
      </c>
      <c r="E261" s="14">
        <f t="shared" si="9"/>
        <v>239</v>
      </c>
      <c r="F261" s="14">
        <f>B261*masteryConfig!S$2+MAX(masteryExpConfig!B261-24,0)*masteryConfig!T$2+MAX(masteryExpConfig!B261-49,0)*masteryConfig!U$2</f>
        <v>27400</v>
      </c>
      <c r="G261" s="12">
        <v>3</v>
      </c>
      <c r="H261" s="18">
        <f>IF(A261=1,F261/(SUM(D$2:D261)*4),0)</f>
        <v>0</v>
      </c>
      <c r="I261" s="10">
        <v>105</v>
      </c>
    </row>
    <row r="262" spans="1:9" x14ac:dyDescent="0.15">
      <c r="A262" s="14">
        <v>3</v>
      </c>
      <c r="B262" s="14">
        <v>61</v>
      </c>
      <c r="C262" s="14">
        <v>23</v>
      </c>
      <c r="D262" s="15">
        <f t="shared" si="8"/>
        <v>162</v>
      </c>
      <c r="E262" s="14">
        <f t="shared" si="9"/>
        <v>240</v>
      </c>
      <c r="F262" s="14">
        <f>B262*masteryConfig!S$2+MAX(masteryExpConfig!B262-24,0)*masteryConfig!T$2+MAX(masteryExpConfig!B262-49,0)*masteryConfig!U$2</f>
        <v>28100</v>
      </c>
      <c r="G262" s="12">
        <v>3</v>
      </c>
      <c r="H262" s="18">
        <f>IF(A262=1,F262/(SUM(D$2:D262)*4),0)</f>
        <v>0</v>
      </c>
      <c r="I262" s="10">
        <v>108</v>
      </c>
    </row>
    <row r="263" spans="1:9" x14ac:dyDescent="0.15">
      <c r="A263" s="14">
        <v>3</v>
      </c>
      <c r="B263" s="14">
        <v>62</v>
      </c>
      <c r="C263" s="14">
        <v>23</v>
      </c>
      <c r="D263" s="15">
        <f t="shared" si="8"/>
        <v>166</v>
      </c>
      <c r="E263" s="14">
        <f t="shared" si="9"/>
        <v>241</v>
      </c>
      <c r="F263" s="14">
        <f>B263*masteryConfig!S$2+MAX(masteryExpConfig!B263-24,0)*masteryConfig!T$2+MAX(masteryExpConfig!B263-49,0)*masteryConfig!U$2</f>
        <v>28800</v>
      </c>
      <c r="G263" s="12">
        <v>3</v>
      </c>
      <c r="H263" s="18">
        <f>IF(A263=1,F263/(SUM(D$2:D263)*4),0)</f>
        <v>0</v>
      </c>
      <c r="I263" s="10">
        <v>111</v>
      </c>
    </row>
    <row r="264" spans="1:9" x14ac:dyDescent="0.15">
      <c r="A264" s="14">
        <v>3</v>
      </c>
      <c r="B264" s="14">
        <v>63</v>
      </c>
      <c r="C264" s="14">
        <v>23</v>
      </c>
      <c r="D264" s="15">
        <f t="shared" si="8"/>
        <v>171</v>
      </c>
      <c r="E264" s="14">
        <f t="shared" si="9"/>
        <v>242</v>
      </c>
      <c r="F264" s="14">
        <f>B264*masteryConfig!S$2+MAX(masteryExpConfig!B264-24,0)*masteryConfig!T$2+MAX(masteryExpConfig!B264-49,0)*masteryConfig!U$2</f>
        <v>29500</v>
      </c>
      <c r="G264" s="12">
        <v>3</v>
      </c>
      <c r="H264" s="18">
        <f>IF(A264=1,F264/(SUM(D$2:D264)*4),0)</f>
        <v>0</v>
      </c>
      <c r="I264" s="10">
        <v>114</v>
      </c>
    </row>
    <row r="265" spans="1:9" x14ac:dyDescent="0.15">
      <c r="A265" s="14">
        <v>3</v>
      </c>
      <c r="B265" s="14">
        <v>64</v>
      </c>
      <c r="C265" s="14">
        <v>23</v>
      </c>
      <c r="D265" s="15">
        <f t="shared" si="8"/>
        <v>175</v>
      </c>
      <c r="E265" s="14">
        <f t="shared" si="9"/>
        <v>243</v>
      </c>
      <c r="F265" s="14">
        <f>B265*masteryConfig!S$2+MAX(masteryExpConfig!B265-24,0)*masteryConfig!T$2+MAX(masteryExpConfig!B265-49,0)*masteryConfig!U$2</f>
        <v>30200</v>
      </c>
      <c r="G265" s="12">
        <v>3</v>
      </c>
      <c r="H265" s="18">
        <f>IF(A265=1,F265/(SUM(D$2:D265)*4),0)</f>
        <v>0</v>
      </c>
      <c r="I265" s="10">
        <v>117</v>
      </c>
    </row>
    <row r="266" spans="1:9" x14ac:dyDescent="0.15">
      <c r="A266" s="14">
        <v>3</v>
      </c>
      <c r="B266" s="14">
        <v>65</v>
      </c>
      <c r="C266" s="14">
        <v>23</v>
      </c>
      <c r="D266" s="15">
        <f t="shared" si="8"/>
        <v>180</v>
      </c>
      <c r="E266" s="14">
        <f t="shared" si="9"/>
        <v>244</v>
      </c>
      <c r="F266" s="14">
        <f>B266*masteryConfig!S$2+MAX(masteryExpConfig!B266-24,0)*masteryConfig!T$2+MAX(masteryExpConfig!B266-49,0)*masteryConfig!U$2</f>
        <v>30900</v>
      </c>
      <c r="G266" s="12">
        <v>3</v>
      </c>
      <c r="H266" s="18">
        <f>IF(A266=1,F266/(SUM(D$2:D266)*4),0)</f>
        <v>0</v>
      </c>
      <c r="I266" s="10">
        <v>120</v>
      </c>
    </row>
    <row r="267" spans="1:9" x14ac:dyDescent="0.15">
      <c r="A267" s="14">
        <v>3</v>
      </c>
      <c r="B267" s="14">
        <v>66</v>
      </c>
      <c r="C267" s="14">
        <v>23</v>
      </c>
      <c r="D267" s="15">
        <f t="shared" si="8"/>
        <v>184</v>
      </c>
      <c r="E267" s="14">
        <f t="shared" si="9"/>
        <v>245</v>
      </c>
      <c r="F267" s="14">
        <f>B267*masteryConfig!S$2+MAX(masteryExpConfig!B267-24,0)*masteryConfig!T$2+MAX(masteryExpConfig!B267-49,0)*masteryConfig!U$2</f>
        <v>31600</v>
      </c>
      <c r="G267" s="12">
        <v>3</v>
      </c>
      <c r="H267" s="18">
        <f>IF(A267=1,F267/(SUM(D$2:D267)*4),0)</f>
        <v>0</v>
      </c>
      <c r="I267" s="10">
        <v>123</v>
      </c>
    </row>
    <row r="268" spans="1:9" x14ac:dyDescent="0.15">
      <c r="A268" s="14">
        <v>3</v>
      </c>
      <c r="B268" s="14">
        <v>67</v>
      </c>
      <c r="C268" s="14">
        <v>23</v>
      </c>
      <c r="D268" s="15">
        <f t="shared" si="8"/>
        <v>189</v>
      </c>
      <c r="E268" s="14">
        <f t="shared" si="9"/>
        <v>246</v>
      </c>
      <c r="F268" s="14">
        <f>B268*masteryConfig!S$2+MAX(masteryExpConfig!B268-24,0)*masteryConfig!T$2+MAX(masteryExpConfig!B268-49,0)*masteryConfig!U$2</f>
        <v>32300</v>
      </c>
      <c r="G268" s="12">
        <v>3</v>
      </c>
      <c r="H268" s="18">
        <f>IF(A268=1,F268/(SUM(D$2:D268)*4),0)</f>
        <v>0</v>
      </c>
      <c r="I268" s="10">
        <v>126</v>
      </c>
    </row>
    <row r="269" spans="1:9" x14ac:dyDescent="0.15">
      <c r="A269" s="14">
        <v>3</v>
      </c>
      <c r="B269" s="14">
        <v>68</v>
      </c>
      <c r="C269" s="14">
        <v>23</v>
      </c>
      <c r="D269" s="15">
        <f t="shared" si="8"/>
        <v>193</v>
      </c>
      <c r="E269" s="14">
        <f t="shared" si="9"/>
        <v>247</v>
      </c>
      <c r="F269" s="14">
        <f>B269*masteryConfig!S$2+MAX(masteryExpConfig!B269-24,0)*masteryConfig!T$2+MAX(masteryExpConfig!B269-49,0)*masteryConfig!U$2</f>
        <v>33000</v>
      </c>
      <c r="G269" s="12">
        <v>3</v>
      </c>
      <c r="H269" s="18">
        <f>IF(A269=1,F269/(SUM(D$2:D269)*4),0)</f>
        <v>0</v>
      </c>
      <c r="I269" s="10">
        <v>129</v>
      </c>
    </row>
    <row r="270" spans="1:9" x14ac:dyDescent="0.15">
      <c r="A270" s="14">
        <v>3</v>
      </c>
      <c r="B270" s="14">
        <v>69</v>
      </c>
      <c r="C270" s="14">
        <v>23</v>
      </c>
      <c r="D270" s="15">
        <f t="shared" si="8"/>
        <v>198</v>
      </c>
      <c r="E270" s="14">
        <f t="shared" si="9"/>
        <v>248</v>
      </c>
      <c r="F270" s="14">
        <f>B270*masteryConfig!S$2+MAX(masteryExpConfig!B270-24,0)*masteryConfig!T$2+MAX(masteryExpConfig!B270-49,0)*masteryConfig!U$2</f>
        <v>33700</v>
      </c>
      <c r="G270" s="12">
        <v>3</v>
      </c>
      <c r="H270" s="18">
        <f>IF(A270=1,F270/(SUM(D$2:D270)*4),0)</f>
        <v>0</v>
      </c>
      <c r="I270" s="10">
        <v>132</v>
      </c>
    </row>
    <row r="271" spans="1:9" x14ac:dyDescent="0.15">
      <c r="A271" s="14">
        <v>3</v>
      </c>
      <c r="B271" s="14">
        <v>70</v>
      </c>
      <c r="C271" s="14">
        <v>23</v>
      </c>
      <c r="D271" s="15">
        <f t="shared" si="8"/>
        <v>202</v>
      </c>
      <c r="E271" s="14">
        <f t="shared" si="9"/>
        <v>249</v>
      </c>
      <c r="F271" s="14">
        <f>B271*masteryConfig!S$2+MAX(masteryExpConfig!B271-24,0)*masteryConfig!T$2+MAX(masteryExpConfig!B271-49,0)*masteryConfig!U$2</f>
        <v>34400</v>
      </c>
      <c r="G271" s="12">
        <v>3</v>
      </c>
      <c r="H271" s="18">
        <f>IF(A271=1,F271/(SUM(D$2:D271)*4),0)</f>
        <v>0</v>
      </c>
      <c r="I271" s="10">
        <v>135</v>
      </c>
    </row>
    <row r="272" spans="1:9" x14ac:dyDescent="0.15">
      <c r="A272" s="14">
        <v>3</v>
      </c>
      <c r="B272" s="14">
        <v>71</v>
      </c>
      <c r="C272" s="14">
        <v>23</v>
      </c>
      <c r="D272" s="15">
        <f t="shared" si="8"/>
        <v>207</v>
      </c>
      <c r="E272" s="14">
        <f t="shared" si="9"/>
        <v>250</v>
      </c>
      <c r="F272" s="14">
        <f>B272*masteryConfig!S$2+MAX(masteryExpConfig!B272-24,0)*masteryConfig!T$2+MAX(masteryExpConfig!B272-49,0)*masteryConfig!U$2</f>
        <v>35100</v>
      </c>
      <c r="G272" s="12">
        <v>3</v>
      </c>
      <c r="H272" s="18">
        <f>IF(A272=1,F272/(SUM(D$2:D272)*4),0)</f>
        <v>0</v>
      </c>
      <c r="I272" s="10">
        <v>138</v>
      </c>
    </row>
    <row r="273" spans="1:9" x14ac:dyDescent="0.15">
      <c r="A273" s="14">
        <v>3</v>
      </c>
      <c r="B273" s="14">
        <v>72</v>
      </c>
      <c r="C273" s="14">
        <v>23</v>
      </c>
      <c r="D273" s="15">
        <f t="shared" si="8"/>
        <v>211</v>
      </c>
      <c r="E273" s="14">
        <f t="shared" si="9"/>
        <v>251</v>
      </c>
      <c r="F273" s="14">
        <f>B273*masteryConfig!S$2+MAX(masteryExpConfig!B273-24,0)*masteryConfig!T$2+MAX(masteryExpConfig!B273-49,0)*masteryConfig!U$2</f>
        <v>35800</v>
      </c>
      <c r="G273" s="12">
        <v>3</v>
      </c>
      <c r="H273" s="18">
        <f>IF(A273=1,F273/(SUM(D$2:D273)*4),0)</f>
        <v>0</v>
      </c>
      <c r="I273" s="10">
        <v>141</v>
      </c>
    </row>
    <row r="274" spans="1:9" x14ac:dyDescent="0.15">
      <c r="A274" s="14">
        <v>3</v>
      </c>
      <c r="B274" s="14">
        <v>73</v>
      </c>
      <c r="C274" s="14">
        <v>23</v>
      </c>
      <c r="D274" s="15">
        <f t="shared" si="8"/>
        <v>216</v>
      </c>
      <c r="E274" s="14">
        <f t="shared" si="9"/>
        <v>252</v>
      </c>
      <c r="F274" s="14">
        <f>B274*masteryConfig!S$2+MAX(masteryExpConfig!B274-24,0)*masteryConfig!T$2+MAX(masteryExpConfig!B274-49,0)*masteryConfig!U$2</f>
        <v>36500</v>
      </c>
      <c r="G274" s="12">
        <v>3</v>
      </c>
      <c r="H274" s="18">
        <f>IF(A274=1,F274/(SUM(D$2:D274)*4),0)</f>
        <v>0</v>
      </c>
      <c r="I274" s="10">
        <v>144</v>
      </c>
    </row>
    <row r="275" spans="1:9" x14ac:dyDescent="0.15">
      <c r="A275" s="14">
        <v>3</v>
      </c>
      <c r="B275" s="14">
        <v>74</v>
      </c>
      <c r="C275" s="14">
        <v>23</v>
      </c>
      <c r="D275" s="15">
        <f t="shared" si="8"/>
        <v>220</v>
      </c>
      <c r="E275" s="14">
        <f t="shared" si="9"/>
        <v>253</v>
      </c>
      <c r="F275" s="14">
        <f>B275*masteryConfig!S$2+MAX(masteryExpConfig!B275-24,0)*masteryConfig!T$2+MAX(masteryExpConfig!B275-49,0)*masteryConfig!U$2</f>
        <v>37200</v>
      </c>
      <c r="G275" s="12">
        <v>3</v>
      </c>
      <c r="H275" s="18">
        <f>IF(A275=1,F275/(SUM(D$2:D275)*4),0)</f>
        <v>0</v>
      </c>
      <c r="I275" s="10">
        <v>147</v>
      </c>
    </row>
    <row r="276" spans="1:9" x14ac:dyDescent="0.15">
      <c r="A276" s="14">
        <v>3</v>
      </c>
      <c r="B276" s="14">
        <v>75</v>
      </c>
      <c r="C276" s="14">
        <v>23</v>
      </c>
      <c r="D276" s="15">
        <f t="shared" si="8"/>
        <v>225</v>
      </c>
      <c r="E276" s="14">
        <f t="shared" si="9"/>
        <v>254</v>
      </c>
      <c r="F276" s="14">
        <f>B276*masteryConfig!S$2+MAX(masteryExpConfig!B276-24,0)*masteryConfig!T$2+MAX(masteryExpConfig!B276-49,0)*masteryConfig!U$2</f>
        <v>37900</v>
      </c>
      <c r="G276" s="12">
        <v>3</v>
      </c>
      <c r="H276" s="18">
        <f>IF(A276=1,F276/(SUM(D$2:D276)*4),0)</f>
        <v>0</v>
      </c>
      <c r="I276" s="10">
        <v>150</v>
      </c>
    </row>
    <row r="277" spans="1:9" x14ac:dyDescent="0.15">
      <c r="A277" s="14">
        <v>3</v>
      </c>
      <c r="B277" s="14">
        <v>76</v>
      </c>
      <c r="C277" s="14">
        <v>23</v>
      </c>
      <c r="D277" s="15">
        <f t="shared" si="8"/>
        <v>229</v>
      </c>
      <c r="E277" s="14">
        <f t="shared" si="9"/>
        <v>255</v>
      </c>
      <c r="F277" s="14">
        <f>B277*masteryConfig!S$2+MAX(masteryExpConfig!B277-24,0)*masteryConfig!T$2+MAX(masteryExpConfig!B277-49,0)*masteryConfig!U$2</f>
        <v>38600</v>
      </c>
      <c r="G277" s="12">
        <v>3</v>
      </c>
      <c r="H277" s="18">
        <f>IF(A277=1,F277/(SUM(D$2:D277)*4),0)</f>
        <v>0</v>
      </c>
      <c r="I277" s="10">
        <v>153</v>
      </c>
    </row>
    <row r="278" spans="1:9" x14ac:dyDescent="0.15">
      <c r="A278" s="14">
        <v>3</v>
      </c>
      <c r="B278" s="14">
        <v>77</v>
      </c>
      <c r="C278" s="14">
        <v>23</v>
      </c>
      <c r="D278" s="15">
        <f t="shared" si="8"/>
        <v>234</v>
      </c>
      <c r="E278" s="14">
        <f t="shared" si="9"/>
        <v>256</v>
      </c>
      <c r="F278" s="14">
        <f>B278*masteryConfig!S$2+MAX(masteryExpConfig!B278-24,0)*masteryConfig!T$2+MAX(masteryExpConfig!B278-49,0)*masteryConfig!U$2</f>
        <v>39300</v>
      </c>
      <c r="G278" s="12">
        <v>3</v>
      </c>
      <c r="H278" s="18">
        <f>IF(A278=1,F278/(SUM(D$2:D278)*4),0)</f>
        <v>0</v>
      </c>
      <c r="I278" s="10">
        <v>156</v>
      </c>
    </row>
    <row r="279" spans="1:9" x14ac:dyDescent="0.15">
      <c r="A279" s="14">
        <v>3</v>
      </c>
      <c r="B279" s="14">
        <v>78</v>
      </c>
      <c r="C279" s="14">
        <v>23</v>
      </c>
      <c r="D279" s="15">
        <f t="shared" si="8"/>
        <v>238</v>
      </c>
      <c r="E279" s="14">
        <f t="shared" si="9"/>
        <v>257</v>
      </c>
      <c r="F279" s="14">
        <f>B279*masteryConfig!S$2+MAX(masteryExpConfig!B279-24,0)*masteryConfig!T$2+MAX(masteryExpConfig!B279-49,0)*masteryConfig!U$2</f>
        <v>40000</v>
      </c>
      <c r="G279" s="12">
        <v>3</v>
      </c>
      <c r="H279" s="18">
        <f>IF(A279=1,F279/(SUM(D$2:D279)*4),0)</f>
        <v>0</v>
      </c>
      <c r="I279" s="10">
        <v>159</v>
      </c>
    </row>
    <row r="280" spans="1:9" x14ac:dyDescent="0.15">
      <c r="A280" s="14">
        <v>3</v>
      </c>
      <c r="B280" s="14">
        <v>79</v>
      </c>
      <c r="C280" s="14">
        <v>23</v>
      </c>
      <c r="D280" s="15">
        <f t="shared" si="8"/>
        <v>243</v>
      </c>
      <c r="E280" s="14">
        <f t="shared" si="9"/>
        <v>258</v>
      </c>
      <c r="F280" s="14">
        <f>B280*masteryConfig!S$2+MAX(masteryExpConfig!B280-24,0)*masteryConfig!T$2+MAX(masteryExpConfig!B280-49,0)*masteryConfig!U$2</f>
        <v>40700</v>
      </c>
      <c r="G280" s="12">
        <v>3</v>
      </c>
      <c r="H280" s="18">
        <f>IF(A280=1,F280/(SUM(D$2:D280)*4),0)</f>
        <v>0</v>
      </c>
      <c r="I280" s="10">
        <v>162</v>
      </c>
    </row>
    <row r="281" spans="1:9" x14ac:dyDescent="0.15">
      <c r="A281" s="14">
        <v>3</v>
      </c>
      <c r="B281" s="14">
        <v>80</v>
      </c>
      <c r="C281" s="14">
        <v>23</v>
      </c>
      <c r="D281" s="15">
        <f t="shared" si="8"/>
        <v>247</v>
      </c>
      <c r="E281" s="14">
        <f t="shared" si="9"/>
        <v>259</v>
      </c>
      <c r="F281" s="14">
        <f>B281*masteryConfig!S$2+MAX(masteryExpConfig!B281-24,0)*masteryConfig!T$2+MAX(masteryExpConfig!B281-49,0)*masteryConfig!U$2</f>
        <v>41400</v>
      </c>
      <c r="G281" s="12">
        <v>3</v>
      </c>
      <c r="H281" s="18">
        <f>IF(A281=1,F281/(SUM(D$2:D281)*4),0)</f>
        <v>0</v>
      </c>
      <c r="I281" s="10">
        <v>165</v>
      </c>
    </row>
    <row r="282" spans="1:9" x14ac:dyDescent="0.15">
      <c r="A282" s="14">
        <v>3</v>
      </c>
      <c r="B282" s="14">
        <v>81</v>
      </c>
      <c r="C282" s="14">
        <v>23</v>
      </c>
      <c r="D282" s="15">
        <f t="shared" si="8"/>
        <v>252</v>
      </c>
      <c r="E282" s="14">
        <f t="shared" si="9"/>
        <v>260</v>
      </c>
      <c r="F282" s="14">
        <f>B282*masteryConfig!S$2+MAX(masteryExpConfig!B282-24,0)*masteryConfig!T$2+MAX(masteryExpConfig!B282-49,0)*masteryConfig!U$2</f>
        <v>42100</v>
      </c>
      <c r="G282" s="12">
        <v>3</v>
      </c>
      <c r="H282" s="18">
        <f>IF(A282=1,F282/(SUM(D$2:D282)*4),0)</f>
        <v>0</v>
      </c>
      <c r="I282" s="10">
        <v>168</v>
      </c>
    </row>
    <row r="283" spans="1:9" x14ac:dyDescent="0.15">
      <c r="A283" s="14">
        <v>3</v>
      </c>
      <c r="B283" s="14">
        <v>82</v>
      </c>
      <c r="C283" s="14">
        <v>23</v>
      </c>
      <c r="D283" s="15">
        <f t="shared" si="8"/>
        <v>256</v>
      </c>
      <c r="E283" s="14">
        <f t="shared" si="9"/>
        <v>261</v>
      </c>
      <c r="F283" s="14">
        <f>B283*masteryConfig!S$2+MAX(masteryExpConfig!B283-24,0)*masteryConfig!T$2+MAX(masteryExpConfig!B283-49,0)*masteryConfig!U$2</f>
        <v>42800</v>
      </c>
      <c r="G283" s="12">
        <v>3</v>
      </c>
      <c r="H283" s="18">
        <f>IF(A283=1,F283/(SUM(D$2:D283)*4),0)</f>
        <v>0</v>
      </c>
      <c r="I283" s="10">
        <v>171</v>
      </c>
    </row>
    <row r="284" spans="1:9" x14ac:dyDescent="0.15">
      <c r="A284" s="14">
        <v>3</v>
      </c>
      <c r="B284" s="14">
        <v>83</v>
      </c>
      <c r="C284" s="14">
        <v>23</v>
      </c>
      <c r="D284" s="15">
        <f t="shared" si="8"/>
        <v>261</v>
      </c>
      <c r="E284" s="14">
        <f t="shared" si="9"/>
        <v>262</v>
      </c>
      <c r="F284" s="14">
        <f>B284*masteryConfig!S$2+MAX(masteryExpConfig!B284-24,0)*masteryConfig!T$2+MAX(masteryExpConfig!B284-49,0)*masteryConfig!U$2</f>
        <v>43500</v>
      </c>
      <c r="G284" s="12">
        <v>3</v>
      </c>
      <c r="H284" s="18">
        <f>IF(A284=1,F284/(SUM(D$2:D284)*4),0)</f>
        <v>0</v>
      </c>
      <c r="I284" s="10">
        <v>174</v>
      </c>
    </row>
    <row r="285" spans="1:9" x14ac:dyDescent="0.15">
      <c r="A285" s="14">
        <v>3</v>
      </c>
      <c r="B285" s="14">
        <v>84</v>
      </c>
      <c r="C285" s="14">
        <v>23</v>
      </c>
      <c r="D285" s="15">
        <f t="shared" si="8"/>
        <v>265</v>
      </c>
      <c r="E285" s="14">
        <f t="shared" si="9"/>
        <v>263</v>
      </c>
      <c r="F285" s="14">
        <f>B285*masteryConfig!S$2+MAX(masteryExpConfig!B285-24,0)*masteryConfig!T$2+MAX(masteryExpConfig!B285-49,0)*masteryConfig!U$2</f>
        <v>44200</v>
      </c>
      <c r="G285" s="12">
        <v>3</v>
      </c>
      <c r="H285" s="18">
        <f>IF(A285=1,F285/(SUM(D$2:D285)*4),0)</f>
        <v>0</v>
      </c>
      <c r="I285" s="10">
        <v>177</v>
      </c>
    </row>
    <row r="286" spans="1:9" x14ac:dyDescent="0.15">
      <c r="A286" s="14">
        <v>3</v>
      </c>
      <c r="B286" s="14">
        <v>85</v>
      </c>
      <c r="C286" s="14">
        <v>23</v>
      </c>
      <c r="D286" s="15">
        <f t="shared" si="8"/>
        <v>270</v>
      </c>
      <c r="E286" s="14">
        <f t="shared" si="9"/>
        <v>264</v>
      </c>
      <c r="F286" s="14">
        <f>B286*masteryConfig!S$2+MAX(masteryExpConfig!B286-24,0)*masteryConfig!T$2+MAX(masteryExpConfig!B286-49,0)*masteryConfig!U$2</f>
        <v>44900</v>
      </c>
      <c r="G286" s="12">
        <v>3</v>
      </c>
      <c r="H286" s="18">
        <f>IF(A286=1,F286/(SUM(D$2:D286)*4),0)</f>
        <v>0</v>
      </c>
      <c r="I286" s="10">
        <v>180</v>
      </c>
    </row>
    <row r="287" spans="1:9" x14ac:dyDescent="0.15">
      <c r="A287" s="14">
        <v>3</v>
      </c>
      <c r="B287" s="14">
        <v>86</v>
      </c>
      <c r="C287" s="14">
        <v>23</v>
      </c>
      <c r="D287" s="15">
        <f t="shared" si="8"/>
        <v>274</v>
      </c>
      <c r="E287" s="14">
        <f t="shared" si="9"/>
        <v>265</v>
      </c>
      <c r="F287" s="14">
        <f>B287*masteryConfig!S$2+MAX(masteryExpConfig!B287-24,0)*masteryConfig!T$2+MAX(masteryExpConfig!B287-49,0)*masteryConfig!U$2</f>
        <v>45600</v>
      </c>
      <c r="G287" s="12">
        <v>3</v>
      </c>
      <c r="H287" s="18">
        <f>IF(A287=1,F287/(SUM(D$2:D287)*4),0)</f>
        <v>0</v>
      </c>
      <c r="I287" s="10">
        <v>183</v>
      </c>
    </row>
    <row r="288" spans="1:9" x14ac:dyDescent="0.15">
      <c r="A288" s="14">
        <v>3</v>
      </c>
      <c r="B288" s="14">
        <v>87</v>
      </c>
      <c r="C288" s="14">
        <v>23</v>
      </c>
      <c r="D288" s="15">
        <f t="shared" si="8"/>
        <v>279</v>
      </c>
      <c r="E288" s="14">
        <f t="shared" si="9"/>
        <v>266</v>
      </c>
      <c r="F288" s="14">
        <f>B288*masteryConfig!S$2+MAX(masteryExpConfig!B288-24,0)*masteryConfig!T$2+MAX(masteryExpConfig!B288-49,0)*masteryConfig!U$2</f>
        <v>46300</v>
      </c>
      <c r="G288" s="12">
        <v>3</v>
      </c>
      <c r="H288" s="18">
        <f>IF(A288=1,F288/(SUM(D$2:D288)*4),0)</f>
        <v>0</v>
      </c>
      <c r="I288" s="10">
        <v>186</v>
      </c>
    </row>
    <row r="289" spans="1:9" x14ac:dyDescent="0.15">
      <c r="A289" s="14">
        <v>3</v>
      </c>
      <c r="B289" s="14">
        <v>88</v>
      </c>
      <c r="C289" s="14">
        <v>23</v>
      </c>
      <c r="D289" s="15">
        <f t="shared" si="8"/>
        <v>283</v>
      </c>
      <c r="E289" s="14">
        <f t="shared" si="9"/>
        <v>267</v>
      </c>
      <c r="F289" s="14">
        <f>B289*masteryConfig!S$2+MAX(masteryExpConfig!B289-24,0)*masteryConfig!T$2+MAX(masteryExpConfig!B289-49,0)*masteryConfig!U$2</f>
        <v>47000</v>
      </c>
      <c r="G289" s="12">
        <v>3</v>
      </c>
      <c r="H289" s="18">
        <f>IF(A289=1,F289/(SUM(D$2:D289)*4),0)</f>
        <v>0</v>
      </c>
      <c r="I289" s="10">
        <v>189</v>
      </c>
    </row>
    <row r="290" spans="1:9" x14ac:dyDescent="0.15">
      <c r="A290" s="14">
        <v>3</v>
      </c>
      <c r="B290" s="14">
        <v>89</v>
      </c>
      <c r="C290" s="14">
        <v>23</v>
      </c>
      <c r="D290" s="15">
        <f t="shared" si="8"/>
        <v>288</v>
      </c>
      <c r="E290" s="14">
        <f t="shared" si="9"/>
        <v>268</v>
      </c>
      <c r="F290" s="14">
        <f>B290*masteryConfig!S$2+MAX(masteryExpConfig!B290-24,0)*masteryConfig!T$2+MAX(masteryExpConfig!B290-49,0)*masteryConfig!U$2</f>
        <v>47700</v>
      </c>
      <c r="G290" s="12">
        <v>3</v>
      </c>
      <c r="H290" s="18">
        <f>IF(A290=1,F290/(SUM(D$2:D290)*4),0)</f>
        <v>0</v>
      </c>
      <c r="I290" s="10">
        <v>192</v>
      </c>
    </row>
    <row r="291" spans="1:9" x14ac:dyDescent="0.15">
      <c r="A291" s="14">
        <v>3</v>
      </c>
      <c r="B291" s="14">
        <v>90</v>
      </c>
      <c r="C291" s="14">
        <v>23</v>
      </c>
      <c r="D291" s="15">
        <f t="shared" si="8"/>
        <v>292</v>
      </c>
      <c r="E291" s="14">
        <f t="shared" si="9"/>
        <v>269</v>
      </c>
      <c r="F291" s="14">
        <f>B291*masteryConfig!S$2+MAX(masteryExpConfig!B291-24,0)*masteryConfig!T$2+MAX(masteryExpConfig!B291-49,0)*masteryConfig!U$2</f>
        <v>48400</v>
      </c>
      <c r="G291" s="12">
        <v>3</v>
      </c>
      <c r="H291" s="18">
        <f>IF(A291=1,F291/(SUM(D$2:D291)*4),0)</f>
        <v>0</v>
      </c>
      <c r="I291" s="10">
        <v>195</v>
      </c>
    </row>
    <row r="292" spans="1:9" x14ac:dyDescent="0.15">
      <c r="A292" s="14">
        <v>3</v>
      </c>
      <c r="B292" s="14">
        <v>91</v>
      </c>
      <c r="C292" s="14">
        <v>23</v>
      </c>
      <c r="D292" s="15">
        <f t="shared" si="8"/>
        <v>297</v>
      </c>
      <c r="E292" s="14">
        <f t="shared" si="9"/>
        <v>270</v>
      </c>
      <c r="F292" s="14">
        <f>B292*masteryConfig!S$2+MAX(masteryExpConfig!B292-24,0)*masteryConfig!T$2+MAX(masteryExpConfig!B292-49,0)*masteryConfig!U$2</f>
        <v>49100</v>
      </c>
      <c r="G292" s="12">
        <v>3</v>
      </c>
      <c r="H292" s="18">
        <f>IF(A292=1,F292/(SUM(D$2:D292)*4),0)</f>
        <v>0</v>
      </c>
      <c r="I292" s="10">
        <v>198</v>
      </c>
    </row>
    <row r="293" spans="1:9" x14ac:dyDescent="0.15">
      <c r="A293" s="14">
        <v>3</v>
      </c>
      <c r="B293" s="14">
        <v>92</v>
      </c>
      <c r="C293" s="14">
        <v>23</v>
      </c>
      <c r="D293" s="15">
        <f t="shared" si="8"/>
        <v>301</v>
      </c>
      <c r="E293" s="14">
        <f t="shared" si="9"/>
        <v>271</v>
      </c>
      <c r="F293" s="14">
        <f>B293*masteryConfig!S$2+MAX(masteryExpConfig!B293-24,0)*masteryConfig!T$2+MAX(masteryExpConfig!B293-49,0)*masteryConfig!U$2</f>
        <v>49800</v>
      </c>
      <c r="G293" s="12">
        <v>3</v>
      </c>
      <c r="H293" s="18">
        <f>IF(A293=1,F293/(SUM(D$2:D293)*4),0)</f>
        <v>0</v>
      </c>
      <c r="I293" s="10">
        <v>201</v>
      </c>
    </row>
    <row r="294" spans="1:9" x14ac:dyDescent="0.15">
      <c r="A294" s="14">
        <v>3</v>
      </c>
      <c r="B294" s="14">
        <v>93</v>
      </c>
      <c r="C294" s="14">
        <v>23</v>
      </c>
      <c r="D294" s="15">
        <f t="shared" si="8"/>
        <v>306</v>
      </c>
      <c r="E294" s="14">
        <f t="shared" si="9"/>
        <v>272</v>
      </c>
      <c r="F294" s="14">
        <f>B294*masteryConfig!S$2+MAX(masteryExpConfig!B294-24,0)*masteryConfig!T$2+MAX(masteryExpConfig!B294-49,0)*masteryConfig!U$2</f>
        <v>50500</v>
      </c>
      <c r="G294" s="12">
        <v>3</v>
      </c>
      <c r="H294" s="18">
        <f>IF(A294=1,F294/(SUM(D$2:D294)*4),0)</f>
        <v>0</v>
      </c>
      <c r="I294" s="10">
        <v>204</v>
      </c>
    </row>
    <row r="295" spans="1:9" x14ac:dyDescent="0.15">
      <c r="A295" s="14">
        <v>3</v>
      </c>
      <c r="B295" s="14">
        <v>94</v>
      </c>
      <c r="C295" s="14">
        <v>23</v>
      </c>
      <c r="D295" s="15">
        <f t="shared" si="8"/>
        <v>310</v>
      </c>
      <c r="E295" s="14">
        <f t="shared" si="9"/>
        <v>273</v>
      </c>
      <c r="F295" s="14">
        <f>B295*masteryConfig!S$2+MAX(masteryExpConfig!B295-24,0)*masteryConfig!T$2+MAX(masteryExpConfig!B295-49,0)*masteryConfig!U$2</f>
        <v>51200</v>
      </c>
      <c r="G295" s="12">
        <v>3</v>
      </c>
      <c r="H295" s="18">
        <f>IF(A295=1,F295/(SUM(D$2:D295)*4),0)</f>
        <v>0</v>
      </c>
      <c r="I295" s="10">
        <v>207</v>
      </c>
    </row>
    <row r="296" spans="1:9" x14ac:dyDescent="0.15">
      <c r="A296" s="14">
        <v>3</v>
      </c>
      <c r="B296" s="14">
        <v>95</v>
      </c>
      <c r="C296" s="14">
        <v>23</v>
      </c>
      <c r="D296" s="15">
        <f t="shared" si="8"/>
        <v>315</v>
      </c>
      <c r="E296" s="14">
        <f t="shared" si="9"/>
        <v>274</v>
      </c>
      <c r="F296" s="14">
        <f>B296*masteryConfig!S$2+MAX(masteryExpConfig!B296-24,0)*masteryConfig!T$2+MAX(masteryExpConfig!B296-49,0)*masteryConfig!U$2</f>
        <v>51900</v>
      </c>
      <c r="G296" s="12">
        <v>3</v>
      </c>
      <c r="H296" s="18">
        <f>IF(A296=1,F296/(SUM(D$2:D296)*4),0)</f>
        <v>0</v>
      </c>
      <c r="I296" s="10">
        <v>210</v>
      </c>
    </row>
    <row r="297" spans="1:9" x14ac:dyDescent="0.15">
      <c r="A297" s="14">
        <v>3</v>
      </c>
      <c r="B297" s="14">
        <v>96</v>
      </c>
      <c r="C297" s="14">
        <v>23</v>
      </c>
      <c r="D297" s="15">
        <f t="shared" si="8"/>
        <v>319</v>
      </c>
      <c r="E297" s="14">
        <f t="shared" si="9"/>
        <v>275</v>
      </c>
      <c r="F297" s="14">
        <f>B297*masteryConfig!S$2+MAX(masteryExpConfig!B297-24,0)*masteryConfig!T$2+MAX(masteryExpConfig!B297-49,0)*masteryConfig!U$2</f>
        <v>52600</v>
      </c>
      <c r="G297" s="12">
        <v>3</v>
      </c>
      <c r="H297" s="18">
        <f>IF(A297=1,F297/(SUM(D$2:D297)*4),0)</f>
        <v>0</v>
      </c>
      <c r="I297" s="10">
        <v>213</v>
      </c>
    </row>
    <row r="298" spans="1:9" x14ac:dyDescent="0.15">
      <c r="A298" s="14">
        <v>3</v>
      </c>
      <c r="B298" s="14">
        <v>97</v>
      </c>
      <c r="C298" s="14">
        <v>23</v>
      </c>
      <c r="D298" s="15">
        <f t="shared" si="8"/>
        <v>324</v>
      </c>
      <c r="E298" s="14">
        <f t="shared" si="9"/>
        <v>276</v>
      </c>
      <c r="F298" s="14">
        <f>B298*masteryConfig!S$2+MAX(masteryExpConfig!B298-24,0)*masteryConfig!T$2+MAX(masteryExpConfig!B298-49,0)*masteryConfig!U$2</f>
        <v>53300</v>
      </c>
      <c r="G298" s="12">
        <v>3</v>
      </c>
      <c r="H298" s="18">
        <f>IF(A298=1,F298/(SUM(D$2:D298)*4),0)</f>
        <v>0</v>
      </c>
      <c r="I298" s="10">
        <v>216</v>
      </c>
    </row>
    <row r="299" spans="1:9" x14ac:dyDescent="0.15">
      <c r="A299" s="14">
        <v>3</v>
      </c>
      <c r="B299" s="14">
        <v>98</v>
      </c>
      <c r="C299" s="14">
        <v>23</v>
      </c>
      <c r="D299" s="15">
        <f t="shared" si="8"/>
        <v>328</v>
      </c>
      <c r="E299" s="14">
        <f t="shared" si="9"/>
        <v>277</v>
      </c>
      <c r="F299" s="14">
        <f>B299*masteryConfig!S$2+MAX(masteryExpConfig!B299-24,0)*masteryConfig!T$2+MAX(masteryExpConfig!B299-49,0)*masteryConfig!U$2</f>
        <v>54000</v>
      </c>
      <c r="G299" s="12">
        <v>3</v>
      </c>
      <c r="H299" s="18">
        <f>IF(A299=1,F299/(SUM(D$2:D299)*4),0)</f>
        <v>0</v>
      </c>
      <c r="I299" s="10">
        <v>219</v>
      </c>
    </row>
    <row r="300" spans="1:9" x14ac:dyDescent="0.15">
      <c r="A300" s="14">
        <v>3</v>
      </c>
      <c r="B300" s="14">
        <v>99</v>
      </c>
      <c r="C300" s="14">
        <v>23</v>
      </c>
      <c r="D300" s="15">
        <f t="shared" si="8"/>
        <v>333</v>
      </c>
      <c r="E300" s="14">
        <f t="shared" si="9"/>
        <v>278</v>
      </c>
      <c r="F300" s="14">
        <f>B300*masteryConfig!S$2+MAX(masteryExpConfig!B300-24,0)*masteryConfig!T$2+MAX(masteryExpConfig!B300-49,0)*masteryConfig!U$2</f>
        <v>54700</v>
      </c>
      <c r="G300" s="12">
        <v>3</v>
      </c>
      <c r="H300" s="18">
        <f>IF(A300=1,F300/(SUM(D$2:D300)*4),0)</f>
        <v>0</v>
      </c>
      <c r="I300" s="10">
        <v>222</v>
      </c>
    </row>
    <row r="301" spans="1:9" x14ac:dyDescent="0.15">
      <c r="A301" s="14">
        <v>3</v>
      </c>
      <c r="B301" s="14">
        <v>100</v>
      </c>
      <c r="C301" s="14">
        <v>23</v>
      </c>
      <c r="D301" s="15">
        <f t="shared" si="8"/>
        <v>337</v>
      </c>
      <c r="E301" s="14">
        <f t="shared" si="9"/>
        <v>279</v>
      </c>
      <c r="F301" s="14">
        <f>B301*masteryConfig!S$2+MAX(masteryExpConfig!B301-24,0)*masteryConfig!T$2+MAX(masteryExpConfig!B301-49,0)*masteryConfig!U$2</f>
        <v>55400</v>
      </c>
      <c r="G301" s="12">
        <v>3</v>
      </c>
      <c r="H301" s="18">
        <f>IF(A301=1,F301/(SUM(D$2:D301)*4),0)</f>
        <v>0</v>
      </c>
      <c r="I301" s="10">
        <v>225</v>
      </c>
    </row>
    <row r="302" spans="1:9" x14ac:dyDescent="0.15">
      <c r="A302" s="14">
        <v>4</v>
      </c>
      <c r="B302" s="14">
        <v>1</v>
      </c>
      <c r="C302" s="14">
        <v>24</v>
      </c>
      <c r="D302" s="15">
        <f t="shared" si="8"/>
        <v>12</v>
      </c>
      <c r="E302" s="14">
        <f t="shared" si="9"/>
        <v>180</v>
      </c>
      <c r="F302" s="14">
        <f>B302*masteryConfig!S$2+MAX(masteryExpConfig!B302-24,0)*masteryConfig!T$2+MAX(masteryExpConfig!B302-49,0)*masteryConfig!U$2</f>
        <v>300</v>
      </c>
      <c r="G302" s="12">
        <v>1</v>
      </c>
      <c r="H302" s="18">
        <f>IF(A302=1,F302/(SUM(D$2:D302)*4),0)</f>
        <v>0</v>
      </c>
      <c r="I302" s="10">
        <v>1</v>
      </c>
    </row>
    <row r="303" spans="1:9" x14ac:dyDescent="0.15">
      <c r="A303" s="14">
        <v>4</v>
      </c>
      <c r="B303" s="14">
        <v>2</v>
      </c>
      <c r="C303" s="14">
        <v>24</v>
      </c>
      <c r="D303" s="15">
        <f t="shared" si="8"/>
        <v>12</v>
      </c>
      <c r="E303" s="14">
        <f t="shared" si="9"/>
        <v>181</v>
      </c>
      <c r="F303" s="14">
        <f>B303*masteryConfig!S$2+MAX(masteryExpConfig!B303-24,0)*masteryConfig!T$2+MAX(masteryExpConfig!B303-49,0)*masteryConfig!U$2</f>
        <v>600</v>
      </c>
      <c r="G303" s="12">
        <v>1</v>
      </c>
      <c r="H303" s="18">
        <f>IF(A303=1,F303/(SUM(D$2:D303)*4),0)</f>
        <v>0</v>
      </c>
      <c r="I303" s="10">
        <v>2</v>
      </c>
    </row>
    <row r="304" spans="1:9" x14ac:dyDescent="0.15">
      <c r="A304" s="14">
        <v>4</v>
      </c>
      <c r="B304" s="14">
        <v>3</v>
      </c>
      <c r="C304" s="14">
        <v>24</v>
      </c>
      <c r="D304" s="15">
        <f t="shared" si="8"/>
        <v>12</v>
      </c>
      <c r="E304" s="14">
        <f t="shared" si="9"/>
        <v>182</v>
      </c>
      <c r="F304" s="14">
        <f>B304*masteryConfig!S$2+MAX(masteryExpConfig!B304-24,0)*masteryConfig!T$2+MAX(masteryExpConfig!B304-49,0)*masteryConfig!U$2</f>
        <v>900</v>
      </c>
      <c r="G304" s="12">
        <v>1</v>
      </c>
      <c r="H304" s="18">
        <f>IF(A304=1,F304/(SUM(D$2:D304)*4),0)</f>
        <v>0</v>
      </c>
      <c r="I304" s="10">
        <v>3</v>
      </c>
    </row>
    <row r="305" spans="1:9" x14ac:dyDescent="0.15">
      <c r="A305" s="14">
        <v>4</v>
      </c>
      <c r="B305" s="14">
        <v>4</v>
      </c>
      <c r="C305" s="14">
        <v>24</v>
      </c>
      <c r="D305" s="15">
        <f t="shared" si="8"/>
        <v>12</v>
      </c>
      <c r="E305" s="14">
        <f t="shared" si="9"/>
        <v>183</v>
      </c>
      <c r="F305" s="14">
        <f>B305*masteryConfig!S$2+MAX(masteryExpConfig!B305-24,0)*masteryConfig!T$2+MAX(masteryExpConfig!B305-49,0)*masteryConfig!U$2</f>
        <v>1200</v>
      </c>
      <c r="G305" s="12">
        <v>1</v>
      </c>
      <c r="H305" s="18">
        <f>IF(A305=1,F305/(SUM(D$2:D305)*4),0)</f>
        <v>0</v>
      </c>
      <c r="I305" s="10">
        <v>4</v>
      </c>
    </row>
    <row r="306" spans="1:9" x14ac:dyDescent="0.15">
      <c r="A306" s="14">
        <v>4</v>
      </c>
      <c r="B306" s="14">
        <v>5</v>
      </c>
      <c r="C306" s="14">
        <v>24</v>
      </c>
      <c r="D306" s="15">
        <f t="shared" si="8"/>
        <v>12</v>
      </c>
      <c r="E306" s="14">
        <f t="shared" si="9"/>
        <v>184</v>
      </c>
      <c r="F306" s="14">
        <f>B306*masteryConfig!S$2+MAX(masteryExpConfig!B306-24,0)*masteryConfig!T$2+MAX(masteryExpConfig!B306-49,0)*masteryConfig!U$2</f>
        <v>1500</v>
      </c>
      <c r="G306" s="12">
        <v>1</v>
      </c>
      <c r="H306" s="18">
        <f>IF(A306=1,F306/(SUM(D$2:D306)*4),0)</f>
        <v>0</v>
      </c>
      <c r="I306" s="10">
        <v>5</v>
      </c>
    </row>
    <row r="307" spans="1:9" x14ac:dyDescent="0.15">
      <c r="A307" s="14">
        <v>4</v>
      </c>
      <c r="B307" s="14">
        <v>6</v>
      </c>
      <c r="C307" s="14">
        <v>24</v>
      </c>
      <c r="D307" s="15">
        <f t="shared" si="8"/>
        <v>12</v>
      </c>
      <c r="E307" s="14">
        <f t="shared" si="9"/>
        <v>185</v>
      </c>
      <c r="F307" s="14">
        <f>B307*masteryConfig!S$2+MAX(masteryExpConfig!B307-24,0)*masteryConfig!T$2+MAX(masteryExpConfig!B307-49,0)*masteryConfig!U$2</f>
        <v>1800</v>
      </c>
      <c r="G307" s="12">
        <v>1</v>
      </c>
      <c r="H307" s="18">
        <f>IF(A307=1,F307/(SUM(D$2:D307)*4),0)</f>
        <v>0</v>
      </c>
      <c r="I307" s="10">
        <v>6</v>
      </c>
    </row>
    <row r="308" spans="1:9" x14ac:dyDescent="0.15">
      <c r="A308" s="14">
        <v>4</v>
      </c>
      <c r="B308" s="14">
        <v>7</v>
      </c>
      <c r="C308" s="14">
        <v>24</v>
      </c>
      <c r="D308" s="15">
        <f t="shared" si="8"/>
        <v>12</v>
      </c>
      <c r="E308" s="14">
        <f t="shared" si="9"/>
        <v>186</v>
      </c>
      <c r="F308" s="14">
        <f>B308*masteryConfig!S$2+MAX(masteryExpConfig!B308-24,0)*masteryConfig!T$2+MAX(masteryExpConfig!B308-49,0)*masteryConfig!U$2</f>
        <v>2100</v>
      </c>
      <c r="G308" s="12">
        <v>1</v>
      </c>
      <c r="H308" s="18">
        <f>IF(A308=1,F308/(SUM(D$2:D308)*4),0)</f>
        <v>0</v>
      </c>
      <c r="I308" s="10">
        <v>7</v>
      </c>
    </row>
    <row r="309" spans="1:9" x14ac:dyDescent="0.15">
      <c r="A309" s="14">
        <v>4</v>
      </c>
      <c r="B309" s="14">
        <v>8</v>
      </c>
      <c r="C309" s="14">
        <v>24</v>
      </c>
      <c r="D309" s="15">
        <f t="shared" si="8"/>
        <v>12</v>
      </c>
      <c r="E309" s="14">
        <f t="shared" si="9"/>
        <v>187</v>
      </c>
      <c r="F309" s="14">
        <f>B309*masteryConfig!S$2+MAX(masteryExpConfig!B309-24,0)*masteryConfig!T$2+MAX(masteryExpConfig!B309-49,0)*masteryConfig!U$2</f>
        <v>2400</v>
      </c>
      <c r="G309" s="12">
        <v>1</v>
      </c>
      <c r="H309" s="18">
        <f>IF(A309=1,F309/(SUM(D$2:D309)*4),0)</f>
        <v>0</v>
      </c>
      <c r="I309" s="10">
        <v>8</v>
      </c>
    </row>
    <row r="310" spans="1:9" x14ac:dyDescent="0.15">
      <c r="A310" s="14">
        <v>4</v>
      </c>
      <c r="B310" s="14">
        <v>9</v>
      </c>
      <c r="C310" s="14">
        <v>24</v>
      </c>
      <c r="D310" s="15">
        <f t="shared" si="8"/>
        <v>13</v>
      </c>
      <c r="E310" s="14">
        <f t="shared" si="9"/>
        <v>188</v>
      </c>
      <c r="F310" s="14">
        <f>B310*masteryConfig!S$2+MAX(masteryExpConfig!B310-24,0)*masteryConfig!T$2+MAX(masteryExpConfig!B310-49,0)*masteryConfig!U$2</f>
        <v>2700</v>
      </c>
      <c r="G310" s="12">
        <v>1</v>
      </c>
      <c r="H310" s="18">
        <f>IF(A310=1,F310/(SUM(D$2:D310)*4),0)</f>
        <v>0</v>
      </c>
      <c r="I310" s="10">
        <v>9</v>
      </c>
    </row>
    <row r="311" spans="1:9" x14ac:dyDescent="0.15">
      <c r="A311" s="14">
        <v>4</v>
      </c>
      <c r="B311" s="14">
        <v>10</v>
      </c>
      <c r="C311" s="14">
        <v>24</v>
      </c>
      <c r="D311" s="15">
        <f t="shared" si="8"/>
        <v>15</v>
      </c>
      <c r="E311" s="14">
        <f t="shared" si="9"/>
        <v>189</v>
      </c>
      <c r="F311" s="14">
        <f>B311*masteryConfig!S$2+MAX(masteryExpConfig!B311-24,0)*masteryConfig!T$2+MAX(masteryExpConfig!B311-49,0)*masteryConfig!U$2</f>
        <v>3000</v>
      </c>
      <c r="G311" s="12">
        <v>1</v>
      </c>
      <c r="H311" s="18">
        <f>IF(A311=1,F311/(SUM(D$2:D311)*4),0)</f>
        <v>0</v>
      </c>
      <c r="I311" s="10">
        <v>10</v>
      </c>
    </row>
    <row r="312" spans="1:9" x14ac:dyDescent="0.15">
      <c r="A312" s="14">
        <v>4</v>
      </c>
      <c r="B312" s="14">
        <v>11</v>
      </c>
      <c r="C312" s="14">
        <v>24</v>
      </c>
      <c r="D312" s="15">
        <f t="shared" si="8"/>
        <v>16</v>
      </c>
      <c r="E312" s="14">
        <f t="shared" si="9"/>
        <v>190</v>
      </c>
      <c r="F312" s="14">
        <f>B312*masteryConfig!S$2+MAX(masteryExpConfig!B312-24,0)*masteryConfig!T$2+MAX(masteryExpConfig!B312-49,0)*masteryConfig!U$2</f>
        <v>3300</v>
      </c>
      <c r="G312" s="12">
        <v>1</v>
      </c>
      <c r="H312" s="18">
        <f>IF(A312=1,F312/(SUM(D$2:D312)*4),0)</f>
        <v>0</v>
      </c>
      <c r="I312" s="10">
        <v>11</v>
      </c>
    </row>
    <row r="313" spans="1:9" x14ac:dyDescent="0.15">
      <c r="A313" s="14">
        <v>4</v>
      </c>
      <c r="B313" s="14">
        <v>12</v>
      </c>
      <c r="C313" s="14">
        <v>24</v>
      </c>
      <c r="D313" s="15">
        <f t="shared" si="8"/>
        <v>18</v>
      </c>
      <c r="E313" s="14">
        <f t="shared" si="9"/>
        <v>191</v>
      </c>
      <c r="F313" s="14">
        <f>B313*masteryConfig!S$2+MAX(masteryExpConfig!B313-24,0)*masteryConfig!T$2+MAX(masteryExpConfig!B313-49,0)*masteryConfig!U$2</f>
        <v>3600</v>
      </c>
      <c r="G313" s="12">
        <v>1</v>
      </c>
      <c r="H313" s="18">
        <f>IF(A313=1,F313/(SUM(D$2:D313)*4),0)</f>
        <v>0</v>
      </c>
      <c r="I313" s="10">
        <v>12</v>
      </c>
    </row>
    <row r="314" spans="1:9" x14ac:dyDescent="0.15">
      <c r="A314" s="14">
        <v>4</v>
      </c>
      <c r="B314" s="14">
        <v>13</v>
      </c>
      <c r="C314" s="14">
        <v>24</v>
      </c>
      <c r="D314" s="15">
        <f t="shared" si="8"/>
        <v>19</v>
      </c>
      <c r="E314" s="14">
        <f t="shared" si="9"/>
        <v>192</v>
      </c>
      <c r="F314" s="14">
        <f>B314*masteryConfig!S$2+MAX(masteryExpConfig!B314-24,0)*masteryConfig!T$2+MAX(masteryExpConfig!B314-49,0)*masteryConfig!U$2</f>
        <v>3900</v>
      </c>
      <c r="G314" s="12">
        <v>1</v>
      </c>
      <c r="H314" s="18">
        <f>IF(A314=1,F314/(SUM(D$2:D314)*4),0)</f>
        <v>0</v>
      </c>
      <c r="I314" s="10">
        <v>13</v>
      </c>
    </row>
    <row r="315" spans="1:9" x14ac:dyDescent="0.15">
      <c r="A315" s="14">
        <v>4</v>
      </c>
      <c r="B315" s="14">
        <v>14</v>
      </c>
      <c r="C315" s="14">
        <v>24</v>
      </c>
      <c r="D315" s="15">
        <f t="shared" si="8"/>
        <v>21</v>
      </c>
      <c r="E315" s="14">
        <f t="shared" si="9"/>
        <v>193</v>
      </c>
      <c r="F315" s="14">
        <f>B315*masteryConfig!S$2+MAX(masteryExpConfig!B315-24,0)*masteryConfig!T$2+MAX(masteryExpConfig!B315-49,0)*masteryConfig!U$2</f>
        <v>4200</v>
      </c>
      <c r="G315" s="12">
        <v>1</v>
      </c>
      <c r="H315" s="18">
        <f>IF(A315=1,F315/(SUM(D$2:D315)*4),0)</f>
        <v>0</v>
      </c>
      <c r="I315" s="10">
        <v>14</v>
      </c>
    </row>
    <row r="316" spans="1:9" x14ac:dyDescent="0.15">
      <c r="A316" s="14">
        <v>4</v>
      </c>
      <c r="B316" s="14">
        <v>15</v>
      </c>
      <c r="C316" s="14">
        <v>24</v>
      </c>
      <c r="D316" s="15">
        <f t="shared" si="8"/>
        <v>22</v>
      </c>
      <c r="E316" s="14">
        <f t="shared" si="9"/>
        <v>194</v>
      </c>
      <c r="F316" s="14">
        <f>B316*masteryConfig!S$2+MAX(masteryExpConfig!B316-24,0)*masteryConfig!T$2+MAX(masteryExpConfig!B316-49,0)*masteryConfig!U$2</f>
        <v>4500</v>
      </c>
      <c r="G316" s="12">
        <v>1</v>
      </c>
      <c r="H316" s="18">
        <f>IF(A316=1,F316/(SUM(D$2:D316)*4),0)</f>
        <v>0</v>
      </c>
      <c r="I316" s="10">
        <v>15</v>
      </c>
    </row>
    <row r="317" spans="1:9" x14ac:dyDescent="0.15">
      <c r="A317" s="14">
        <v>4</v>
      </c>
      <c r="B317" s="14">
        <v>16</v>
      </c>
      <c r="C317" s="14">
        <v>24</v>
      </c>
      <c r="D317" s="15">
        <f t="shared" si="8"/>
        <v>24</v>
      </c>
      <c r="E317" s="14">
        <f t="shared" si="9"/>
        <v>195</v>
      </c>
      <c r="F317" s="14">
        <f>B317*masteryConfig!S$2+MAX(masteryExpConfig!B317-24,0)*masteryConfig!T$2+MAX(masteryExpConfig!B317-49,0)*masteryConfig!U$2</f>
        <v>4800</v>
      </c>
      <c r="G317" s="12">
        <v>1</v>
      </c>
      <c r="H317" s="18">
        <f>IF(A317=1,F317/(SUM(D$2:D317)*4),0)</f>
        <v>0</v>
      </c>
      <c r="I317" s="10">
        <v>16</v>
      </c>
    </row>
    <row r="318" spans="1:9" x14ac:dyDescent="0.15">
      <c r="A318" s="14">
        <v>4</v>
      </c>
      <c r="B318" s="14">
        <v>17</v>
      </c>
      <c r="C318" s="14">
        <v>24</v>
      </c>
      <c r="D318" s="15">
        <f t="shared" si="8"/>
        <v>25</v>
      </c>
      <c r="E318" s="14">
        <f t="shared" si="9"/>
        <v>196</v>
      </c>
      <c r="F318" s="14">
        <f>B318*masteryConfig!S$2+MAX(masteryExpConfig!B318-24,0)*masteryConfig!T$2+MAX(masteryExpConfig!B318-49,0)*masteryConfig!U$2</f>
        <v>5100</v>
      </c>
      <c r="G318" s="12">
        <v>1</v>
      </c>
      <c r="H318" s="18">
        <f>IF(A318=1,F318/(SUM(D$2:D318)*4),0)</f>
        <v>0</v>
      </c>
      <c r="I318" s="10">
        <v>17</v>
      </c>
    </row>
    <row r="319" spans="1:9" x14ac:dyDescent="0.15">
      <c r="A319" s="14">
        <v>4</v>
      </c>
      <c r="B319" s="14">
        <v>18</v>
      </c>
      <c r="C319" s="14">
        <v>24</v>
      </c>
      <c r="D319" s="15">
        <f t="shared" si="8"/>
        <v>27</v>
      </c>
      <c r="E319" s="14">
        <f t="shared" si="9"/>
        <v>197</v>
      </c>
      <c r="F319" s="14">
        <f>B319*masteryConfig!S$2+MAX(masteryExpConfig!B319-24,0)*masteryConfig!T$2+MAX(masteryExpConfig!B319-49,0)*masteryConfig!U$2</f>
        <v>5400</v>
      </c>
      <c r="G319" s="12">
        <v>1</v>
      </c>
      <c r="H319" s="18">
        <f>IF(A319=1,F319/(SUM(D$2:D319)*4),0)</f>
        <v>0</v>
      </c>
      <c r="I319" s="10">
        <v>18</v>
      </c>
    </row>
    <row r="320" spans="1:9" x14ac:dyDescent="0.15">
      <c r="A320" s="14">
        <v>4</v>
      </c>
      <c r="B320" s="14">
        <v>19</v>
      </c>
      <c r="C320" s="14">
        <v>24</v>
      </c>
      <c r="D320" s="15">
        <f t="shared" si="8"/>
        <v>28</v>
      </c>
      <c r="E320" s="14">
        <f t="shared" si="9"/>
        <v>198</v>
      </c>
      <c r="F320" s="14">
        <f>B320*masteryConfig!S$2+MAX(masteryExpConfig!B320-24,0)*masteryConfig!T$2+MAX(masteryExpConfig!B320-49,0)*masteryConfig!U$2</f>
        <v>5700</v>
      </c>
      <c r="G320" s="12">
        <v>1</v>
      </c>
      <c r="H320" s="18">
        <f>IF(A320=1,F320/(SUM(D$2:D320)*4),0)</f>
        <v>0</v>
      </c>
      <c r="I320" s="10">
        <v>19</v>
      </c>
    </row>
    <row r="321" spans="1:9" x14ac:dyDescent="0.15">
      <c r="A321" s="14">
        <v>4</v>
      </c>
      <c r="B321" s="14">
        <v>20</v>
      </c>
      <c r="C321" s="14">
        <v>24</v>
      </c>
      <c r="D321" s="15">
        <f t="shared" si="8"/>
        <v>30</v>
      </c>
      <c r="E321" s="14">
        <f t="shared" si="9"/>
        <v>199</v>
      </c>
      <c r="F321" s="14">
        <f>B321*masteryConfig!S$2+MAX(masteryExpConfig!B321-24,0)*masteryConfig!T$2+MAX(masteryExpConfig!B321-49,0)*masteryConfig!U$2</f>
        <v>6000</v>
      </c>
      <c r="G321" s="12">
        <v>1</v>
      </c>
      <c r="H321" s="18">
        <f>IF(A321=1,F321/(SUM(D$2:D321)*4),0)</f>
        <v>0</v>
      </c>
      <c r="I321" s="10">
        <v>20</v>
      </c>
    </row>
    <row r="322" spans="1:9" x14ac:dyDescent="0.15">
      <c r="A322" s="14">
        <v>4</v>
      </c>
      <c r="B322" s="14">
        <v>21</v>
      </c>
      <c r="C322" s="14">
        <v>24</v>
      </c>
      <c r="D322" s="15">
        <f t="shared" si="8"/>
        <v>31</v>
      </c>
      <c r="E322" s="14">
        <f t="shared" si="9"/>
        <v>200</v>
      </c>
      <c r="F322" s="14">
        <f>B322*masteryConfig!S$2+MAX(masteryExpConfig!B322-24,0)*masteryConfig!T$2+MAX(masteryExpConfig!B322-49,0)*masteryConfig!U$2</f>
        <v>6300</v>
      </c>
      <c r="G322" s="12">
        <v>1</v>
      </c>
      <c r="H322" s="18">
        <f>IF(A322=1,F322/(SUM(D$2:D322)*4),0)</f>
        <v>0</v>
      </c>
      <c r="I322" s="10">
        <v>21</v>
      </c>
    </row>
    <row r="323" spans="1:9" x14ac:dyDescent="0.15">
      <c r="A323" s="14">
        <v>4</v>
      </c>
      <c r="B323" s="14">
        <v>22</v>
      </c>
      <c r="C323" s="14">
        <v>24</v>
      </c>
      <c r="D323" s="15">
        <f t="shared" ref="D323:D386" si="10">INT(MAX(12,I323*1.5))</f>
        <v>33</v>
      </c>
      <c r="E323" s="14">
        <f t="shared" ref="E323:E386" si="11">B323+179</f>
        <v>201</v>
      </c>
      <c r="F323" s="14">
        <f>B323*masteryConfig!S$2+MAX(masteryExpConfig!B323-24,0)*masteryConfig!T$2+MAX(masteryExpConfig!B323-49,0)*masteryConfig!U$2</f>
        <v>6600</v>
      </c>
      <c r="G323" s="12">
        <v>1</v>
      </c>
      <c r="H323" s="18">
        <f>IF(A323=1,F323/(SUM(D$2:D323)*4),0)</f>
        <v>0</v>
      </c>
      <c r="I323" s="10">
        <v>22</v>
      </c>
    </row>
    <row r="324" spans="1:9" x14ac:dyDescent="0.15">
      <c r="A324" s="14">
        <v>4</v>
      </c>
      <c r="B324" s="14">
        <v>23</v>
      </c>
      <c r="C324" s="14">
        <v>24</v>
      </c>
      <c r="D324" s="15">
        <f t="shared" si="10"/>
        <v>34</v>
      </c>
      <c r="E324" s="14">
        <f t="shared" si="11"/>
        <v>202</v>
      </c>
      <c r="F324" s="14">
        <f>B324*masteryConfig!S$2+MAX(masteryExpConfig!B324-24,0)*masteryConfig!T$2+MAX(masteryExpConfig!B324-49,0)*masteryConfig!U$2</f>
        <v>6900</v>
      </c>
      <c r="G324" s="12">
        <v>1</v>
      </c>
      <c r="H324" s="18">
        <f>IF(A324=1,F324/(SUM(D$2:D324)*4),0)</f>
        <v>0</v>
      </c>
      <c r="I324" s="10">
        <v>23</v>
      </c>
    </row>
    <row r="325" spans="1:9" x14ac:dyDescent="0.15">
      <c r="A325" s="14">
        <v>4</v>
      </c>
      <c r="B325" s="14">
        <v>24</v>
      </c>
      <c r="C325" s="14">
        <v>24</v>
      </c>
      <c r="D325" s="15">
        <f t="shared" si="10"/>
        <v>36</v>
      </c>
      <c r="E325" s="14">
        <f t="shared" si="11"/>
        <v>203</v>
      </c>
      <c r="F325" s="14">
        <f>B325*masteryConfig!S$2+MAX(masteryExpConfig!B325-24,0)*masteryConfig!T$2+MAX(masteryExpConfig!B325-49,0)*masteryConfig!U$2</f>
        <v>7200</v>
      </c>
      <c r="G325" s="12">
        <v>1</v>
      </c>
      <c r="H325" s="18">
        <f>IF(A325=1,F325/(SUM(D$2:D325)*4),0)</f>
        <v>0</v>
      </c>
      <c r="I325" s="10">
        <v>24</v>
      </c>
    </row>
    <row r="326" spans="1:9" x14ac:dyDescent="0.15">
      <c r="A326" s="14">
        <v>4</v>
      </c>
      <c r="B326" s="14">
        <v>25</v>
      </c>
      <c r="C326" s="14">
        <v>24</v>
      </c>
      <c r="D326" s="15">
        <f t="shared" si="10"/>
        <v>37</v>
      </c>
      <c r="E326" s="14">
        <f t="shared" si="11"/>
        <v>204</v>
      </c>
      <c r="F326" s="14">
        <f>B326*masteryConfig!S$2+MAX(masteryExpConfig!B326-24,0)*masteryConfig!T$2+MAX(masteryExpConfig!B326-49,0)*masteryConfig!U$2</f>
        <v>7700</v>
      </c>
      <c r="G326" s="12">
        <v>2</v>
      </c>
      <c r="H326" s="18">
        <f>IF(A326=1,F326/(SUM(D$2:D326)*4),0)</f>
        <v>0</v>
      </c>
      <c r="I326" s="10">
        <v>25</v>
      </c>
    </row>
    <row r="327" spans="1:9" x14ac:dyDescent="0.15">
      <c r="A327" s="14">
        <v>4</v>
      </c>
      <c r="B327" s="14">
        <v>26</v>
      </c>
      <c r="C327" s="14">
        <v>24</v>
      </c>
      <c r="D327" s="15">
        <f t="shared" si="10"/>
        <v>40</v>
      </c>
      <c r="E327" s="14">
        <f t="shared" si="11"/>
        <v>205</v>
      </c>
      <c r="F327" s="14">
        <f>B327*masteryConfig!S$2+MAX(masteryExpConfig!B327-24,0)*masteryConfig!T$2+MAX(masteryExpConfig!B327-49,0)*masteryConfig!U$2</f>
        <v>8200</v>
      </c>
      <c r="G327" s="12">
        <v>2</v>
      </c>
      <c r="H327" s="18">
        <f>IF(A327=1,F327/(SUM(D$2:D327)*4),0)</f>
        <v>0</v>
      </c>
      <c r="I327" s="10">
        <v>27</v>
      </c>
    </row>
    <row r="328" spans="1:9" x14ac:dyDescent="0.15">
      <c r="A328" s="14">
        <v>4</v>
      </c>
      <c r="B328" s="14">
        <v>27</v>
      </c>
      <c r="C328" s="14">
        <v>24</v>
      </c>
      <c r="D328" s="15">
        <f t="shared" si="10"/>
        <v>43</v>
      </c>
      <c r="E328" s="14">
        <f t="shared" si="11"/>
        <v>206</v>
      </c>
      <c r="F328" s="14">
        <f>B328*masteryConfig!S$2+MAX(masteryExpConfig!B328-24,0)*masteryConfig!T$2+MAX(masteryExpConfig!B328-49,0)*masteryConfig!U$2</f>
        <v>8700</v>
      </c>
      <c r="G328" s="12">
        <v>2</v>
      </c>
      <c r="H328" s="18">
        <f>IF(A328=1,F328/(SUM(D$2:D328)*4),0)</f>
        <v>0</v>
      </c>
      <c r="I328" s="10">
        <v>29</v>
      </c>
    </row>
    <row r="329" spans="1:9" x14ac:dyDescent="0.15">
      <c r="A329" s="14">
        <v>4</v>
      </c>
      <c r="B329" s="14">
        <v>28</v>
      </c>
      <c r="C329" s="14">
        <v>24</v>
      </c>
      <c r="D329" s="15">
        <f t="shared" si="10"/>
        <v>46</v>
      </c>
      <c r="E329" s="14">
        <f t="shared" si="11"/>
        <v>207</v>
      </c>
      <c r="F329" s="14">
        <f>B329*masteryConfig!S$2+MAX(masteryExpConfig!B329-24,0)*masteryConfig!T$2+MAX(masteryExpConfig!B329-49,0)*masteryConfig!U$2</f>
        <v>9200</v>
      </c>
      <c r="G329" s="12">
        <v>2</v>
      </c>
      <c r="H329" s="18">
        <f>IF(A329=1,F329/(SUM(D$2:D329)*4),0)</f>
        <v>0</v>
      </c>
      <c r="I329" s="10">
        <v>31</v>
      </c>
    </row>
    <row r="330" spans="1:9" x14ac:dyDescent="0.15">
      <c r="A330" s="14">
        <v>4</v>
      </c>
      <c r="B330" s="14">
        <v>29</v>
      </c>
      <c r="C330" s="14">
        <v>24</v>
      </c>
      <c r="D330" s="15">
        <f t="shared" si="10"/>
        <v>49</v>
      </c>
      <c r="E330" s="14">
        <f t="shared" si="11"/>
        <v>208</v>
      </c>
      <c r="F330" s="14">
        <f>B330*masteryConfig!S$2+MAX(masteryExpConfig!B330-24,0)*masteryConfig!T$2+MAX(masteryExpConfig!B330-49,0)*masteryConfig!U$2</f>
        <v>9700</v>
      </c>
      <c r="G330" s="12">
        <v>2</v>
      </c>
      <c r="H330" s="18">
        <f>IF(A330=1,F330/(SUM(D$2:D330)*4),0)</f>
        <v>0</v>
      </c>
      <c r="I330" s="10">
        <v>33</v>
      </c>
    </row>
    <row r="331" spans="1:9" x14ac:dyDescent="0.15">
      <c r="A331" s="14">
        <v>4</v>
      </c>
      <c r="B331" s="14">
        <v>30</v>
      </c>
      <c r="C331" s="14">
        <v>24</v>
      </c>
      <c r="D331" s="15">
        <f t="shared" si="10"/>
        <v>52</v>
      </c>
      <c r="E331" s="14">
        <f t="shared" si="11"/>
        <v>209</v>
      </c>
      <c r="F331" s="14">
        <f>B331*masteryConfig!S$2+MAX(masteryExpConfig!B331-24,0)*masteryConfig!T$2+MAX(masteryExpConfig!B331-49,0)*masteryConfig!U$2</f>
        <v>10200</v>
      </c>
      <c r="G331" s="12">
        <v>2</v>
      </c>
      <c r="H331" s="18">
        <f>IF(A331=1,F331/(SUM(D$2:D331)*4),0)</f>
        <v>0</v>
      </c>
      <c r="I331" s="10">
        <v>35</v>
      </c>
    </row>
    <row r="332" spans="1:9" x14ac:dyDescent="0.15">
      <c r="A332" s="14">
        <v>4</v>
      </c>
      <c r="B332" s="14">
        <v>31</v>
      </c>
      <c r="C332" s="14">
        <v>24</v>
      </c>
      <c r="D332" s="15">
        <f t="shared" si="10"/>
        <v>55</v>
      </c>
      <c r="E332" s="14">
        <f t="shared" si="11"/>
        <v>210</v>
      </c>
      <c r="F332" s="14">
        <f>B332*masteryConfig!S$2+MAX(masteryExpConfig!B332-24,0)*masteryConfig!T$2+MAX(masteryExpConfig!B332-49,0)*masteryConfig!U$2</f>
        <v>10700</v>
      </c>
      <c r="G332" s="12">
        <v>2</v>
      </c>
      <c r="H332" s="18">
        <f>IF(A332=1,F332/(SUM(D$2:D332)*4),0)</f>
        <v>0</v>
      </c>
      <c r="I332" s="10">
        <v>37</v>
      </c>
    </row>
    <row r="333" spans="1:9" x14ac:dyDescent="0.15">
      <c r="A333" s="14">
        <v>4</v>
      </c>
      <c r="B333" s="14">
        <v>32</v>
      </c>
      <c r="C333" s="14">
        <v>24</v>
      </c>
      <c r="D333" s="15">
        <f t="shared" si="10"/>
        <v>58</v>
      </c>
      <c r="E333" s="14">
        <f t="shared" si="11"/>
        <v>211</v>
      </c>
      <c r="F333" s="14">
        <f>B333*masteryConfig!S$2+MAX(masteryExpConfig!B333-24,0)*masteryConfig!T$2+MAX(masteryExpConfig!B333-49,0)*masteryConfig!U$2</f>
        <v>11200</v>
      </c>
      <c r="G333" s="12">
        <v>2</v>
      </c>
      <c r="H333" s="18">
        <f>IF(A333=1,F333/(SUM(D$2:D333)*4),0)</f>
        <v>0</v>
      </c>
      <c r="I333" s="10">
        <v>39</v>
      </c>
    </row>
    <row r="334" spans="1:9" x14ac:dyDescent="0.15">
      <c r="A334" s="14">
        <v>4</v>
      </c>
      <c r="B334" s="14">
        <v>33</v>
      </c>
      <c r="C334" s="14">
        <v>24</v>
      </c>
      <c r="D334" s="15">
        <f t="shared" si="10"/>
        <v>61</v>
      </c>
      <c r="E334" s="14">
        <f t="shared" si="11"/>
        <v>212</v>
      </c>
      <c r="F334" s="14">
        <f>B334*masteryConfig!S$2+MAX(masteryExpConfig!B334-24,0)*masteryConfig!T$2+MAX(masteryExpConfig!B334-49,0)*masteryConfig!U$2</f>
        <v>11700</v>
      </c>
      <c r="G334" s="12">
        <v>2</v>
      </c>
      <c r="H334" s="18">
        <f>IF(A334=1,F334/(SUM(D$2:D334)*4),0)</f>
        <v>0</v>
      </c>
      <c r="I334" s="10">
        <v>41</v>
      </c>
    </row>
    <row r="335" spans="1:9" x14ac:dyDescent="0.15">
      <c r="A335" s="14">
        <v>4</v>
      </c>
      <c r="B335" s="14">
        <v>34</v>
      </c>
      <c r="C335" s="14">
        <v>24</v>
      </c>
      <c r="D335" s="15">
        <f t="shared" si="10"/>
        <v>64</v>
      </c>
      <c r="E335" s="14">
        <f t="shared" si="11"/>
        <v>213</v>
      </c>
      <c r="F335" s="14">
        <f>B335*masteryConfig!S$2+MAX(masteryExpConfig!B335-24,0)*masteryConfig!T$2+MAX(masteryExpConfig!B335-49,0)*masteryConfig!U$2</f>
        <v>12200</v>
      </c>
      <c r="G335" s="12">
        <v>2</v>
      </c>
      <c r="H335" s="18">
        <f>IF(A335=1,F335/(SUM(D$2:D335)*4),0)</f>
        <v>0</v>
      </c>
      <c r="I335" s="10">
        <v>43</v>
      </c>
    </row>
    <row r="336" spans="1:9" x14ac:dyDescent="0.15">
      <c r="A336" s="14">
        <v>4</v>
      </c>
      <c r="B336" s="14">
        <v>35</v>
      </c>
      <c r="C336" s="14">
        <v>24</v>
      </c>
      <c r="D336" s="15">
        <f t="shared" si="10"/>
        <v>67</v>
      </c>
      <c r="E336" s="14">
        <f t="shared" si="11"/>
        <v>214</v>
      </c>
      <c r="F336" s="14">
        <f>B336*masteryConfig!S$2+MAX(masteryExpConfig!B336-24,0)*masteryConfig!T$2+MAX(masteryExpConfig!B336-49,0)*masteryConfig!U$2</f>
        <v>12700</v>
      </c>
      <c r="G336" s="12">
        <v>2</v>
      </c>
      <c r="H336" s="18">
        <f>IF(A336=1,F336/(SUM(D$2:D336)*4),0)</f>
        <v>0</v>
      </c>
      <c r="I336" s="10">
        <v>45</v>
      </c>
    </row>
    <row r="337" spans="1:9" x14ac:dyDescent="0.15">
      <c r="A337" s="14">
        <v>4</v>
      </c>
      <c r="B337" s="14">
        <v>36</v>
      </c>
      <c r="C337" s="14">
        <v>24</v>
      </c>
      <c r="D337" s="15">
        <f t="shared" si="10"/>
        <v>70</v>
      </c>
      <c r="E337" s="14">
        <f t="shared" si="11"/>
        <v>215</v>
      </c>
      <c r="F337" s="14">
        <f>B337*masteryConfig!S$2+MAX(masteryExpConfig!B337-24,0)*masteryConfig!T$2+MAX(masteryExpConfig!B337-49,0)*masteryConfig!U$2</f>
        <v>13200</v>
      </c>
      <c r="G337" s="12">
        <v>2</v>
      </c>
      <c r="H337" s="18">
        <f>IF(A337=1,F337/(SUM(D$2:D337)*4),0)</f>
        <v>0</v>
      </c>
      <c r="I337" s="10">
        <v>47</v>
      </c>
    </row>
    <row r="338" spans="1:9" x14ac:dyDescent="0.15">
      <c r="A338" s="14">
        <v>4</v>
      </c>
      <c r="B338" s="14">
        <v>37</v>
      </c>
      <c r="C338" s="14">
        <v>24</v>
      </c>
      <c r="D338" s="15">
        <f t="shared" si="10"/>
        <v>73</v>
      </c>
      <c r="E338" s="14">
        <f t="shared" si="11"/>
        <v>216</v>
      </c>
      <c r="F338" s="14">
        <f>B338*masteryConfig!S$2+MAX(masteryExpConfig!B338-24,0)*masteryConfig!T$2+MAX(masteryExpConfig!B338-49,0)*masteryConfig!U$2</f>
        <v>13700</v>
      </c>
      <c r="G338" s="12">
        <v>2</v>
      </c>
      <c r="H338" s="18">
        <f>IF(A338=1,F338/(SUM(D$2:D338)*4),0)</f>
        <v>0</v>
      </c>
      <c r="I338" s="10">
        <v>49</v>
      </c>
    </row>
    <row r="339" spans="1:9" x14ac:dyDescent="0.15">
      <c r="A339" s="14">
        <v>4</v>
      </c>
      <c r="B339" s="14">
        <v>38</v>
      </c>
      <c r="C339" s="14">
        <v>24</v>
      </c>
      <c r="D339" s="15">
        <f t="shared" si="10"/>
        <v>76</v>
      </c>
      <c r="E339" s="14">
        <f t="shared" si="11"/>
        <v>217</v>
      </c>
      <c r="F339" s="14">
        <f>B339*masteryConfig!S$2+MAX(masteryExpConfig!B339-24,0)*masteryConfig!T$2+MAX(masteryExpConfig!B339-49,0)*masteryConfig!U$2</f>
        <v>14200</v>
      </c>
      <c r="G339" s="12">
        <v>2</v>
      </c>
      <c r="H339" s="18">
        <f>IF(A339=1,F339/(SUM(D$2:D339)*4),0)</f>
        <v>0</v>
      </c>
      <c r="I339" s="10">
        <v>51</v>
      </c>
    </row>
    <row r="340" spans="1:9" x14ac:dyDescent="0.15">
      <c r="A340" s="14">
        <v>4</v>
      </c>
      <c r="B340" s="14">
        <v>39</v>
      </c>
      <c r="C340" s="14">
        <v>24</v>
      </c>
      <c r="D340" s="15">
        <f t="shared" si="10"/>
        <v>79</v>
      </c>
      <c r="E340" s="14">
        <f t="shared" si="11"/>
        <v>218</v>
      </c>
      <c r="F340" s="14">
        <f>B340*masteryConfig!S$2+MAX(masteryExpConfig!B340-24,0)*masteryConfig!T$2+MAX(masteryExpConfig!B340-49,0)*masteryConfig!U$2</f>
        <v>14700</v>
      </c>
      <c r="G340" s="12">
        <v>2</v>
      </c>
      <c r="H340" s="18">
        <f>IF(A340=1,F340/(SUM(D$2:D340)*4),0)</f>
        <v>0</v>
      </c>
      <c r="I340" s="10">
        <v>53</v>
      </c>
    </row>
    <row r="341" spans="1:9" x14ac:dyDescent="0.15">
      <c r="A341" s="14">
        <v>4</v>
      </c>
      <c r="B341" s="14">
        <v>40</v>
      </c>
      <c r="C341" s="14">
        <v>24</v>
      </c>
      <c r="D341" s="15">
        <f t="shared" si="10"/>
        <v>82</v>
      </c>
      <c r="E341" s="14">
        <f t="shared" si="11"/>
        <v>219</v>
      </c>
      <c r="F341" s="14">
        <f>B341*masteryConfig!S$2+MAX(masteryExpConfig!B341-24,0)*masteryConfig!T$2+MAX(masteryExpConfig!B341-49,0)*masteryConfig!U$2</f>
        <v>15200</v>
      </c>
      <c r="G341" s="12">
        <v>2</v>
      </c>
      <c r="H341" s="18">
        <f>IF(A341=1,F341/(SUM(D$2:D341)*4),0)</f>
        <v>0</v>
      </c>
      <c r="I341" s="10">
        <v>55</v>
      </c>
    </row>
    <row r="342" spans="1:9" x14ac:dyDescent="0.15">
      <c r="A342" s="14">
        <v>4</v>
      </c>
      <c r="B342" s="14">
        <v>41</v>
      </c>
      <c r="C342" s="14">
        <v>24</v>
      </c>
      <c r="D342" s="15">
        <f t="shared" si="10"/>
        <v>85</v>
      </c>
      <c r="E342" s="14">
        <f t="shared" si="11"/>
        <v>220</v>
      </c>
      <c r="F342" s="14">
        <f>B342*masteryConfig!S$2+MAX(masteryExpConfig!B342-24,0)*masteryConfig!T$2+MAX(masteryExpConfig!B342-49,0)*masteryConfig!U$2</f>
        <v>15700</v>
      </c>
      <c r="G342" s="12">
        <v>2</v>
      </c>
      <c r="H342" s="18">
        <f>IF(A342=1,F342/(SUM(D$2:D342)*4),0)</f>
        <v>0</v>
      </c>
      <c r="I342" s="10">
        <v>57</v>
      </c>
    </row>
    <row r="343" spans="1:9" x14ac:dyDescent="0.15">
      <c r="A343" s="14">
        <v>4</v>
      </c>
      <c r="B343" s="14">
        <v>42</v>
      </c>
      <c r="C343" s="14">
        <v>24</v>
      </c>
      <c r="D343" s="15">
        <f t="shared" si="10"/>
        <v>88</v>
      </c>
      <c r="E343" s="14">
        <f t="shared" si="11"/>
        <v>221</v>
      </c>
      <c r="F343" s="14">
        <f>B343*masteryConfig!S$2+MAX(masteryExpConfig!B343-24,0)*masteryConfig!T$2+MAX(masteryExpConfig!B343-49,0)*masteryConfig!U$2</f>
        <v>16200</v>
      </c>
      <c r="G343" s="12">
        <v>2</v>
      </c>
      <c r="H343" s="18">
        <f>IF(A343=1,F343/(SUM(D$2:D343)*4),0)</f>
        <v>0</v>
      </c>
      <c r="I343" s="10">
        <v>59</v>
      </c>
    </row>
    <row r="344" spans="1:9" x14ac:dyDescent="0.15">
      <c r="A344" s="14">
        <v>4</v>
      </c>
      <c r="B344" s="14">
        <v>43</v>
      </c>
      <c r="C344" s="14">
        <v>24</v>
      </c>
      <c r="D344" s="15">
        <f t="shared" si="10"/>
        <v>91</v>
      </c>
      <c r="E344" s="14">
        <f t="shared" si="11"/>
        <v>222</v>
      </c>
      <c r="F344" s="14">
        <f>B344*masteryConfig!S$2+MAX(masteryExpConfig!B344-24,0)*masteryConfig!T$2+MAX(masteryExpConfig!B344-49,0)*masteryConfig!U$2</f>
        <v>16700</v>
      </c>
      <c r="G344" s="12">
        <v>2</v>
      </c>
      <c r="H344" s="18">
        <f>IF(A344=1,F344/(SUM(D$2:D344)*4),0)</f>
        <v>0</v>
      </c>
      <c r="I344" s="10">
        <v>61</v>
      </c>
    </row>
    <row r="345" spans="1:9" x14ac:dyDescent="0.15">
      <c r="A345" s="14">
        <v>4</v>
      </c>
      <c r="B345" s="14">
        <v>44</v>
      </c>
      <c r="C345" s="14">
        <v>24</v>
      </c>
      <c r="D345" s="15">
        <f t="shared" si="10"/>
        <v>94</v>
      </c>
      <c r="E345" s="14">
        <f t="shared" si="11"/>
        <v>223</v>
      </c>
      <c r="F345" s="14">
        <f>B345*masteryConfig!S$2+MAX(masteryExpConfig!B345-24,0)*masteryConfig!T$2+MAX(masteryExpConfig!B345-49,0)*masteryConfig!U$2</f>
        <v>17200</v>
      </c>
      <c r="G345" s="12">
        <v>2</v>
      </c>
      <c r="H345" s="18">
        <f>IF(A345=1,F345/(SUM(D$2:D345)*4),0)</f>
        <v>0</v>
      </c>
      <c r="I345" s="10">
        <v>63</v>
      </c>
    </row>
    <row r="346" spans="1:9" x14ac:dyDescent="0.15">
      <c r="A346" s="14">
        <v>4</v>
      </c>
      <c r="B346" s="14">
        <v>45</v>
      </c>
      <c r="C346" s="14">
        <v>24</v>
      </c>
      <c r="D346" s="15">
        <f t="shared" si="10"/>
        <v>97</v>
      </c>
      <c r="E346" s="14">
        <f t="shared" si="11"/>
        <v>224</v>
      </c>
      <c r="F346" s="14">
        <f>B346*masteryConfig!S$2+MAX(masteryExpConfig!B346-24,0)*masteryConfig!T$2+MAX(masteryExpConfig!B346-49,0)*masteryConfig!U$2</f>
        <v>17700</v>
      </c>
      <c r="G346" s="12">
        <v>2</v>
      </c>
      <c r="H346" s="18">
        <f>IF(A346=1,F346/(SUM(D$2:D346)*4),0)</f>
        <v>0</v>
      </c>
      <c r="I346" s="10">
        <v>65</v>
      </c>
    </row>
    <row r="347" spans="1:9" x14ac:dyDescent="0.15">
      <c r="A347" s="14">
        <v>4</v>
      </c>
      <c r="B347" s="14">
        <v>46</v>
      </c>
      <c r="C347" s="14">
        <v>24</v>
      </c>
      <c r="D347" s="15">
        <f t="shared" si="10"/>
        <v>100</v>
      </c>
      <c r="E347" s="14">
        <f t="shared" si="11"/>
        <v>225</v>
      </c>
      <c r="F347" s="14">
        <f>B347*masteryConfig!S$2+MAX(masteryExpConfig!B347-24,0)*masteryConfig!T$2+MAX(masteryExpConfig!B347-49,0)*masteryConfig!U$2</f>
        <v>18200</v>
      </c>
      <c r="G347" s="12">
        <v>2</v>
      </c>
      <c r="H347" s="18">
        <f>IF(A347=1,F347/(SUM(D$2:D347)*4),0)</f>
        <v>0</v>
      </c>
      <c r="I347" s="10">
        <v>67</v>
      </c>
    </row>
    <row r="348" spans="1:9" x14ac:dyDescent="0.15">
      <c r="A348" s="14">
        <v>4</v>
      </c>
      <c r="B348" s="14">
        <v>47</v>
      </c>
      <c r="C348" s="14">
        <v>24</v>
      </c>
      <c r="D348" s="15">
        <f t="shared" si="10"/>
        <v>103</v>
      </c>
      <c r="E348" s="14">
        <f t="shared" si="11"/>
        <v>226</v>
      </c>
      <c r="F348" s="14">
        <f>B348*masteryConfig!S$2+MAX(masteryExpConfig!B348-24,0)*masteryConfig!T$2+MAX(masteryExpConfig!B348-49,0)*masteryConfig!U$2</f>
        <v>18700</v>
      </c>
      <c r="G348" s="12">
        <v>2</v>
      </c>
      <c r="H348" s="18">
        <f>IF(A348=1,F348/(SUM(D$2:D348)*4),0)</f>
        <v>0</v>
      </c>
      <c r="I348" s="10">
        <v>69</v>
      </c>
    </row>
    <row r="349" spans="1:9" x14ac:dyDescent="0.15">
      <c r="A349" s="14">
        <v>4</v>
      </c>
      <c r="B349" s="14">
        <v>48</v>
      </c>
      <c r="C349" s="14">
        <v>24</v>
      </c>
      <c r="D349" s="15">
        <f t="shared" si="10"/>
        <v>106</v>
      </c>
      <c r="E349" s="14">
        <f t="shared" si="11"/>
        <v>227</v>
      </c>
      <c r="F349" s="14">
        <f>B349*masteryConfig!S$2+MAX(masteryExpConfig!B349-24,0)*masteryConfig!T$2+MAX(masteryExpConfig!B349-49,0)*masteryConfig!U$2</f>
        <v>19200</v>
      </c>
      <c r="G349" s="12">
        <v>2</v>
      </c>
      <c r="H349" s="18">
        <f>IF(A349=1,F349/(SUM(D$2:D349)*4),0)</f>
        <v>0</v>
      </c>
      <c r="I349" s="10">
        <v>71</v>
      </c>
    </row>
    <row r="350" spans="1:9" x14ac:dyDescent="0.15">
      <c r="A350" s="14">
        <v>4</v>
      </c>
      <c r="B350" s="14">
        <v>49</v>
      </c>
      <c r="C350" s="14">
        <v>24</v>
      </c>
      <c r="D350" s="15">
        <f t="shared" si="10"/>
        <v>109</v>
      </c>
      <c r="E350" s="14">
        <f t="shared" si="11"/>
        <v>228</v>
      </c>
      <c r="F350" s="14">
        <f>B350*masteryConfig!S$2+MAX(masteryExpConfig!B350-24,0)*masteryConfig!T$2+MAX(masteryExpConfig!B350-49,0)*masteryConfig!U$2</f>
        <v>19700</v>
      </c>
      <c r="G350" s="12">
        <v>2</v>
      </c>
      <c r="H350" s="18">
        <f>IF(A350=1,F350/(SUM(D$2:D350)*4),0)</f>
        <v>0</v>
      </c>
      <c r="I350" s="10">
        <v>73</v>
      </c>
    </row>
    <row r="351" spans="1:9" x14ac:dyDescent="0.15">
      <c r="A351" s="14">
        <v>4</v>
      </c>
      <c r="B351" s="14">
        <v>50</v>
      </c>
      <c r="C351" s="14">
        <v>24</v>
      </c>
      <c r="D351" s="15">
        <f t="shared" si="10"/>
        <v>112</v>
      </c>
      <c r="E351" s="14">
        <f t="shared" si="11"/>
        <v>229</v>
      </c>
      <c r="F351" s="14">
        <f>B351*masteryConfig!S$2+MAX(masteryExpConfig!B351-24,0)*masteryConfig!T$2+MAX(masteryExpConfig!B351-49,0)*masteryConfig!U$2</f>
        <v>20400</v>
      </c>
      <c r="G351" s="12">
        <v>3</v>
      </c>
      <c r="H351" s="18">
        <f>IF(A351=1,F351/(SUM(D$2:D351)*4),0)</f>
        <v>0</v>
      </c>
      <c r="I351" s="10">
        <v>75</v>
      </c>
    </row>
    <row r="352" spans="1:9" x14ac:dyDescent="0.15">
      <c r="A352" s="14">
        <v>4</v>
      </c>
      <c r="B352" s="14">
        <v>51</v>
      </c>
      <c r="C352" s="14">
        <v>24</v>
      </c>
      <c r="D352" s="15">
        <f t="shared" si="10"/>
        <v>117</v>
      </c>
      <c r="E352" s="14">
        <f t="shared" si="11"/>
        <v>230</v>
      </c>
      <c r="F352" s="14">
        <f>B352*masteryConfig!S$2+MAX(masteryExpConfig!B352-24,0)*masteryConfig!T$2+MAX(masteryExpConfig!B352-49,0)*masteryConfig!U$2</f>
        <v>21100</v>
      </c>
      <c r="G352" s="12">
        <v>3</v>
      </c>
      <c r="H352" s="18">
        <f>IF(A352=1,F352/(SUM(D$2:D352)*4),0)</f>
        <v>0</v>
      </c>
      <c r="I352" s="10">
        <v>78</v>
      </c>
    </row>
    <row r="353" spans="1:9" x14ac:dyDescent="0.15">
      <c r="A353" s="14">
        <v>4</v>
      </c>
      <c r="B353" s="14">
        <v>52</v>
      </c>
      <c r="C353" s="14">
        <v>24</v>
      </c>
      <c r="D353" s="15">
        <f t="shared" si="10"/>
        <v>121</v>
      </c>
      <c r="E353" s="14">
        <f t="shared" si="11"/>
        <v>231</v>
      </c>
      <c r="F353" s="14">
        <f>B353*masteryConfig!S$2+MAX(masteryExpConfig!B353-24,0)*masteryConfig!T$2+MAX(masteryExpConfig!B353-49,0)*masteryConfig!U$2</f>
        <v>21800</v>
      </c>
      <c r="G353" s="12">
        <v>3</v>
      </c>
      <c r="H353" s="18">
        <f>IF(A353=1,F353/(SUM(D$2:D353)*4),0)</f>
        <v>0</v>
      </c>
      <c r="I353" s="10">
        <v>81</v>
      </c>
    </row>
    <row r="354" spans="1:9" x14ac:dyDescent="0.15">
      <c r="A354" s="14">
        <v>4</v>
      </c>
      <c r="B354" s="14">
        <v>53</v>
      </c>
      <c r="C354" s="14">
        <v>24</v>
      </c>
      <c r="D354" s="15">
        <f t="shared" si="10"/>
        <v>126</v>
      </c>
      <c r="E354" s="14">
        <f t="shared" si="11"/>
        <v>232</v>
      </c>
      <c r="F354" s="14">
        <f>B354*masteryConfig!S$2+MAX(masteryExpConfig!B354-24,0)*masteryConfig!T$2+MAX(masteryExpConfig!B354-49,0)*masteryConfig!U$2</f>
        <v>22500</v>
      </c>
      <c r="G354" s="12">
        <v>3</v>
      </c>
      <c r="H354" s="18">
        <f>IF(A354=1,F354/(SUM(D$2:D354)*4),0)</f>
        <v>0</v>
      </c>
      <c r="I354" s="10">
        <v>84</v>
      </c>
    </row>
    <row r="355" spans="1:9" x14ac:dyDescent="0.15">
      <c r="A355" s="14">
        <v>4</v>
      </c>
      <c r="B355" s="14">
        <v>54</v>
      </c>
      <c r="C355" s="14">
        <v>24</v>
      </c>
      <c r="D355" s="15">
        <f t="shared" si="10"/>
        <v>130</v>
      </c>
      <c r="E355" s="14">
        <f t="shared" si="11"/>
        <v>233</v>
      </c>
      <c r="F355" s="14">
        <f>B355*masteryConfig!S$2+MAX(masteryExpConfig!B355-24,0)*masteryConfig!T$2+MAX(masteryExpConfig!B355-49,0)*masteryConfig!U$2</f>
        <v>23200</v>
      </c>
      <c r="G355" s="12">
        <v>3</v>
      </c>
      <c r="H355" s="18">
        <f>IF(A355=1,F355/(SUM(D$2:D355)*4),0)</f>
        <v>0</v>
      </c>
      <c r="I355" s="10">
        <v>87</v>
      </c>
    </row>
    <row r="356" spans="1:9" x14ac:dyDescent="0.15">
      <c r="A356" s="14">
        <v>4</v>
      </c>
      <c r="B356" s="14">
        <v>55</v>
      </c>
      <c r="C356" s="14">
        <v>24</v>
      </c>
      <c r="D356" s="15">
        <f t="shared" si="10"/>
        <v>135</v>
      </c>
      <c r="E356" s="14">
        <f t="shared" si="11"/>
        <v>234</v>
      </c>
      <c r="F356" s="14">
        <f>B356*masteryConfig!S$2+MAX(masteryExpConfig!B356-24,0)*masteryConfig!T$2+MAX(masteryExpConfig!B356-49,0)*masteryConfig!U$2</f>
        <v>23900</v>
      </c>
      <c r="G356" s="12">
        <v>3</v>
      </c>
      <c r="H356" s="18">
        <f>IF(A356=1,F356/(SUM(D$2:D356)*4),0)</f>
        <v>0</v>
      </c>
      <c r="I356" s="10">
        <v>90</v>
      </c>
    </row>
    <row r="357" spans="1:9" x14ac:dyDescent="0.15">
      <c r="A357" s="14">
        <v>4</v>
      </c>
      <c r="B357" s="14">
        <v>56</v>
      </c>
      <c r="C357" s="14">
        <v>24</v>
      </c>
      <c r="D357" s="15">
        <f t="shared" si="10"/>
        <v>139</v>
      </c>
      <c r="E357" s="14">
        <f t="shared" si="11"/>
        <v>235</v>
      </c>
      <c r="F357" s="14">
        <f>B357*masteryConfig!S$2+MAX(masteryExpConfig!B357-24,0)*masteryConfig!T$2+MAX(masteryExpConfig!B357-49,0)*masteryConfig!U$2</f>
        <v>24600</v>
      </c>
      <c r="G357" s="12">
        <v>3</v>
      </c>
      <c r="H357" s="18">
        <f>IF(A357=1,F357/(SUM(D$2:D357)*4),0)</f>
        <v>0</v>
      </c>
      <c r="I357" s="10">
        <v>93</v>
      </c>
    </row>
    <row r="358" spans="1:9" x14ac:dyDescent="0.15">
      <c r="A358" s="14">
        <v>4</v>
      </c>
      <c r="B358" s="14">
        <v>57</v>
      </c>
      <c r="C358" s="14">
        <v>24</v>
      </c>
      <c r="D358" s="15">
        <f t="shared" si="10"/>
        <v>144</v>
      </c>
      <c r="E358" s="14">
        <f t="shared" si="11"/>
        <v>236</v>
      </c>
      <c r="F358" s="14">
        <f>B358*masteryConfig!S$2+MAX(masteryExpConfig!B358-24,0)*masteryConfig!T$2+MAX(masteryExpConfig!B358-49,0)*masteryConfig!U$2</f>
        <v>25300</v>
      </c>
      <c r="G358" s="12">
        <v>3</v>
      </c>
      <c r="H358" s="18">
        <f>IF(A358=1,F358/(SUM(D$2:D358)*4),0)</f>
        <v>0</v>
      </c>
      <c r="I358" s="10">
        <v>96</v>
      </c>
    </row>
    <row r="359" spans="1:9" x14ac:dyDescent="0.15">
      <c r="A359" s="14">
        <v>4</v>
      </c>
      <c r="B359" s="14">
        <v>58</v>
      </c>
      <c r="C359" s="14">
        <v>24</v>
      </c>
      <c r="D359" s="15">
        <f t="shared" si="10"/>
        <v>148</v>
      </c>
      <c r="E359" s="14">
        <f t="shared" si="11"/>
        <v>237</v>
      </c>
      <c r="F359" s="14">
        <f>B359*masteryConfig!S$2+MAX(masteryExpConfig!B359-24,0)*masteryConfig!T$2+MAX(masteryExpConfig!B359-49,0)*masteryConfig!U$2</f>
        <v>26000</v>
      </c>
      <c r="G359" s="12">
        <v>3</v>
      </c>
      <c r="H359" s="18">
        <f>IF(A359=1,F359/(SUM(D$2:D359)*4),0)</f>
        <v>0</v>
      </c>
      <c r="I359" s="10">
        <v>99</v>
      </c>
    </row>
    <row r="360" spans="1:9" x14ac:dyDescent="0.15">
      <c r="A360" s="14">
        <v>4</v>
      </c>
      <c r="B360" s="14">
        <v>59</v>
      </c>
      <c r="C360" s="14">
        <v>24</v>
      </c>
      <c r="D360" s="15">
        <f t="shared" si="10"/>
        <v>153</v>
      </c>
      <c r="E360" s="14">
        <f t="shared" si="11"/>
        <v>238</v>
      </c>
      <c r="F360" s="14">
        <f>B360*masteryConfig!S$2+MAX(masteryExpConfig!B360-24,0)*masteryConfig!T$2+MAX(masteryExpConfig!B360-49,0)*masteryConfig!U$2</f>
        <v>26700</v>
      </c>
      <c r="G360" s="12">
        <v>3</v>
      </c>
      <c r="H360" s="18">
        <f>IF(A360=1,F360/(SUM(D$2:D360)*4),0)</f>
        <v>0</v>
      </c>
      <c r="I360" s="10">
        <v>102</v>
      </c>
    </row>
    <row r="361" spans="1:9" x14ac:dyDescent="0.15">
      <c r="A361" s="14">
        <v>4</v>
      </c>
      <c r="B361" s="14">
        <v>60</v>
      </c>
      <c r="C361" s="14">
        <v>24</v>
      </c>
      <c r="D361" s="15">
        <f t="shared" si="10"/>
        <v>157</v>
      </c>
      <c r="E361" s="14">
        <f t="shared" si="11"/>
        <v>239</v>
      </c>
      <c r="F361" s="14">
        <f>B361*masteryConfig!S$2+MAX(masteryExpConfig!B361-24,0)*masteryConfig!T$2+MAX(masteryExpConfig!B361-49,0)*masteryConfig!U$2</f>
        <v>27400</v>
      </c>
      <c r="G361" s="12">
        <v>3</v>
      </c>
      <c r="H361" s="18">
        <f>IF(A361=1,F361/(SUM(D$2:D361)*4),0)</f>
        <v>0</v>
      </c>
      <c r="I361" s="10">
        <v>105</v>
      </c>
    </row>
    <row r="362" spans="1:9" x14ac:dyDescent="0.15">
      <c r="A362" s="14">
        <v>4</v>
      </c>
      <c r="B362" s="14">
        <v>61</v>
      </c>
      <c r="C362" s="14">
        <v>24</v>
      </c>
      <c r="D362" s="15">
        <f t="shared" si="10"/>
        <v>162</v>
      </c>
      <c r="E362" s="14">
        <f t="shared" si="11"/>
        <v>240</v>
      </c>
      <c r="F362" s="14">
        <f>B362*masteryConfig!S$2+MAX(masteryExpConfig!B362-24,0)*masteryConfig!T$2+MAX(masteryExpConfig!B362-49,0)*masteryConfig!U$2</f>
        <v>28100</v>
      </c>
      <c r="G362" s="12">
        <v>3</v>
      </c>
      <c r="H362" s="18">
        <f>IF(A362=1,F362/(SUM(D$2:D362)*4),0)</f>
        <v>0</v>
      </c>
      <c r="I362" s="10">
        <v>108</v>
      </c>
    </row>
    <row r="363" spans="1:9" x14ac:dyDescent="0.15">
      <c r="A363" s="14">
        <v>4</v>
      </c>
      <c r="B363" s="14">
        <v>62</v>
      </c>
      <c r="C363" s="14">
        <v>24</v>
      </c>
      <c r="D363" s="15">
        <f t="shared" si="10"/>
        <v>166</v>
      </c>
      <c r="E363" s="14">
        <f t="shared" si="11"/>
        <v>241</v>
      </c>
      <c r="F363" s="14">
        <f>B363*masteryConfig!S$2+MAX(masteryExpConfig!B363-24,0)*masteryConfig!T$2+MAX(masteryExpConfig!B363-49,0)*masteryConfig!U$2</f>
        <v>28800</v>
      </c>
      <c r="G363" s="12">
        <v>3</v>
      </c>
      <c r="H363" s="18">
        <f>IF(A363=1,F363/(SUM(D$2:D363)*4),0)</f>
        <v>0</v>
      </c>
      <c r="I363" s="10">
        <v>111</v>
      </c>
    </row>
    <row r="364" spans="1:9" x14ac:dyDescent="0.15">
      <c r="A364" s="14">
        <v>4</v>
      </c>
      <c r="B364" s="14">
        <v>63</v>
      </c>
      <c r="C364" s="14">
        <v>24</v>
      </c>
      <c r="D364" s="15">
        <f t="shared" si="10"/>
        <v>171</v>
      </c>
      <c r="E364" s="14">
        <f t="shared" si="11"/>
        <v>242</v>
      </c>
      <c r="F364" s="14">
        <f>B364*masteryConfig!S$2+MAX(masteryExpConfig!B364-24,0)*masteryConfig!T$2+MAX(masteryExpConfig!B364-49,0)*masteryConfig!U$2</f>
        <v>29500</v>
      </c>
      <c r="G364" s="12">
        <v>3</v>
      </c>
      <c r="H364" s="18">
        <f>IF(A364=1,F364/(SUM(D$2:D364)*4),0)</f>
        <v>0</v>
      </c>
      <c r="I364" s="10">
        <v>114</v>
      </c>
    </row>
    <row r="365" spans="1:9" x14ac:dyDescent="0.15">
      <c r="A365" s="14">
        <v>4</v>
      </c>
      <c r="B365" s="14">
        <v>64</v>
      </c>
      <c r="C365" s="14">
        <v>24</v>
      </c>
      <c r="D365" s="15">
        <f t="shared" si="10"/>
        <v>175</v>
      </c>
      <c r="E365" s="14">
        <f t="shared" si="11"/>
        <v>243</v>
      </c>
      <c r="F365" s="14">
        <f>B365*masteryConfig!S$2+MAX(masteryExpConfig!B365-24,0)*masteryConfig!T$2+MAX(masteryExpConfig!B365-49,0)*masteryConfig!U$2</f>
        <v>30200</v>
      </c>
      <c r="G365" s="12">
        <v>3</v>
      </c>
      <c r="H365" s="18">
        <f>IF(A365=1,F365/(SUM(D$2:D365)*4),0)</f>
        <v>0</v>
      </c>
      <c r="I365" s="10">
        <v>117</v>
      </c>
    </row>
    <row r="366" spans="1:9" x14ac:dyDescent="0.15">
      <c r="A366" s="14">
        <v>4</v>
      </c>
      <c r="B366" s="14">
        <v>65</v>
      </c>
      <c r="C366" s="14">
        <v>24</v>
      </c>
      <c r="D366" s="15">
        <f t="shared" si="10"/>
        <v>180</v>
      </c>
      <c r="E366" s="14">
        <f t="shared" si="11"/>
        <v>244</v>
      </c>
      <c r="F366" s="14">
        <f>B366*masteryConfig!S$2+MAX(masteryExpConfig!B366-24,0)*masteryConfig!T$2+MAX(masteryExpConfig!B366-49,0)*masteryConfig!U$2</f>
        <v>30900</v>
      </c>
      <c r="G366" s="12">
        <v>3</v>
      </c>
      <c r="H366" s="18">
        <f>IF(A366=1,F366/(SUM(D$2:D366)*4),0)</f>
        <v>0</v>
      </c>
      <c r="I366" s="10">
        <v>120</v>
      </c>
    </row>
    <row r="367" spans="1:9" x14ac:dyDescent="0.15">
      <c r="A367" s="14">
        <v>4</v>
      </c>
      <c r="B367" s="14">
        <v>66</v>
      </c>
      <c r="C367" s="14">
        <v>24</v>
      </c>
      <c r="D367" s="15">
        <f t="shared" si="10"/>
        <v>184</v>
      </c>
      <c r="E367" s="14">
        <f t="shared" si="11"/>
        <v>245</v>
      </c>
      <c r="F367" s="14">
        <f>B367*masteryConfig!S$2+MAX(masteryExpConfig!B367-24,0)*masteryConfig!T$2+MAX(masteryExpConfig!B367-49,0)*masteryConfig!U$2</f>
        <v>31600</v>
      </c>
      <c r="G367" s="12">
        <v>3</v>
      </c>
      <c r="H367" s="18">
        <f>IF(A367=1,F367/(SUM(D$2:D367)*4),0)</f>
        <v>0</v>
      </c>
      <c r="I367" s="10">
        <v>123</v>
      </c>
    </row>
    <row r="368" spans="1:9" x14ac:dyDescent="0.15">
      <c r="A368" s="14">
        <v>4</v>
      </c>
      <c r="B368" s="14">
        <v>67</v>
      </c>
      <c r="C368" s="14">
        <v>24</v>
      </c>
      <c r="D368" s="15">
        <f t="shared" si="10"/>
        <v>189</v>
      </c>
      <c r="E368" s="14">
        <f t="shared" si="11"/>
        <v>246</v>
      </c>
      <c r="F368" s="14">
        <f>B368*masteryConfig!S$2+MAX(masteryExpConfig!B368-24,0)*masteryConfig!T$2+MAX(masteryExpConfig!B368-49,0)*masteryConfig!U$2</f>
        <v>32300</v>
      </c>
      <c r="G368" s="12">
        <v>3</v>
      </c>
      <c r="H368" s="18">
        <f>IF(A368=1,F368/(SUM(D$2:D368)*4),0)</f>
        <v>0</v>
      </c>
      <c r="I368" s="10">
        <v>126</v>
      </c>
    </row>
    <row r="369" spans="1:9" x14ac:dyDescent="0.15">
      <c r="A369" s="14">
        <v>4</v>
      </c>
      <c r="B369" s="14">
        <v>68</v>
      </c>
      <c r="C369" s="14">
        <v>24</v>
      </c>
      <c r="D369" s="15">
        <f t="shared" si="10"/>
        <v>193</v>
      </c>
      <c r="E369" s="14">
        <f t="shared" si="11"/>
        <v>247</v>
      </c>
      <c r="F369" s="14">
        <f>B369*masteryConfig!S$2+MAX(masteryExpConfig!B369-24,0)*masteryConfig!T$2+MAX(masteryExpConfig!B369-49,0)*masteryConfig!U$2</f>
        <v>33000</v>
      </c>
      <c r="G369" s="12">
        <v>3</v>
      </c>
      <c r="H369" s="18">
        <f>IF(A369=1,F369/(SUM(D$2:D369)*4),0)</f>
        <v>0</v>
      </c>
      <c r="I369" s="10">
        <v>129</v>
      </c>
    </row>
    <row r="370" spans="1:9" x14ac:dyDescent="0.15">
      <c r="A370" s="14">
        <v>4</v>
      </c>
      <c r="B370" s="14">
        <v>69</v>
      </c>
      <c r="C370" s="14">
        <v>24</v>
      </c>
      <c r="D370" s="15">
        <f t="shared" si="10"/>
        <v>198</v>
      </c>
      <c r="E370" s="14">
        <f t="shared" si="11"/>
        <v>248</v>
      </c>
      <c r="F370" s="14">
        <f>B370*masteryConfig!S$2+MAX(masteryExpConfig!B370-24,0)*masteryConfig!T$2+MAX(masteryExpConfig!B370-49,0)*masteryConfig!U$2</f>
        <v>33700</v>
      </c>
      <c r="G370" s="12">
        <v>3</v>
      </c>
      <c r="H370" s="18">
        <f>IF(A370=1,F370/(SUM(D$2:D370)*4),0)</f>
        <v>0</v>
      </c>
      <c r="I370" s="10">
        <v>132</v>
      </c>
    </row>
    <row r="371" spans="1:9" x14ac:dyDescent="0.15">
      <c r="A371" s="14">
        <v>4</v>
      </c>
      <c r="B371" s="14">
        <v>70</v>
      </c>
      <c r="C371" s="14">
        <v>24</v>
      </c>
      <c r="D371" s="15">
        <f t="shared" si="10"/>
        <v>202</v>
      </c>
      <c r="E371" s="14">
        <f t="shared" si="11"/>
        <v>249</v>
      </c>
      <c r="F371" s="14">
        <f>B371*masteryConfig!S$2+MAX(masteryExpConfig!B371-24,0)*masteryConfig!T$2+MAX(masteryExpConfig!B371-49,0)*masteryConfig!U$2</f>
        <v>34400</v>
      </c>
      <c r="G371" s="12">
        <v>3</v>
      </c>
      <c r="H371" s="18">
        <f>IF(A371=1,F371/(SUM(D$2:D371)*4),0)</f>
        <v>0</v>
      </c>
      <c r="I371" s="10">
        <v>135</v>
      </c>
    </row>
    <row r="372" spans="1:9" x14ac:dyDescent="0.15">
      <c r="A372" s="14">
        <v>4</v>
      </c>
      <c r="B372" s="14">
        <v>71</v>
      </c>
      <c r="C372" s="14">
        <v>24</v>
      </c>
      <c r="D372" s="15">
        <f t="shared" si="10"/>
        <v>207</v>
      </c>
      <c r="E372" s="14">
        <f t="shared" si="11"/>
        <v>250</v>
      </c>
      <c r="F372" s="14">
        <f>B372*masteryConfig!S$2+MAX(masteryExpConfig!B372-24,0)*masteryConfig!T$2+MAX(masteryExpConfig!B372-49,0)*masteryConfig!U$2</f>
        <v>35100</v>
      </c>
      <c r="G372" s="12">
        <v>3</v>
      </c>
      <c r="H372" s="18">
        <f>IF(A372=1,F372/(SUM(D$2:D372)*4),0)</f>
        <v>0</v>
      </c>
      <c r="I372" s="10">
        <v>138</v>
      </c>
    </row>
    <row r="373" spans="1:9" x14ac:dyDescent="0.15">
      <c r="A373" s="14">
        <v>4</v>
      </c>
      <c r="B373" s="14">
        <v>72</v>
      </c>
      <c r="C373" s="14">
        <v>24</v>
      </c>
      <c r="D373" s="15">
        <f t="shared" si="10"/>
        <v>211</v>
      </c>
      <c r="E373" s="14">
        <f t="shared" si="11"/>
        <v>251</v>
      </c>
      <c r="F373" s="14">
        <f>B373*masteryConfig!S$2+MAX(masteryExpConfig!B373-24,0)*masteryConfig!T$2+MAX(masteryExpConfig!B373-49,0)*masteryConfig!U$2</f>
        <v>35800</v>
      </c>
      <c r="G373" s="12">
        <v>3</v>
      </c>
      <c r="H373" s="18">
        <f>IF(A373=1,F373/(SUM(D$2:D373)*4),0)</f>
        <v>0</v>
      </c>
      <c r="I373" s="10">
        <v>141</v>
      </c>
    </row>
    <row r="374" spans="1:9" x14ac:dyDescent="0.15">
      <c r="A374" s="14">
        <v>4</v>
      </c>
      <c r="B374" s="14">
        <v>73</v>
      </c>
      <c r="C374" s="14">
        <v>24</v>
      </c>
      <c r="D374" s="15">
        <f t="shared" si="10"/>
        <v>216</v>
      </c>
      <c r="E374" s="14">
        <f t="shared" si="11"/>
        <v>252</v>
      </c>
      <c r="F374" s="14">
        <f>B374*masteryConfig!S$2+MAX(masteryExpConfig!B374-24,0)*masteryConfig!T$2+MAX(masteryExpConfig!B374-49,0)*masteryConfig!U$2</f>
        <v>36500</v>
      </c>
      <c r="G374" s="12">
        <v>3</v>
      </c>
      <c r="H374" s="18">
        <f>IF(A374=1,F374/(SUM(D$2:D374)*4),0)</f>
        <v>0</v>
      </c>
      <c r="I374" s="10">
        <v>144</v>
      </c>
    </row>
    <row r="375" spans="1:9" x14ac:dyDescent="0.15">
      <c r="A375" s="14">
        <v>4</v>
      </c>
      <c r="B375" s="14">
        <v>74</v>
      </c>
      <c r="C375" s="14">
        <v>24</v>
      </c>
      <c r="D375" s="15">
        <f t="shared" si="10"/>
        <v>220</v>
      </c>
      <c r="E375" s="14">
        <f t="shared" si="11"/>
        <v>253</v>
      </c>
      <c r="F375" s="14">
        <f>B375*masteryConfig!S$2+MAX(masteryExpConfig!B375-24,0)*masteryConfig!T$2+MAX(masteryExpConfig!B375-49,0)*masteryConfig!U$2</f>
        <v>37200</v>
      </c>
      <c r="G375" s="12">
        <v>3</v>
      </c>
      <c r="H375" s="18">
        <f>IF(A375=1,F375/(SUM(D$2:D375)*4),0)</f>
        <v>0</v>
      </c>
      <c r="I375" s="10">
        <v>147</v>
      </c>
    </row>
    <row r="376" spans="1:9" x14ac:dyDescent="0.15">
      <c r="A376" s="14">
        <v>4</v>
      </c>
      <c r="B376" s="14">
        <v>75</v>
      </c>
      <c r="C376" s="14">
        <v>24</v>
      </c>
      <c r="D376" s="15">
        <f t="shared" si="10"/>
        <v>225</v>
      </c>
      <c r="E376" s="14">
        <f t="shared" si="11"/>
        <v>254</v>
      </c>
      <c r="F376" s="14">
        <f>B376*masteryConfig!S$2+MAX(masteryExpConfig!B376-24,0)*masteryConfig!T$2+MAX(masteryExpConfig!B376-49,0)*masteryConfig!U$2</f>
        <v>37900</v>
      </c>
      <c r="G376" s="12">
        <v>3</v>
      </c>
      <c r="H376" s="18">
        <f>IF(A376=1,F376/(SUM(D$2:D376)*4),0)</f>
        <v>0</v>
      </c>
      <c r="I376" s="10">
        <v>150</v>
      </c>
    </row>
    <row r="377" spans="1:9" x14ac:dyDescent="0.15">
      <c r="A377" s="14">
        <v>4</v>
      </c>
      <c r="B377" s="14">
        <v>76</v>
      </c>
      <c r="C377" s="14">
        <v>24</v>
      </c>
      <c r="D377" s="15">
        <f t="shared" si="10"/>
        <v>229</v>
      </c>
      <c r="E377" s="14">
        <f t="shared" si="11"/>
        <v>255</v>
      </c>
      <c r="F377" s="14">
        <f>B377*masteryConfig!S$2+MAX(masteryExpConfig!B377-24,0)*masteryConfig!T$2+MAX(masteryExpConfig!B377-49,0)*masteryConfig!U$2</f>
        <v>38600</v>
      </c>
      <c r="G377" s="12">
        <v>3</v>
      </c>
      <c r="H377" s="18">
        <f>IF(A377=1,F377/(SUM(D$2:D377)*4),0)</f>
        <v>0</v>
      </c>
      <c r="I377" s="10">
        <v>153</v>
      </c>
    </row>
    <row r="378" spans="1:9" x14ac:dyDescent="0.15">
      <c r="A378" s="14">
        <v>4</v>
      </c>
      <c r="B378" s="14">
        <v>77</v>
      </c>
      <c r="C378" s="14">
        <v>24</v>
      </c>
      <c r="D378" s="15">
        <f t="shared" si="10"/>
        <v>234</v>
      </c>
      <c r="E378" s="14">
        <f t="shared" si="11"/>
        <v>256</v>
      </c>
      <c r="F378" s="14">
        <f>B378*masteryConfig!S$2+MAX(masteryExpConfig!B378-24,0)*masteryConfig!T$2+MAX(masteryExpConfig!B378-49,0)*masteryConfig!U$2</f>
        <v>39300</v>
      </c>
      <c r="G378" s="12">
        <v>3</v>
      </c>
      <c r="H378" s="18">
        <f>IF(A378=1,F378/(SUM(D$2:D378)*4),0)</f>
        <v>0</v>
      </c>
      <c r="I378" s="10">
        <v>156</v>
      </c>
    </row>
    <row r="379" spans="1:9" x14ac:dyDescent="0.15">
      <c r="A379" s="14">
        <v>4</v>
      </c>
      <c r="B379" s="14">
        <v>78</v>
      </c>
      <c r="C379" s="14">
        <v>24</v>
      </c>
      <c r="D379" s="15">
        <f t="shared" si="10"/>
        <v>238</v>
      </c>
      <c r="E379" s="14">
        <f t="shared" si="11"/>
        <v>257</v>
      </c>
      <c r="F379" s="14">
        <f>B379*masteryConfig!S$2+MAX(masteryExpConfig!B379-24,0)*masteryConfig!T$2+MAX(masteryExpConfig!B379-49,0)*masteryConfig!U$2</f>
        <v>40000</v>
      </c>
      <c r="G379" s="12">
        <v>3</v>
      </c>
      <c r="H379" s="18">
        <f>IF(A379=1,F379/(SUM(D$2:D379)*4),0)</f>
        <v>0</v>
      </c>
      <c r="I379" s="10">
        <v>159</v>
      </c>
    </row>
    <row r="380" spans="1:9" x14ac:dyDescent="0.15">
      <c r="A380" s="14">
        <v>4</v>
      </c>
      <c r="B380" s="14">
        <v>79</v>
      </c>
      <c r="C380" s="14">
        <v>24</v>
      </c>
      <c r="D380" s="15">
        <f t="shared" si="10"/>
        <v>243</v>
      </c>
      <c r="E380" s="14">
        <f t="shared" si="11"/>
        <v>258</v>
      </c>
      <c r="F380" s="14">
        <f>B380*masteryConfig!S$2+MAX(masteryExpConfig!B380-24,0)*masteryConfig!T$2+MAX(masteryExpConfig!B380-49,0)*masteryConfig!U$2</f>
        <v>40700</v>
      </c>
      <c r="G380" s="12">
        <v>3</v>
      </c>
      <c r="H380" s="18">
        <f>IF(A380=1,F380/(SUM(D$2:D380)*4),0)</f>
        <v>0</v>
      </c>
      <c r="I380" s="10">
        <v>162</v>
      </c>
    </row>
    <row r="381" spans="1:9" x14ac:dyDescent="0.15">
      <c r="A381" s="14">
        <v>4</v>
      </c>
      <c r="B381" s="14">
        <v>80</v>
      </c>
      <c r="C381" s="14">
        <v>24</v>
      </c>
      <c r="D381" s="15">
        <f t="shared" si="10"/>
        <v>247</v>
      </c>
      <c r="E381" s="14">
        <f t="shared" si="11"/>
        <v>259</v>
      </c>
      <c r="F381" s="14">
        <f>B381*masteryConfig!S$2+MAX(masteryExpConfig!B381-24,0)*masteryConfig!T$2+MAX(masteryExpConfig!B381-49,0)*masteryConfig!U$2</f>
        <v>41400</v>
      </c>
      <c r="G381" s="12">
        <v>3</v>
      </c>
      <c r="H381" s="18">
        <f>IF(A381=1,F381/(SUM(D$2:D381)*4),0)</f>
        <v>0</v>
      </c>
      <c r="I381" s="10">
        <v>165</v>
      </c>
    </row>
    <row r="382" spans="1:9" x14ac:dyDescent="0.15">
      <c r="A382" s="14">
        <v>4</v>
      </c>
      <c r="B382" s="14">
        <v>81</v>
      </c>
      <c r="C382" s="14">
        <v>24</v>
      </c>
      <c r="D382" s="15">
        <f t="shared" si="10"/>
        <v>252</v>
      </c>
      <c r="E382" s="14">
        <f t="shared" si="11"/>
        <v>260</v>
      </c>
      <c r="F382" s="14">
        <f>B382*masteryConfig!S$2+MAX(masteryExpConfig!B382-24,0)*masteryConfig!T$2+MAX(masteryExpConfig!B382-49,0)*masteryConfig!U$2</f>
        <v>42100</v>
      </c>
      <c r="G382" s="12">
        <v>3</v>
      </c>
      <c r="H382" s="18">
        <f>IF(A382=1,F382/(SUM(D$2:D382)*4),0)</f>
        <v>0</v>
      </c>
      <c r="I382" s="10">
        <v>168</v>
      </c>
    </row>
    <row r="383" spans="1:9" x14ac:dyDescent="0.15">
      <c r="A383" s="14">
        <v>4</v>
      </c>
      <c r="B383" s="14">
        <v>82</v>
      </c>
      <c r="C383" s="14">
        <v>24</v>
      </c>
      <c r="D383" s="15">
        <f t="shared" si="10"/>
        <v>256</v>
      </c>
      <c r="E383" s="14">
        <f t="shared" si="11"/>
        <v>261</v>
      </c>
      <c r="F383" s="14">
        <f>B383*masteryConfig!S$2+MAX(masteryExpConfig!B383-24,0)*masteryConfig!T$2+MAX(masteryExpConfig!B383-49,0)*masteryConfig!U$2</f>
        <v>42800</v>
      </c>
      <c r="G383" s="12">
        <v>3</v>
      </c>
      <c r="H383" s="18">
        <f>IF(A383=1,F383/(SUM(D$2:D383)*4),0)</f>
        <v>0</v>
      </c>
      <c r="I383" s="10">
        <v>171</v>
      </c>
    </row>
    <row r="384" spans="1:9" x14ac:dyDescent="0.15">
      <c r="A384" s="14">
        <v>4</v>
      </c>
      <c r="B384" s="14">
        <v>83</v>
      </c>
      <c r="C384" s="14">
        <v>24</v>
      </c>
      <c r="D384" s="15">
        <f t="shared" si="10"/>
        <v>261</v>
      </c>
      <c r="E384" s="14">
        <f t="shared" si="11"/>
        <v>262</v>
      </c>
      <c r="F384" s="14">
        <f>B384*masteryConfig!S$2+MAX(masteryExpConfig!B384-24,0)*masteryConfig!T$2+MAX(masteryExpConfig!B384-49,0)*masteryConfig!U$2</f>
        <v>43500</v>
      </c>
      <c r="G384" s="12">
        <v>3</v>
      </c>
      <c r="H384" s="18">
        <f>IF(A384=1,F384/(SUM(D$2:D384)*4),0)</f>
        <v>0</v>
      </c>
      <c r="I384" s="10">
        <v>174</v>
      </c>
    </row>
    <row r="385" spans="1:9" x14ac:dyDescent="0.15">
      <c r="A385" s="14">
        <v>4</v>
      </c>
      <c r="B385" s="14">
        <v>84</v>
      </c>
      <c r="C385" s="14">
        <v>24</v>
      </c>
      <c r="D385" s="15">
        <f t="shared" si="10"/>
        <v>265</v>
      </c>
      <c r="E385" s="14">
        <f t="shared" si="11"/>
        <v>263</v>
      </c>
      <c r="F385" s="14">
        <f>B385*masteryConfig!S$2+MAX(masteryExpConfig!B385-24,0)*masteryConfig!T$2+MAX(masteryExpConfig!B385-49,0)*masteryConfig!U$2</f>
        <v>44200</v>
      </c>
      <c r="G385" s="12">
        <v>3</v>
      </c>
      <c r="H385" s="18">
        <f>IF(A385=1,F385/(SUM(D$2:D385)*4),0)</f>
        <v>0</v>
      </c>
      <c r="I385" s="10">
        <v>177</v>
      </c>
    </row>
    <row r="386" spans="1:9" x14ac:dyDescent="0.15">
      <c r="A386" s="14">
        <v>4</v>
      </c>
      <c r="B386" s="14">
        <v>85</v>
      </c>
      <c r="C386" s="14">
        <v>24</v>
      </c>
      <c r="D386" s="15">
        <f t="shared" si="10"/>
        <v>270</v>
      </c>
      <c r="E386" s="14">
        <f t="shared" si="11"/>
        <v>264</v>
      </c>
      <c r="F386" s="14">
        <f>B386*masteryConfig!S$2+MAX(masteryExpConfig!B386-24,0)*masteryConfig!T$2+MAX(masteryExpConfig!B386-49,0)*masteryConfig!U$2</f>
        <v>44900</v>
      </c>
      <c r="G386" s="12">
        <v>3</v>
      </c>
      <c r="H386" s="18">
        <f>IF(A386=1,F386/(SUM(D$2:D386)*4),0)</f>
        <v>0</v>
      </c>
      <c r="I386" s="10">
        <v>180</v>
      </c>
    </row>
    <row r="387" spans="1:9" x14ac:dyDescent="0.15">
      <c r="A387" s="14">
        <v>4</v>
      </c>
      <c r="B387" s="14">
        <v>86</v>
      </c>
      <c r="C387" s="14">
        <v>24</v>
      </c>
      <c r="D387" s="15">
        <f t="shared" ref="D387:D401" si="12">INT(MAX(12,I387*1.5))</f>
        <v>274</v>
      </c>
      <c r="E387" s="14">
        <f t="shared" ref="E387:E401" si="13">B387+179</f>
        <v>265</v>
      </c>
      <c r="F387" s="14">
        <f>B387*masteryConfig!S$2+MAX(masteryExpConfig!B387-24,0)*masteryConfig!T$2+MAX(masteryExpConfig!B387-49,0)*masteryConfig!U$2</f>
        <v>45600</v>
      </c>
      <c r="G387" s="12">
        <v>3</v>
      </c>
      <c r="H387" s="18">
        <f>IF(A387=1,F387/(SUM(D$2:D387)*4),0)</f>
        <v>0</v>
      </c>
      <c r="I387" s="10">
        <v>183</v>
      </c>
    </row>
    <row r="388" spans="1:9" x14ac:dyDescent="0.15">
      <c r="A388" s="14">
        <v>4</v>
      </c>
      <c r="B388" s="14">
        <v>87</v>
      </c>
      <c r="C388" s="14">
        <v>24</v>
      </c>
      <c r="D388" s="15">
        <f t="shared" si="12"/>
        <v>279</v>
      </c>
      <c r="E388" s="14">
        <f t="shared" si="13"/>
        <v>266</v>
      </c>
      <c r="F388" s="14">
        <f>B388*masteryConfig!S$2+MAX(masteryExpConfig!B388-24,0)*masteryConfig!T$2+MAX(masteryExpConfig!B388-49,0)*masteryConfig!U$2</f>
        <v>46300</v>
      </c>
      <c r="G388" s="12">
        <v>3</v>
      </c>
      <c r="H388" s="18">
        <f>IF(A388=1,F388/(SUM(D$2:D388)*4),0)</f>
        <v>0</v>
      </c>
      <c r="I388" s="10">
        <v>186</v>
      </c>
    </row>
    <row r="389" spans="1:9" x14ac:dyDescent="0.15">
      <c r="A389" s="14">
        <v>4</v>
      </c>
      <c r="B389" s="14">
        <v>88</v>
      </c>
      <c r="C389" s="14">
        <v>24</v>
      </c>
      <c r="D389" s="15">
        <f t="shared" si="12"/>
        <v>283</v>
      </c>
      <c r="E389" s="14">
        <f t="shared" si="13"/>
        <v>267</v>
      </c>
      <c r="F389" s="14">
        <f>B389*masteryConfig!S$2+MAX(masteryExpConfig!B389-24,0)*masteryConfig!T$2+MAX(masteryExpConfig!B389-49,0)*masteryConfig!U$2</f>
        <v>47000</v>
      </c>
      <c r="G389" s="12">
        <v>3</v>
      </c>
      <c r="H389" s="18">
        <f>IF(A389=1,F389/(SUM(D$2:D389)*4),0)</f>
        <v>0</v>
      </c>
      <c r="I389" s="10">
        <v>189</v>
      </c>
    </row>
    <row r="390" spans="1:9" x14ac:dyDescent="0.15">
      <c r="A390" s="14">
        <v>4</v>
      </c>
      <c r="B390" s="14">
        <v>89</v>
      </c>
      <c r="C390" s="14">
        <v>24</v>
      </c>
      <c r="D390" s="15">
        <f t="shared" si="12"/>
        <v>288</v>
      </c>
      <c r="E390" s="14">
        <f t="shared" si="13"/>
        <v>268</v>
      </c>
      <c r="F390" s="14">
        <f>B390*masteryConfig!S$2+MAX(masteryExpConfig!B390-24,0)*masteryConfig!T$2+MAX(masteryExpConfig!B390-49,0)*masteryConfig!U$2</f>
        <v>47700</v>
      </c>
      <c r="G390" s="12">
        <v>3</v>
      </c>
      <c r="H390" s="18">
        <f>IF(A390=1,F390/(SUM(D$2:D390)*4),0)</f>
        <v>0</v>
      </c>
      <c r="I390" s="10">
        <v>192</v>
      </c>
    </row>
    <row r="391" spans="1:9" x14ac:dyDescent="0.15">
      <c r="A391" s="14">
        <v>4</v>
      </c>
      <c r="B391" s="14">
        <v>90</v>
      </c>
      <c r="C391" s="14">
        <v>24</v>
      </c>
      <c r="D391" s="15">
        <f t="shared" si="12"/>
        <v>292</v>
      </c>
      <c r="E391" s="14">
        <f t="shared" si="13"/>
        <v>269</v>
      </c>
      <c r="F391" s="14">
        <f>B391*masteryConfig!S$2+MAX(masteryExpConfig!B391-24,0)*masteryConfig!T$2+MAX(masteryExpConfig!B391-49,0)*masteryConfig!U$2</f>
        <v>48400</v>
      </c>
      <c r="G391" s="12">
        <v>3</v>
      </c>
      <c r="H391" s="18">
        <f>IF(A391=1,F391/(SUM(D$2:D391)*4),0)</f>
        <v>0</v>
      </c>
      <c r="I391" s="10">
        <v>195</v>
      </c>
    </row>
    <row r="392" spans="1:9" x14ac:dyDescent="0.15">
      <c r="A392" s="14">
        <v>4</v>
      </c>
      <c r="B392" s="14">
        <v>91</v>
      </c>
      <c r="C392" s="14">
        <v>24</v>
      </c>
      <c r="D392" s="15">
        <f t="shared" si="12"/>
        <v>297</v>
      </c>
      <c r="E392" s="14">
        <f t="shared" si="13"/>
        <v>270</v>
      </c>
      <c r="F392" s="14">
        <f>B392*masteryConfig!S$2+MAX(masteryExpConfig!B392-24,0)*masteryConfig!T$2+MAX(masteryExpConfig!B392-49,0)*masteryConfig!U$2</f>
        <v>49100</v>
      </c>
      <c r="G392" s="12">
        <v>3</v>
      </c>
      <c r="H392" s="18">
        <f>IF(A392=1,F392/(SUM(D$2:D392)*4),0)</f>
        <v>0</v>
      </c>
      <c r="I392" s="10">
        <v>198</v>
      </c>
    </row>
    <row r="393" spans="1:9" x14ac:dyDescent="0.15">
      <c r="A393" s="14">
        <v>4</v>
      </c>
      <c r="B393" s="14">
        <v>92</v>
      </c>
      <c r="C393" s="14">
        <v>24</v>
      </c>
      <c r="D393" s="15">
        <f t="shared" si="12"/>
        <v>301</v>
      </c>
      <c r="E393" s="14">
        <f t="shared" si="13"/>
        <v>271</v>
      </c>
      <c r="F393" s="14">
        <f>B393*masteryConfig!S$2+MAX(masteryExpConfig!B393-24,0)*masteryConfig!T$2+MAX(masteryExpConfig!B393-49,0)*masteryConfig!U$2</f>
        <v>49800</v>
      </c>
      <c r="G393" s="12">
        <v>3</v>
      </c>
      <c r="H393" s="18">
        <f>IF(A393=1,F393/(SUM(D$2:D393)*4),0)</f>
        <v>0</v>
      </c>
      <c r="I393" s="10">
        <v>201</v>
      </c>
    </row>
    <row r="394" spans="1:9" x14ac:dyDescent="0.15">
      <c r="A394" s="14">
        <v>4</v>
      </c>
      <c r="B394" s="14">
        <v>93</v>
      </c>
      <c r="C394" s="14">
        <v>24</v>
      </c>
      <c r="D394" s="15">
        <f t="shared" si="12"/>
        <v>306</v>
      </c>
      <c r="E394" s="14">
        <f t="shared" si="13"/>
        <v>272</v>
      </c>
      <c r="F394" s="14">
        <f>B394*masteryConfig!S$2+MAX(masteryExpConfig!B394-24,0)*masteryConfig!T$2+MAX(masteryExpConfig!B394-49,0)*masteryConfig!U$2</f>
        <v>50500</v>
      </c>
      <c r="G394" s="12">
        <v>3</v>
      </c>
      <c r="H394" s="18">
        <f>IF(A394=1,F394/(SUM(D$2:D394)*4),0)</f>
        <v>0</v>
      </c>
      <c r="I394" s="10">
        <v>204</v>
      </c>
    </row>
    <row r="395" spans="1:9" x14ac:dyDescent="0.15">
      <c r="A395" s="14">
        <v>4</v>
      </c>
      <c r="B395" s="14">
        <v>94</v>
      </c>
      <c r="C395" s="14">
        <v>24</v>
      </c>
      <c r="D395" s="15">
        <f t="shared" si="12"/>
        <v>310</v>
      </c>
      <c r="E395" s="14">
        <f t="shared" si="13"/>
        <v>273</v>
      </c>
      <c r="F395" s="14">
        <f>B395*masteryConfig!S$2+MAX(masteryExpConfig!B395-24,0)*masteryConfig!T$2+MAX(masteryExpConfig!B395-49,0)*masteryConfig!U$2</f>
        <v>51200</v>
      </c>
      <c r="G395" s="12">
        <v>3</v>
      </c>
      <c r="H395" s="18">
        <f>IF(A395=1,F395/(SUM(D$2:D395)*4),0)</f>
        <v>0</v>
      </c>
      <c r="I395" s="10">
        <v>207</v>
      </c>
    </row>
    <row r="396" spans="1:9" x14ac:dyDescent="0.15">
      <c r="A396" s="14">
        <v>4</v>
      </c>
      <c r="B396" s="14">
        <v>95</v>
      </c>
      <c r="C396" s="14">
        <v>24</v>
      </c>
      <c r="D396" s="15">
        <f t="shared" si="12"/>
        <v>315</v>
      </c>
      <c r="E396" s="14">
        <f t="shared" si="13"/>
        <v>274</v>
      </c>
      <c r="F396" s="14">
        <f>B396*masteryConfig!S$2+MAX(masteryExpConfig!B396-24,0)*masteryConfig!T$2+MAX(masteryExpConfig!B396-49,0)*masteryConfig!U$2</f>
        <v>51900</v>
      </c>
      <c r="G396" s="12">
        <v>3</v>
      </c>
      <c r="H396" s="18">
        <f>IF(A396=1,F396/(SUM(D$2:D396)*4),0)</f>
        <v>0</v>
      </c>
      <c r="I396" s="10">
        <v>210</v>
      </c>
    </row>
    <row r="397" spans="1:9" x14ac:dyDescent="0.15">
      <c r="A397" s="14">
        <v>4</v>
      </c>
      <c r="B397" s="14">
        <v>96</v>
      </c>
      <c r="C397" s="14">
        <v>24</v>
      </c>
      <c r="D397" s="15">
        <f t="shared" si="12"/>
        <v>319</v>
      </c>
      <c r="E397" s="14">
        <f t="shared" si="13"/>
        <v>275</v>
      </c>
      <c r="F397" s="14">
        <f>B397*masteryConfig!S$2+MAX(masteryExpConfig!B397-24,0)*masteryConfig!T$2+MAX(masteryExpConfig!B397-49,0)*masteryConfig!U$2</f>
        <v>52600</v>
      </c>
      <c r="G397" s="12">
        <v>3</v>
      </c>
      <c r="H397" s="18">
        <f>IF(A397=1,F397/(SUM(D$2:D397)*4),0)</f>
        <v>0</v>
      </c>
      <c r="I397" s="10">
        <v>213</v>
      </c>
    </row>
    <row r="398" spans="1:9" x14ac:dyDescent="0.15">
      <c r="A398" s="14">
        <v>4</v>
      </c>
      <c r="B398" s="14">
        <v>97</v>
      </c>
      <c r="C398" s="14">
        <v>24</v>
      </c>
      <c r="D398" s="15">
        <f t="shared" si="12"/>
        <v>324</v>
      </c>
      <c r="E398" s="14">
        <f t="shared" si="13"/>
        <v>276</v>
      </c>
      <c r="F398" s="14">
        <f>B398*masteryConfig!S$2+MAX(masteryExpConfig!B398-24,0)*masteryConfig!T$2+MAX(masteryExpConfig!B398-49,0)*masteryConfig!U$2</f>
        <v>53300</v>
      </c>
      <c r="G398" s="12">
        <v>3</v>
      </c>
      <c r="H398" s="18">
        <f>IF(A398=1,F398/(SUM(D$2:D398)*4),0)</f>
        <v>0</v>
      </c>
      <c r="I398" s="10">
        <v>216</v>
      </c>
    </row>
    <row r="399" spans="1:9" x14ac:dyDescent="0.15">
      <c r="A399" s="14">
        <v>4</v>
      </c>
      <c r="B399" s="14">
        <v>98</v>
      </c>
      <c r="C399" s="14">
        <v>24</v>
      </c>
      <c r="D399" s="15">
        <f t="shared" si="12"/>
        <v>328</v>
      </c>
      <c r="E399" s="14">
        <f t="shared" si="13"/>
        <v>277</v>
      </c>
      <c r="F399" s="14">
        <f>B399*masteryConfig!S$2+MAX(masteryExpConfig!B399-24,0)*masteryConfig!T$2+MAX(masteryExpConfig!B399-49,0)*masteryConfig!U$2</f>
        <v>54000</v>
      </c>
      <c r="G399" s="12">
        <v>3</v>
      </c>
      <c r="H399" s="18">
        <f>IF(A399=1,F399/(SUM(D$2:D399)*4),0)</f>
        <v>0</v>
      </c>
      <c r="I399" s="10">
        <v>219</v>
      </c>
    </row>
    <row r="400" spans="1:9" x14ac:dyDescent="0.15">
      <c r="A400" s="14">
        <v>4</v>
      </c>
      <c r="B400" s="14">
        <v>99</v>
      </c>
      <c r="C400" s="14">
        <v>24</v>
      </c>
      <c r="D400" s="15">
        <f t="shared" si="12"/>
        <v>333</v>
      </c>
      <c r="E400" s="14">
        <f t="shared" si="13"/>
        <v>278</v>
      </c>
      <c r="F400" s="14">
        <f>B400*masteryConfig!S$2+MAX(masteryExpConfig!B400-24,0)*masteryConfig!T$2+MAX(masteryExpConfig!B400-49,0)*masteryConfig!U$2</f>
        <v>54700</v>
      </c>
      <c r="G400" s="12">
        <v>3</v>
      </c>
      <c r="H400" s="18">
        <f>IF(A400=1,F400/(SUM(D$2:D400)*4),0)</f>
        <v>0</v>
      </c>
      <c r="I400" s="10">
        <v>222</v>
      </c>
    </row>
    <row r="401" spans="1:9" x14ac:dyDescent="0.15">
      <c r="A401" s="14">
        <v>4</v>
      </c>
      <c r="B401" s="14">
        <v>100</v>
      </c>
      <c r="C401" s="14">
        <v>24</v>
      </c>
      <c r="D401" s="15">
        <f t="shared" si="12"/>
        <v>337</v>
      </c>
      <c r="E401" s="14">
        <f t="shared" si="13"/>
        <v>279</v>
      </c>
      <c r="F401" s="14">
        <f>B401*masteryConfig!S$2+MAX(masteryExpConfig!B401-24,0)*masteryConfig!T$2+MAX(masteryExpConfig!B401-49,0)*masteryConfig!U$2</f>
        <v>55400</v>
      </c>
      <c r="G401" s="12">
        <v>3</v>
      </c>
      <c r="H401" s="18">
        <f>IF(A401=1,F401/(SUM(D$2:D401)*4),0)</f>
        <v>0</v>
      </c>
      <c r="I401" s="10">
        <v>225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mastery_exp">
                <anchor moveWithCells="1" sizeWithCells="1">
                  <from>
                    <xdr:col>9</xdr:col>
                    <xdr:colOff>314325</xdr:colOff>
                    <xdr:row>0</xdr:row>
                    <xdr:rowOff>95250</xdr:rowOff>
                  </from>
                  <to>
                    <xdr:col>11</xdr:col>
                    <xdr:colOff>276225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I27" sqref="I27"/>
    </sheetView>
  </sheetViews>
  <sheetFormatPr defaultRowHeight="13.5" x14ac:dyDescent="0.15"/>
  <cols>
    <col min="1" max="1" width="8.5" bestFit="1" customWidth="1"/>
    <col min="2" max="2" width="5.5" bestFit="1" customWidth="1"/>
    <col min="3" max="3" width="4.5" bestFit="1" customWidth="1"/>
    <col min="4" max="4" width="17.25" bestFit="1" customWidth="1"/>
  </cols>
  <sheetData>
    <row r="1" spans="1:4" x14ac:dyDescent="0.15">
      <c r="A1" s="5" t="s">
        <v>20</v>
      </c>
      <c r="B1" s="5" t="s">
        <v>19</v>
      </c>
      <c r="C1" s="5" t="s">
        <v>25</v>
      </c>
      <c r="D1" s="5" t="s">
        <v>26</v>
      </c>
    </row>
    <row r="2" spans="1:4" x14ac:dyDescent="0.15">
      <c r="A2" s="6" t="s">
        <v>14</v>
      </c>
      <c r="B2" s="7">
        <v>1</v>
      </c>
      <c r="C2" s="6" t="s">
        <v>16</v>
      </c>
      <c r="D2" s="6" t="s">
        <v>21</v>
      </c>
    </row>
    <row r="3" spans="1:4" x14ac:dyDescent="0.15">
      <c r="A3" s="6" t="s">
        <v>11</v>
      </c>
      <c r="B3" s="7">
        <v>1</v>
      </c>
      <c r="C3" s="6" t="s">
        <v>16</v>
      </c>
      <c r="D3" s="6" t="s">
        <v>22</v>
      </c>
    </row>
    <row r="4" spans="1:4" x14ac:dyDescent="0.15">
      <c r="A4" s="6" t="s">
        <v>13</v>
      </c>
      <c r="B4" s="7">
        <v>1</v>
      </c>
      <c r="C4" s="6" t="s">
        <v>16</v>
      </c>
      <c r="D4" s="6" t="s">
        <v>23</v>
      </c>
    </row>
    <row r="5" spans="1:4" x14ac:dyDescent="0.15">
      <c r="A5" s="6" t="s">
        <v>12</v>
      </c>
      <c r="B5" s="7">
        <f>B3*1000</f>
        <v>1000</v>
      </c>
      <c r="C5" s="6" t="s">
        <v>16</v>
      </c>
      <c r="D5" s="6" t="s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masteryConfig</vt:lpstr>
      <vt:lpstr>说明</vt:lpstr>
      <vt:lpstr>masteryExpConfig</vt:lpstr>
      <vt:lpstr>masteryExp说明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New User</cp:lastModifiedBy>
  <dcterms:created xsi:type="dcterms:W3CDTF">2015-10-22T09:06:05Z</dcterms:created>
  <dcterms:modified xsi:type="dcterms:W3CDTF">2018-10-30T03:33:05Z</dcterms:modified>
</cp:coreProperties>
</file>